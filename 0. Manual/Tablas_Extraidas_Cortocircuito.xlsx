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power1.sharepoint.com/sites/We-Ingeniera/Documentos compartidos/Proyectos/Nueva 174/1. Aplicación Estudios Conexión/0. Manual/"/>
    </mc:Choice>
  </mc:AlternateContent>
  <xr:revisionPtr revIDLastSave="123" documentId="13_ncr:1_{6B7F9C0B-D96B-4561-840E-6A386A5EFA72}" xr6:coauthVersionLast="47" xr6:coauthVersionMax="47" xr10:uidLastSave="{E02A109A-694D-4178-87F7-D6F1AB6FD8C6}"/>
  <bookViews>
    <workbookView xWindow="-108" yWindow="-108" windowWidth="23256" windowHeight="12456" tabRatio="504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Sheet1!$A$1:$I$1774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2" i="1"/>
  <c r="H3" i="1" l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3" i="1"/>
  <c r="I13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7" i="1"/>
  <c r="I57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H64" i="1"/>
  <c r="I64" i="1" s="1"/>
  <c r="H65" i="1"/>
  <c r="I65" i="1" s="1"/>
  <c r="H66" i="1"/>
  <c r="I66" i="1" s="1"/>
  <c r="H67" i="1"/>
  <c r="I67" i="1" s="1"/>
  <c r="H68" i="1"/>
  <c r="I68" i="1" s="1"/>
  <c r="H69" i="1"/>
  <c r="I69" i="1" s="1"/>
  <c r="H70" i="1"/>
  <c r="I70" i="1" s="1"/>
  <c r="H71" i="1"/>
  <c r="I71" i="1" s="1"/>
  <c r="H72" i="1"/>
  <c r="I72" i="1" s="1"/>
  <c r="H73" i="1"/>
  <c r="I73" i="1" s="1"/>
  <c r="H74" i="1"/>
  <c r="I74" i="1" s="1"/>
  <c r="H75" i="1"/>
  <c r="I75" i="1" s="1"/>
  <c r="H76" i="1"/>
  <c r="I76" i="1" s="1"/>
  <c r="H77" i="1"/>
  <c r="I77" i="1" s="1"/>
  <c r="H78" i="1"/>
  <c r="I78" i="1" s="1"/>
  <c r="H79" i="1"/>
  <c r="I79" i="1" s="1"/>
  <c r="H80" i="1"/>
  <c r="I80" i="1" s="1"/>
  <c r="H81" i="1"/>
  <c r="I81" i="1" s="1"/>
  <c r="H82" i="1"/>
  <c r="I82" i="1" s="1"/>
  <c r="H83" i="1"/>
  <c r="I83" i="1" s="1"/>
  <c r="H84" i="1"/>
  <c r="I84" i="1" s="1"/>
  <c r="H85" i="1"/>
  <c r="I85" i="1" s="1"/>
  <c r="H86" i="1"/>
  <c r="I86" i="1" s="1"/>
  <c r="H87" i="1"/>
  <c r="I87" i="1" s="1"/>
  <c r="H88" i="1"/>
  <c r="I88" i="1" s="1"/>
  <c r="H89" i="1"/>
  <c r="I89" i="1" s="1"/>
  <c r="H90" i="1"/>
  <c r="I90" i="1" s="1"/>
  <c r="H91" i="1"/>
  <c r="I91" i="1" s="1"/>
  <c r="H92" i="1"/>
  <c r="I92" i="1" s="1"/>
  <c r="H93" i="1"/>
  <c r="I93" i="1" s="1"/>
  <c r="H94" i="1"/>
  <c r="I94" i="1" s="1"/>
  <c r="H95" i="1"/>
  <c r="I95" i="1" s="1"/>
  <c r="H96" i="1"/>
  <c r="I96" i="1" s="1"/>
  <c r="H97" i="1"/>
  <c r="I97" i="1" s="1"/>
  <c r="H98" i="1"/>
  <c r="I98" i="1" s="1"/>
  <c r="H99" i="1"/>
  <c r="I99" i="1" s="1"/>
  <c r="H100" i="1"/>
  <c r="I100" i="1" s="1"/>
  <c r="H101" i="1"/>
  <c r="I101" i="1" s="1"/>
  <c r="H102" i="1"/>
  <c r="I102" i="1" s="1"/>
  <c r="H103" i="1"/>
  <c r="I103" i="1" s="1"/>
  <c r="H104" i="1"/>
  <c r="I104" i="1" s="1"/>
  <c r="H105" i="1"/>
  <c r="I105" i="1" s="1"/>
  <c r="H106" i="1"/>
  <c r="I106" i="1" s="1"/>
  <c r="H107" i="1"/>
  <c r="I107" i="1" s="1"/>
  <c r="H108" i="1"/>
  <c r="I108" i="1" s="1"/>
  <c r="H109" i="1"/>
  <c r="I109" i="1" s="1"/>
  <c r="H110" i="1"/>
  <c r="I110" i="1" s="1"/>
  <c r="H111" i="1"/>
  <c r="I111" i="1" s="1"/>
  <c r="H112" i="1"/>
  <c r="I112" i="1" s="1"/>
  <c r="H113" i="1"/>
  <c r="I113" i="1" s="1"/>
  <c r="H114" i="1"/>
  <c r="I114" i="1" s="1"/>
  <c r="H115" i="1"/>
  <c r="I115" i="1" s="1"/>
  <c r="H116" i="1"/>
  <c r="I116" i="1" s="1"/>
  <c r="H117" i="1"/>
  <c r="I117" i="1" s="1"/>
  <c r="H118" i="1"/>
  <c r="I118" i="1" s="1"/>
  <c r="H119" i="1"/>
  <c r="I119" i="1" s="1"/>
  <c r="H120" i="1"/>
  <c r="I120" i="1" s="1"/>
  <c r="H121" i="1"/>
  <c r="I121" i="1" s="1"/>
  <c r="H122" i="1"/>
  <c r="I122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H135" i="1"/>
  <c r="I135" i="1" s="1"/>
  <c r="H136" i="1"/>
  <c r="I136" i="1" s="1"/>
  <c r="H137" i="1"/>
  <c r="I137" i="1" s="1"/>
  <c r="H138" i="1"/>
  <c r="I138" i="1" s="1"/>
  <c r="H139" i="1"/>
  <c r="I139" i="1" s="1"/>
  <c r="H140" i="1"/>
  <c r="I140" i="1" s="1"/>
  <c r="H141" i="1"/>
  <c r="I141" i="1" s="1"/>
  <c r="H142" i="1"/>
  <c r="I142" i="1" s="1"/>
  <c r="H143" i="1"/>
  <c r="I143" i="1" s="1"/>
  <c r="H144" i="1"/>
  <c r="I144" i="1" s="1"/>
  <c r="H145" i="1"/>
  <c r="I145" i="1" s="1"/>
  <c r="H146" i="1"/>
  <c r="I146" i="1" s="1"/>
  <c r="H147" i="1"/>
  <c r="I147" i="1" s="1"/>
  <c r="H148" i="1"/>
  <c r="I148" i="1" s="1"/>
  <c r="H149" i="1"/>
  <c r="I149" i="1" s="1"/>
  <c r="H150" i="1"/>
  <c r="I150" i="1" s="1"/>
  <c r="H151" i="1"/>
  <c r="I151" i="1" s="1"/>
  <c r="H152" i="1"/>
  <c r="I152" i="1" s="1"/>
  <c r="H153" i="1"/>
  <c r="I153" i="1" s="1"/>
  <c r="H154" i="1"/>
  <c r="I154" i="1" s="1"/>
  <c r="H155" i="1"/>
  <c r="I155" i="1" s="1"/>
  <c r="H156" i="1"/>
  <c r="I156" i="1" s="1"/>
  <c r="H157" i="1"/>
  <c r="I157" i="1" s="1"/>
  <c r="H158" i="1"/>
  <c r="I158" i="1" s="1"/>
  <c r="H159" i="1"/>
  <c r="I159" i="1" s="1"/>
  <c r="H160" i="1"/>
  <c r="I160" i="1" s="1"/>
  <c r="H161" i="1"/>
  <c r="I161" i="1" s="1"/>
  <c r="H162" i="1"/>
  <c r="I162" i="1" s="1"/>
  <c r="H163" i="1"/>
  <c r="I163" i="1" s="1"/>
  <c r="H164" i="1"/>
  <c r="I164" i="1" s="1"/>
  <c r="H165" i="1"/>
  <c r="I165" i="1" s="1"/>
  <c r="H166" i="1"/>
  <c r="I166" i="1" s="1"/>
  <c r="H167" i="1"/>
  <c r="I167" i="1" s="1"/>
  <c r="H168" i="1"/>
  <c r="I168" i="1" s="1"/>
  <c r="H169" i="1"/>
  <c r="I169" i="1" s="1"/>
  <c r="H170" i="1"/>
  <c r="I170" i="1" s="1"/>
  <c r="H171" i="1"/>
  <c r="I171" i="1" s="1"/>
  <c r="H172" i="1"/>
  <c r="I172" i="1" s="1"/>
  <c r="H173" i="1"/>
  <c r="I173" i="1" s="1"/>
  <c r="H174" i="1"/>
  <c r="I174" i="1" s="1"/>
  <c r="H175" i="1"/>
  <c r="I175" i="1" s="1"/>
  <c r="H176" i="1"/>
  <c r="I176" i="1" s="1"/>
  <c r="H177" i="1"/>
  <c r="I177" i="1" s="1"/>
  <c r="H178" i="1"/>
  <c r="I178" i="1" s="1"/>
  <c r="H179" i="1"/>
  <c r="I179" i="1" s="1"/>
  <c r="H180" i="1"/>
  <c r="I180" i="1" s="1"/>
  <c r="H181" i="1"/>
  <c r="I181" i="1" s="1"/>
  <c r="H182" i="1"/>
  <c r="I182" i="1" s="1"/>
  <c r="H183" i="1"/>
  <c r="I183" i="1" s="1"/>
  <c r="H184" i="1"/>
  <c r="I184" i="1" s="1"/>
  <c r="H185" i="1"/>
  <c r="I185" i="1" s="1"/>
  <c r="H186" i="1"/>
  <c r="I186" i="1" s="1"/>
  <c r="H187" i="1"/>
  <c r="I187" i="1" s="1"/>
  <c r="H188" i="1"/>
  <c r="I188" i="1" s="1"/>
  <c r="H189" i="1"/>
  <c r="I189" i="1" s="1"/>
  <c r="H190" i="1"/>
  <c r="I190" i="1" s="1"/>
  <c r="H191" i="1"/>
  <c r="I191" i="1" s="1"/>
  <c r="H192" i="1"/>
  <c r="I192" i="1" s="1"/>
  <c r="H193" i="1"/>
  <c r="I193" i="1" s="1"/>
  <c r="H194" i="1"/>
  <c r="I194" i="1" s="1"/>
  <c r="H195" i="1"/>
  <c r="I195" i="1" s="1"/>
  <c r="H196" i="1"/>
  <c r="I196" i="1" s="1"/>
  <c r="H197" i="1"/>
  <c r="I197" i="1" s="1"/>
  <c r="H198" i="1"/>
  <c r="I198" i="1" s="1"/>
  <c r="H199" i="1"/>
  <c r="I199" i="1" s="1"/>
  <c r="H200" i="1"/>
  <c r="I200" i="1" s="1"/>
  <c r="H201" i="1"/>
  <c r="I201" i="1" s="1"/>
  <c r="H202" i="1"/>
  <c r="I202" i="1" s="1"/>
  <c r="H203" i="1"/>
  <c r="I203" i="1" s="1"/>
  <c r="H204" i="1"/>
  <c r="I204" i="1" s="1"/>
  <c r="H205" i="1"/>
  <c r="I205" i="1" s="1"/>
  <c r="H206" i="1"/>
  <c r="I206" i="1" s="1"/>
  <c r="H207" i="1"/>
  <c r="I207" i="1" s="1"/>
  <c r="H208" i="1"/>
  <c r="I208" i="1" s="1"/>
  <c r="H209" i="1"/>
  <c r="I209" i="1" s="1"/>
  <c r="H210" i="1"/>
  <c r="I210" i="1" s="1"/>
  <c r="H211" i="1"/>
  <c r="I211" i="1" s="1"/>
  <c r="H212" i="1"/>
  <c r="I212" i="1" s="1"/>
  <c r="H213" i="1"/>
  <c r="I213" i="1" s="1"/>
  <c r="H214" i="1"/>
  <c r="I214" i="1" s="1"/>
  <c r="H215" i="1"/>
  <c r="I215" i="1" s="1"/>
  <c r="H216" i="1"/>
  <c r="I216" i="1" s="1"/>
  <c r="H217" i="1"/>
  <c r="I217" i="1" s="1"/>
  <c r="H218" i="1"/>
  <c r="I218" i="1" s="1"/>
  <c r="H219" i="1"/>
  <c r="I219" i="1" s="1"/>
  <c r="H220" i="1"/>
  <c r="I220" i="1" s="1"/>
  <c r="H221" i="1"/>
  <c r="I221" i="1" s="1"/>
  <c r="H222" i="1"/>
  <c r="I222" i="1" s="1"/>
  <c r="H223" i="1"/>
  <c r="I223" i="1" s="1"/>
  <c r="H224" i="1"/>
  <c r="I224" i="1" s="1"/>
  <c r="H225" i="1"/>
  <c r="I225" i="1" s="1"/>
  <c r="H226" i="1"/>
  <c r="I226" i="1" s="1"/>
  <c r="H227" i="1"/>
  <c r="I227" i="1" s="1"/>
  <c r="H228" i="1"/>
  <c r="I228" i="1" s="1"/>
  <c r="H229" i="1"/>
  <c r="I229" i="1" s="1"/>
  <c r="H230" i="1"/>
  <c r="I230" i="1" s="1"/>
  <c r="H231" i="1"/>
  <c r="I231" i="1" s="1"/>
  <c r="H232" i="1"/>
  <c r="I232" i="1" s="1"/>
  <c r="H233" i="1"/>
  <c r="I233" i="1" s="1"/>
  <c r="H234" i="1"/>
  <c r="I234" i="1" s="1"/>
  <c r="H235" i="1"/>
  <c r="I235" i="1" s="1"/>
  <c r="H236" i="1"/>
  <c r="I236" i="1" s="1"/>
  <c r="H237" i="1"/>
  <c r="I237" i="1" s="1"/>
  <c r="H238" i="1"/>
  <c r="I238" i="1" s="1"/>
  <c r="H239" i="1"/>
  <c r="I239" i="1" s="1"/>
  <c r="H240" i="1"/>
  <c r="I240" i="1" s="1"/>
  <c r="H241" i="1"/>
  <c r="I241" i="1" s="1"/>
  <c r="H242" i="1"/>
  <c r="I242" i="1" s="1"/>
  <c r="H243" i="1"/>
  <c r="I243" i="1" s="1"/>
  <c r="H244" i="1"/>
  <c r="I244" i="1" s="1"/>
  <c r="H245" i="1"/>
  <c r="I245" i="1" s="1"/>
  <c r="H246" i="1"/>
  <c r="I246" i="1" s="1"/>
  <c r="H247" i="1"/>
  <c r="I247" i="1" s="1"/>
  <c r="H248" i="1"/>
  <c r="I248" i="1" s="1"/>
  <c r="H249" i="1"/>
  <c r="I249" i="1" s="1"/>
  <c r="H250" i="1"/>
  <c r="I250" i="1" s="1"/>
  <c r="H251" i="1"/>
  <c r="I251" i="1" s="1"/>
  <c r="H252" i="1"/>
  <c r="I252" i="1" s="1"/>
  <c r="H253" i="1"/>
  <c r="I253" i="1" s="1"/>
  <c r="H254" i="1"/>
  <c r="I254" i="1" s="1"/>
  <c r="H255" i="1"/>
  <c r="I255" i="1" s="1"/>
  <c r="H256" i="1"/>
  <c r="I256" i="1" s="1"/>
  <c r="H257" i="1"/>
  <c r="I257" i="1" s="1"/>
  <c r="H258" i="1"/>
  <c r="I258" i="1" s="1"/>
  <c r="H259" i="1"/>
  <c r="I259" i="1" s="1"/>
  <c r="H260" i="1"/>
  <c r="I260" i="1" s="1"/>
  <c r="H261" i="1"/>
  <c r="I261" i="1" s="1"/>
  <c r="H262" i="1"/>
  <c r="I262" i="1" s="1"/>
  <c r="H263" i="1"/>
  <c r="I263" i="1" s="1"/>
  <c r="H264" i="1"/>
  <c r="I264" i="1" s="1"/>
  <c r="H265" i="1"/>
  <c r="I265" i="1" s="1"/>
  <c r="H266" i="1"/>
  <c r="I266" i="1" s="1"/>
  <c r="H267" i="1"/>
  <c r="I267" i="1" s="1"/>
  <c r="H268" i="1"/>
  <c r="I268" i="1" s="1"/>
  <c r="H269" i="1"/>
  <c r="I269" i="1" s="1"/>
  <c r="H270" i="1"/>
  <c r="I270" i="1" s="1"/>
  <c r="H271" i="1"/>
  <c r="I271" i="1" s="1"/>
  <c r="H272" i="1"/>
  <c r="I272" i="1" s="1"/>
  <c r="H273" i="1"/>
  <c r="I273" i="1" s="1"/>
  <c r="H274" i="1"/>
  <c r="I274" i="1" s="1"/>
  <c r="H275" i="1"/>
  <c r="I275" i="1" s="1"/>
  <c r="H276" i="1"/>
  <c r="I276" i="1" s="1"/>
  <c r="H277" i="1"/>
  <c r="I277" i="1" s="1"/>
  <c r="H278" i="1"/>
  <c r="I278" i="1" s="1"/>
  <c r="H279" i="1"/>
  <c r="I279" i="1" s="1"/>
  <c r="H280" i="1"/>
  <c r="I280" i="1" s="1"/>
  <c r="H281" i="1"/>
  <c r="I281" i="1" s="1"/>
  <c r="H282" i="1"/>
  <c r="I282" i="1" s="1"/>
  <c r="H283" i="1"/>
  <c r="I283" i="1" s="1"/>
  <c r="H284" i="1"/>
  <c r="I284" i="1" s="1"/>
  <c r="H285" i="1"/>
  <c r="I285" i="1" s="1"/>
  <c r="H286" i="1"/>
  <c r="I286" i="1" s="1"/>
  <c r="H287" i="1"/>
  <c r="I287" i="1" s="1"/>
  <c r="H288" i="1"/>
  <c r="I288" i="1" s="1"/>
  <c r="H289" i="1"/>
  <c r="I289" i="1" s="1"/>
  <c r="H290" i="1"/>
  <c r="I290" i="1" s="1"/>
  <c r="H291" i="1"/>
  <c r="I291" i="1" s="1"/>
  <c r="H292" i="1"/>
  <c r="I292" i="1" s="1"/>
  <c r="H293" i="1"/>
  <c r="I293" i="1" s="1"/>
  <c r="H294" i="1"/>
  <c r="I294" i="1" s="1"/>
  <c r="H295" i="1"/>
  <c r="I295" i="1" s="1"/>
  <c r="H296" i="1"/>
  <c r="I296" i="1" s="1"/>
  <c r="H297" i="1"/>
  <c r="I297" i="1" s="1"/>
  <c r="H298" i="1"/>
  <c r="I298" i="1" s="1"/>
  <c r="H299" i="1"/>
  <c r="I299" i="1" s="1"/>
  <c r="H300" i="1"/>
  <c r="I300" i="1" s="1"/>
  <c r="H301" i="1"/>
  <c r="I301" i="1" s="1"/>
  <c r="H302" i="1"/>
  <c r="I302" i="1" s="1"/>
  <c r="H303" i="1"/>
  <c r="I303" i="1" s="1"/>
  <c r="H304" i="1"/>
  <c r="I304" i="1" s="1"/>
  <c r="H305" i="1"/>
  <c r="I305" i="1" s="1"/>
  <c r="H306" i="1"/>
  <c r="I306" i="1" s="1"/>
  <c r="H307" i="1"/>
  <c r="I307" i="1" s="1"/>
  <c r="H308" i="1"/>
  <c r="I308" i="1" s="1"/>
  <c r="H309" i="1"/>
  <c r="I309" i="1" s="1"/>
  <c r="H310" i="1"/>
  <c r="I310" i="1" s="1"/>
  <c r="H311" i="1"/>
  <c r="I311" i="1" s="1"/>
  <c r="H312" i="1"/>
  <c r="I312" i="1" s="1"/>
  <c r="H313" i="1"/>
  <c r="I313" i="1" s="1"/>
  <c r="H314" i="1"/>
  <c r="I314" i="1" s="1"/>
  <c r="H315" i="1"/>
  <c r="I315" i="1" s="1"/>
  <c r="H316" i="1"/>
  <c r="I316" i="1" s="1"/>
  <c r="H317" i="1"/>
  <c r="I317" i="1" s="1"/>
  <c r="H318" i="1"/>
  <c r="I318" i="1" s="1"/>
  <c r="H319" i="1"/>
  <c r="I319" i="1" s="1"/>
  <c r="H320" i="1"/>
  <c r="I320" i="1" s="1"/>
  <c r="H321" i="1"/>
  <c r="I321" i="1" s="1"/>
  <c r="H322" i="1"/>
  <c r="I322" i="1" s="1"/>
  <c r="H323" i="1"/>
  <c r="I323" i="1" s="1"/>
  <c r="H324" i="1"/>
  <c r="I324" i="1" s="1"/>
  <c r="H325" i="1"/>
  <c r="I325" i="1" s="1"/>
  <c r="H326" i="1"/>
  <c r="I326" i="1" s="1"/>
  <c r="H327" i="1"/>
  <c r="I327" i="1" s="1"/>
  <c r="H328" i="1"/>
  <c r="I328" i="1" s="1"/>
  <c r="H329" i="1"/>
  <c r="I329" i="1" s="1"/>
  <c r="H330" i="1"/>
  <c r="I330" i="1" s="1"/>
  <c r="H331" i="1"/>
  <c r="I331" i="1" s="1"/>
  <c r="H332" i="1"/>
  <c r="I332" i="1" s="1"/>
  <c r="H333" i="1"/>
  <c r="I333" i="1" s="1"/>
  <c r="H334" i="1"/>
  <c r="I334" i="1" s="1"/>
  <c r="H335" i="1"/>
  <c r="I335" i="1" s="1"/>
  <c r="H336" i="1"/>
  <c r="I336" i="1" s="1"/>
  <c r="H337" i="1"/>
  <c r="I337" i="1" s="1"/>
  <c r="H338" i="1"/>
  <c r="I338" i="1" s="1"/>
  <c r="H339" i="1"/>
  <c r="I339" i="1" s="1"/>
  <c r="H340" i="1"/>
  <c r="I340" i="1" s="1"/>
  <c r="H341" i="1"/>
  <c r="I341" i="1" s="1"/>
  <c r="H342" i="1"/>
  <c r="I342" i="1" s="1"/>
  <c r="H343" i="1"/>
  <c r="I343" i="1" s="1"/>
  <c r="H344" i="1"/>
  <c r="I344" i="1" s="1"/>
  <c r="H345" i="1"/>
  <c r="I345" i="1" s="1"/>
  <c r="H346" i="1"/>
  <c r="I346" i="1" s="1"/>
  <c r="H347" i="1"/>
  <c r="I347" i="1" s="1"/>
  <c r="H348" i="1"/>
  <c r="I348" i="1" s="1"/>
  <c r="H349" i="1"/>
  <c r="I349" i="1" s="1"/>
  <c r="H350" i="1"/>
  <c r="I350" i="1" s="1"/>
  <c r="H351" i="1"/>
  <c r="I351" i="1" s="1"/>
  <c r="H352" i="1"/>
  <c r="I352" i="1" s="1"/>
  <c r="H353" i="1"/>
  <c r="I353" i="1" s="1"/>
  <c r="H354" i="1"/>
  <c r="I354" i="1" s="1"/>
  <c r="H355" i="1"/>
  <c r="I355" i="1" s="1"/>
  <c r="H356" i="1"/>
  <c r="I356" i="1" s="1"/>
  <c r="H357" i="1"/>
  <c r="I357" i="1" s="1"/>
  <c r="H358" i="1"/>
  <c r="I358" i="1" s="1"/>
  <c r="H359" i="1"/>
  <c r="I359" i="1" s="1"/>
  <c r="H360" i="1"/>
  <c r="I360" i="1" s="1"/>
  <c r="H361" i="1"/>
  <c r="I361" i="1" s="1"/>
  <c r="H362" i="1"/>
  <c r="I362" i="1" s="1"/>
  <c r="H363" i="1"/>
  <c r="I363" i="1" s="1"/>
  <c r="H364" i="1"/>
  <c r="I364" i="1" s="1"/>
  <c r="H365" i="1"/>
  <c r="I365" i="1" s="1"/>
  <c r="H366" i="1"/>
  <c r="I366" i="1" s="1"/>
  <c r="H367" i="1"/>
  <c r="I367" i="1" s="1"/>
  <c r="H368" i="1"/>
  <c r="I368" i="1" s="1"/>
  <c r="H369" i="1"/>
  <c r="I369" i="1" s="1"/>
  <c r="H370" i="1"/>
  <c r="I370" i="1" s="1"/>
  <c r="H371" i="1"/>
  <c r="I371" i="1" s="1"/>
  <c r="H372" i="1"/>
  <c r="I372" i="1" s="1"/>
  <c r="H373" i="1"/>
  <c r="I373" i="1" s="1"/>
  <c r="H374" i="1"/>
  <c r="I374" i="1" s="1"/>
  <c r="H375" i="1"/>
  <c r="I375" i="1" s="1"/>
  <c r="H376" i="1"/>
  <c r="I376" i="1" s="1"/>
  <c r="H377" i="1"/>
  <c r="I377" i="1" s="1"/>
  <c r="H378" i="1"/>
  <c r="I378" i="1" s="1"/>
  <c r="H379" i="1"/>
  <c r="I379" i="1" s="1"/>
  <c r="H380" i="1"/>
  <c r="I380" i="1" s="1"/>
  <c r="H381" i="1"/>
  <c r="I381" i="1" s="1"/>
  <c r="H382" i="1"/>
  <c r="I382" i="1" s="1"/>
  <c r="H383" i="1"/>
  <c r="I383" i="1" s="1"/>
  <c r="H384" i="1"/>
  <c r="I384" i="1" s="1"/>
  <c r="H385" i="1"/>
  <c r="I385" i="1" s="1"/>
  <c r="H386" i="1"/>
  <c r="I386" i="1" s="1"/>
  <c r="H387" i="1"/>
  <c r="I387" i="1" s="1"/>
  <c r="H388" i="1"/>
  <c r="I388" i="1" s="1"/>
  <c r="H389" i="1"/>
  <c r="I389" i="1" s="1"/>
  <c r="H390" i="1"/>
  <c r="I390" i="1" s="1"/>
  <c r="H391" i="1"/>
  <c r="I391" i="1" s="1"/>
  <c r="H392" i="1"/>
  <c r="I392" i="1" s="1"/>
  <c r="H393" i="1"/>
  <c r="I393" i="1" s="1"/>
  <c r="H394" i="1"/>
  <c r="I394" i="1" s="1"/>
  <c r="H395" i="1"/>
  <c r="I395" i="1" s="1"/>
  <c r="H396" i="1"/>
  <c r="I396" i="1" s="1"/>
  <c r="H397" i="1"/>
  <c r="I397" i="1" s="1"/>
  <c r="H398" i="1"/>
  <c r="I398" i="1" s="1"/>
  <c r="H399" i="1"/>
  <c r="I399" i="1" s="1"/>
  <c r="H400" i="1"/>
  <c r="I400" i="1" s="1"/>
  <c r="H401" i="1"/>
  <c r="I401" i="1" s="1"/>
  <c r="H402" i="1"/>
  <c r="I402" i="1" s="1"/>
  <c r="H403" i="1"/>
  <c r="I403" i="1" s="1"/>
  <c r="H404" i="1"/>
  <c r="I404" i="1" s="1"/>
  <c r="H405" i="1"/>
  <c r="I405" i="1" s="1"/>
  <c r="H406" i="1"/>
  <c r="I406" i="1" s="1"/>
  <c r="H407" i="1"/>
  <c r="I407" i="1" s="1"/>
  <c r="H408" i="1"/>
  <c r="I408" i="1" s="1"/>
  <c r="H409" i="1"/>
  <c r="I409" i="1" s="1"/>
  <c r="H410" i="1"/>
  <c r="I410" i="1" s="1"/>
  <c r="H411" i="1"/>
  <c r="I411" i="1" s="1"/>
  <c r="H412" i="1"/>
  <c r="I412" i="1" s="1"/>
  <c r="H413" i="1"/>
  <c r="I413" i="1" s="1"/>
  <c r="H414" i="1"/>
  <c r="I414" i="1" s="1"/>
  <c r="H415" i="1"/>
  <c r="I415" i="1" s="1"/>
  <c r="H416" i="1"/>
  <c r="I416" i="1" s="1"/>
  <c r="H417" i="1"/>
  <c r="I417" i="1" s="1"/>
  <c r="H418" i="1"/>
  <c r="I418" i="1" s="1"/>
  <c r="H419" i="1"/>
  <c r="I419" i="1" s="1"/>
  <c r="H420" i="1"/>
  <c r="I420" i="1" s="1"/>
  <c r="H421" i="1"/>
  <c r="I421" i="1" s="1"/>
  <c r="H422" i="1"/>
  <c r="I422" i="1" s="1"/>
  <c r="H423" i="1"/>
  <c r="I423" i="1" s="1"/>
  <c r="H424" i="1"/>
  <c r="I424" i="1" s="1"/>
  <c r="H425" i="1"/>
  <c r="I425" i="1" s="1"/>
  <c r="H426" i="1"/>
  <c r="I426" i="1" s="1"/>
  <c r="H427" i="1"/>
  <c r="I427" i="1" s="1"/>
  <c r="H428" i="1"/>
  <c r="I428" i="1" s="1"/>
  <c r="H429" i="1"/>
  <c r="I429" i="1" s="1"/>
  <c r="H430" i="1"/>
  <c r="I430" i="1" s="1"/>
  <c r="H431" i="1"/>
  <c r="I431" i="1" s="1"/>
  <c r="H432" i="1"/>
  <c r="I432" i="1" s="1"/>
  <c r="H433" i="1"/>
  <c r="I433" i="1" s="1"/>
  <c r="H434" i="1"/>
  <c r="I434" i="1" s="1"/>
  <c r="H435" i="1"/>
  <c r="I435" i="1" s="1"/>
  <c r="H436" i="1"/>
  <c r="I436" i="1" s="1"/>
  <c r="H437" i="1"/>
  <c r="I437" i="1" s="1"/>
  <c r="H438" i="1"/>
  <c r="I438" i="1" s="1"/>
  <c r="H439" i="1"/>
  <c r="I439" i="1" s="1"/>
  <c r="H440" i="1"/>
  <c r="I440" i="1" s="1"/>
  <c r="H441" i="1"/>
  <c r="I441" i="1" s="1"/>
  <c r="H442" i="1"/>
  <c r="I442" i="1" s="1"/>
  <c r="H443" i="1"/>
  <c r="I443" i="1" s="1"/>
  <c r="H444" i="1"/>
  <c r="I444" i="1" s="1"/>
  <c r="H445" i="1"/>
  <c r="I445" i="1" s="1"/>
  <c r="H446" i="1"/>
  <c r="I446" i="1" s="1"/>
  <c r="H447" i="1"/>
  <c r="I447" i="1" s="1"/>
  <c r="H448" i="1"/>
  <c r="I448" i="1" s="1"/>
  <c r="H449" i="1"/>
  <c r="I449" i="1" s="1"/>
  <c r="H450" i="1"/>
  <c r="I450" i="1" s="1"/>
  <c r="H451" i="1"/>
  <c r="I451" i="1" s="1"/>
  <c r="H452" i="1"/>
  <c r="I452" i="1" s="1"/>
  <c r="H453" i="1"/>
  <c r="I453" i="1" s="1"/>
  <c r="H454" i="1"/>
  <c r="I454" i="1" s="1"/>
  <c r="H455" i="1"/>
  <c r="I455" i="1" s="1"/>
  <c r="H456" i="1"/>
  <c r="I456" i="1" s="1"/>
  <c r="H457" i="1"/>
  <c r="I457" i="1" s="1"/>
  <c r="H458" i="1"/>
  <c r="I458" i="1" s="1"/>
  <c r="H459" i="1"/>
  <c r="I459" i="1" s="1"/>
  <c r="H460" i="1"/>
  <c r="I460" i="1" s="1"/>
  <c r="H461" i="1"/>
  <c r="I461" i="1" s="1"/>
  <c r="H462" i="1"/>
  <c r="I462" i="1" s="1"/>
  <c r="H463" i="1"/>
  <c r="I463" i="1" s="1"/>
  <c r="H464" i="1"/>
  <c r="I464" i="1" s="1"/>
  <c r="H465" i="1"/>
  <c r="I465" i="1" s="1"/>
  <c r="H466" i="1"/>
  <c r="I466" i="1" s="1"/>
  <c r="H467" i="1"/>
  <c r="I467" i="1" s="1"/>
  <c r="H468" i="1"/>
  <c r="I468" i="1" s="1"/>
  <c r="H469" i="1"/>
  <c r="I469" i="1" s="1"/>
  <c r="H470" i="1"/>
  <c r="I470" i="1" s="1"/>
  <c r="H471" i="1"/>
  <c r="I471" i="1" s="1"/>
  <c r="H472" i="1"/>
  <c r="I472" i="1" s="1"/>
  <c r="H473" i="1"/>
  <c r="I473" i="1" s="1"/>
  <c r="H474" i="1"/>
  <c r="I474" i="1" s="1"/>
  <c r="H475" i="1"/>
  <c r="I475" i="1" s="1"/>
  <c r="H476" i="1"/>
  <c r="I476" i="1" s="1"/>
  <c r="H477" i="1"/>
  <c r="I477" i="1" s="1"/>
  <c r="H478" i="1"/>
  <c r="I478" i="1" s="1"/>
  <c r="H479" i="1"/>
  <c r="I479" i="1" s="1"/>
  <c r="H480" i="1"/>
  <c r="I480" i="1" s="1"/>
  <c r="H481" i="1"/>
  <c r="I481" i="1" s="1"/>
  <c r="H482" i="1"/>
  <c r="I482" i="1" s="1"/>
  <c r="H483" i="1"/>
  <c r="I483" i="1" s="1"/>
  <c r="H484" i="1"/>
  <c r="I484" i="1" s="1"/>
  <c r="H485" i="1"/>
  <c r="I485" i="1" s="1"/>
  <c r="H486" i="1"/>
  <c r="I486" i="1" s="1"/>
  <c r="H487" i="1"/>
  <c r="I487" i="1" s="1"/>
  <c r="H488" i="1"/>
  <c r="I488" i="1" s="1"/>
  <c r="H489" i="1"/>
  <c r="I489" i="1" s="1"/>
  <c r="H490" i="1"/>
  <c r="I490" i="1" s="1"/>
  <c r="H491" i="1"/>
  <c r="I491" i="1" s="1"/>
  <c r="H492" i="1"/>
  <c r="I492" i="1" s="1"/>
  <c r="H493" i="1"/>
  <c r="I493" i="1" s="1"/>
  <c r="H494" i="1"/>
  <c r="I494" i="1" s="1"/>
  <c r="H495" i="1"/>
  <c r="I495" i="1" s="1"/>
  <c r="H496" i="1"/>
  <c r="I496" i="1" s="1"/>
  <c r="H497" i="1"/>
  <c r="I497" i="1" s="1"/>
  <c r="H498" i="1"/>
  <c r="I498" i="1" s="1"/>
  <c r="H499" i="1"/>
  <c r="I499" i="1" s="1"/>
  <c r="H500" i="1"/>
  <c r="I500" i="1" s="1"/>
  <c r="H501" i="1"/>
  <c r="I501" i="1" s="1"/>
  <c r="H502" i="1"/>
  <c r="I502" i="1" s="1"/>
  <c r="H503" i="1"/>
  <c r="I503" i="1" s="1"/>
  <c r="H504" i="1"/>
  <c r="I504" i="1" s="1"/>
  <c r="H505" i="1"/>
  <c r="I505" i="1" s="1"/>
  <c r="H506" i="1"/>
  <c r="I506" i="1" s="1"/>
  <c r="H507" i="1"/>
  <c r="I507" i="1" s="1"/>
  <c r="H508" i="1"/>
  <c r="I508" i="1" s="1"/>
  <c r="H509" i="1"/>
  <c r="I509" i="1" s="1"/>
  <c r="H510" i="1"/>
  <c r="I510" i="1" s="1"/>
  <c r="H511" i="1"/>
  <c r="I511" i="1" s="1"/>
  <c r="H512" i="1"/>
  <c r="I512" i="1" s="1"/>
  <c r="H513" i="1"/>
  <c r="I513" i="1" s="1"/>
  <c r="H514" i="1"/>
  <c r="I514" i="1" s="1"/>
  <c r="H515" i="1"/>
  <c r="I515" i="1" s="1"/>
  <c r="H516" i="1"/>
  <c r="I516" i="1" s="1"/>
  <c r="H517" i="1"/>
  <c r="I517" i="1" s="1"/>
  <c r="H518" i="1"/>
  <c r="I518" i="1" s="1"/>
  <c r="H519" i="1"/>
  <c r="I519" i="1" s="1"/>
  <c r="H520" i="1"/>
  <c r="I520" i="1" s="1"/>
  <c r="H521" i="1"/>
  <c r="I521" i="1" s="1"/>
  <c r="H522" i="1"/>
  <c r="I522" i="1" s="1"/>
  <c r="H523" i="1"/>
  <c r="I523" i="1" s="1"/>
  <c r="H524" i="1"/>
  <c r="I524" i="1" s="1"/>
  <c r="H525" i="1"/>
  <c r="I525" i="1" s="1"/>
  <c r="H526" i="1"/>
  <c r="I526" i="1" s="1"/>
  <c r="H527" i="1"/>
  <c r="I527" i="1" s="1"/>
  <c r="H528" i="1"/>
  <c r="I528" i="1" s="1"/>
  <c r="H529" i="1"/>
  <c r="I529" i="1" s="1"/>
  <c r="H530" i="1"/>
  <c r="I530" i="1" s="1"/>
  <c r="H531" i="1"/>
  <c r="I531" i="1" s="1"/>
  <c r="H532" i="1"/>
  <c r="I532" i="1" s="1"/>
  <c r="H533" i="1"/>
  <c r="I533" i="1" s="1"/>
  <c r="H534" i="1"/>
  <c r="I534" i="1" s="1"/>
  <c r="H535" i="1"/>
  <c r="I535" i="1" s="1"/>
  <c r="H536" i="1"/>
  <c r="I536" i="1" s="1"/>
  <c r="H537" i="1"/>
  <c r="I537" i="1" s="1"/>
  <c r="H538" i="1"/>
  <c r="I538" i="1" s="1"/>
  <c r="H539" i="1"/>
  <c r="I539" i="1" s="1"/>
  <c r="H540" i="1"/>
  <c r="I540" i="1" s="1"/>
  <c r="H541" i="1"/>
  <c r="I541" i="1" s="1"/>
  <c r="H542" i="1"/>
  <c r="I542" i="1" s="1"/>
  <c r="H543" i="1"/>
  <c r="I543" i="1" s="1"/>
  <c r="H544" i="1"/>
  <c r="I544" i="1" s="1"/>
  <c r="H545" i="1"/>
  <c r="I545" i="1" s="1"/>
  <c r="H546" i="1"/>
  <c r="I546" i="1" s="1"/>
  <c r="H547" i="1"/>
  <c r="I547" i="1" s="1"/>
  <c r="H548" i="1"/>
  <c r="I548" i="1" s="1"/>
  <c r="H549" i="1"/>
  <c r="I549" i="1" s="1"/>
  <c r="H550" i="1"/>
  <c r="I550" i="1" s="1"/>
  <c r="H551" i="1"/>
  <c r="I551" i="1" s="1"/>
  <c r="H552" i="1"/>
  <c r="I552" i="1" s="1"/>
  <c r="H553" i="1"/>
  <c r="I553" i="1" s="1"/>
  <c r="H554" i="1"/>
  <c r="I554" i="1" s="1"/>
  <c r="H555" i="1"/>
  <c r="I555" i="1" s="1"/>
  <c r="H556" i="1"/>
  <c r="I556" i="1" s="1"/>
  <c r="H557" i="1"/>
  <c r="I557" i="1" s="1"/>
  <c r="H558" i="1"/>
  <c r="I558" i="1" s="1"/>
  <c r="H559" i="1"/>
  <c r="I559" i="1" s="1"/>
  <c r="H560" i="1"/>
  <c r="I560" i="1" s="1"/>
  <c r="H561" i="1"/>
  <c r="I561" i="1" s="1"/>
  <c r="H562" i="1"/>
  <c r="I562" i="1" s="1"/>
  <c r="H563" i="1"/>
  <c r="I563" i="1" s="1"/>
  <c r="H564" i="1"/>
  <c r="I564" i="1" s="1"/>
  <c r="H565" i="1"/>
  <c r="I565" i="1" s="1"/>
  <c r="H566" i="1"/>
  <c r="I566" i="1" s="1"/>
  <c r="H567" i="1"/>
  <c r="I567" i="1" s="1"/>
  <c r="H568" i="1"/>
  <c r="I568" i="1" s="1"/>
  <c r="H569" i="1"/>
  <c r="I569" i="1" s="1"/>
  <c r="H570" i="1"/>
  <c r="I570" i="1" s="1"/>
  <c r="H571" i="1"/>
  <c r="I571" i="1" s="1"/>
  <c r="H572" i="1"/>
  <c r="I572" i="1" s="1"/>
  <c r="H573" i="1"/>
  <c r="I573" i="1" s="1"/>
  <c r="H574" i="1"/>
  <c r="I574" i="1" s="1"/>
  <c r="H575" i="1"/>
  <c r="I575" i="1" s="1"/>
  <c r="H576" i="1"/>
  <c r="I576" i="1" s="1"/>
  <c r="H577" i="1"/>
  <c r="I577" i="1" s="1"/>
  <c r="H578" i="1"/>
  <c r="I578" i="1" s="1"/>
  <c r="H579" i="1"/>
  <c r="I579" i="1" s="1"/>
  <c r="H580" i="1"/>
  <c r="I580" i="1" s="1"/>
  <c r="H581" i="1"/>
  <c r="I581" i="1" s="1"/>
  <c r="H582" i="1"/>
  <c r="I582" i="1" s="1"/>
  <c r="H583" i="1"/>
  <c r="I583" i="1" s="1"/>
  <c r="H584" i="1"/>
  <c r="I584" i="1" s="1"/>
  <c r="H585" i="1"/>
  <c r="I585" i="1" s="1"/>
  <c r="H586" i="1"/>
  <c r="I586" i="1" s="1"/>
  <c r="H587" i="1"/>
  <c r="I587" i="1" s="1"/>
  <c r="H588" i="1"/>
  <c r="I588" i="1" s="1"/>
  <c r="H589" i="1"/>
  <c r="I589" i="1" s="1"/>
  <c r="H590" i="1"/>
  <c r="I590" i="1" s="1"/>
  <c r="H591" i="1"/>
  <c r="I591" i="1" s="1"/>
  <c r="H592" i="1"/>
  <c r="I592" i="1" s="1"/>
  <c r="H593" i="1"/>
  <c r="I593" i="1" s="1"/>
  <c r="H594" i="1"/>
  <c r="I594" i="1" s="1"/>
  <c r="H595" i="1"/>
  <c r="I595" i="1" s="1"/>
  <c r="H596" i="1"/>
  <c r="I596" i="1" s="1"/>
  <c r="H597" i="1"/>
  <c r="I597" i="1" s="1"/>
  <c r="H598" i="1"/>
  <c r="I598" i="1" s="1"/>
  <c r="H599" i="1"/>
  <c r="I599" i="1" s="1"/>
  <c r="H600" i="1"/>
  <c r="I600" i="1" s="1"/>
  <c r="H601" i="1"/>
  <c r="I601" i="1" s="1"/>
  <c r="H602" i="1"/>
  <c r="I602" i="1" s="1"/>
  <c r="H603" i="1"/>
  <c r="I603" i="1" s="1"/>
  <c r="H604" i="1"/>
  <c r="I604" i="1" s="1"/>
  <c r="H605" i="1"/>
  <c r="I605" i="1" s="1"/>
  <c r="H606" i="1"/>
  <c r="I606" i="1" s="1"/>
  <c r="H607" i="1"/>
  <c r="I607" i="1" s="1"/>
  <c r="H608" i="1"/>
  <c r="I608" i="1" s="1"/>
  <c r="H609" i="1"/>
  <c r="I609" i="1" s="1"/>
  <c r="H610" i="1"/>
  <c r="I610" i="1" s="1"/>
  <c r="H611" i="1"/>
  <c r="I611" i="1" s="1"/>
  <c r="H612" i="1"/>
  <c r="I612" i="1" s="1"/>
  <c r="H613" i="1"/>
  <c r="I613" i="1" s="1"/>
  <c r="H614" i="1"/>
  <c r="I614" i="1" s="1"/>
  <c r="H615" i="1"/>
  <c r="I615" i="1" s="1"/>
  <c r="H616" i="1"/>
  <c r="I616" i="1" s="1"/>
  <c r="H617" i="1"/>
  <c r="I617" i="1" s="1"/>
  <c r="H618" i="1"/>
  <c r="I618" i="1" s="1"/>
  <c r="H619" i="1"/>
  <c r="I619" i="1" s="1"/>
  <c r="H620" i="1"/>
  <c r="I620" i="1" s="1"/>
  <c r="H621" i="1"/>
  <c r="I621" i="1" s="1"/>
  <c r="H622" i="1"/>
  <c r="I622" i="1" s="1"/>
  <c r="H623" i="1"/>
  <c r="I623" i="1" s="1"/>
  <c r="H624" i="1"/>
  <c r="I624" i="1" s="1"/>
  <c r="H625" i="1"/>
  <c r="I625" i="1" s="1"/>
  <c r="H626" i="1"/>
  <c r="I626" i="1" s="1"/>
  <c r="H627" i="1"/>
  <c r="I627" i="1" s="1"/>
  <c r="H628" i="1"/>
  <c r="I628" i="1" s="1"/>
  <c r="H629" i="1"/>
  <c r="I629" i="1" s="1"/>
  <c r="H630" i="1"/>
  <c r="I630" i="1" s="1"/>
  <c r="H631" i="1"/>
  <c r="I631" i="1" s="1"/>
  <c r="H632" i="1"/>
  <c r="I632" i="1" s="1"/>
  <c r="H633" i="1"/>
  <c r="I633" i="1" s="1"/>
  <c r="H634" i="1"/>
  <c r="I634" i="1" s="1"/>
  <c r="H635" i="1"/>
  <c r="I635" i="1" s="1"/>
  <c r="H636" i="1"/>
  <c r="I636" i="1" s="1"/>
  <c r="H637" i="1"/>
  <c r="I637" i="1" s="1"/>
  <c r="H638" i="1"/>
  <c r="I638" i="1" s="1"/>
  <c r="H639" i="1"/>
  <c r="I639" i="1" s="1"/>
  <c r="H640" i="1"/>
  <c r="I640" i="1" s="1"/>
  <c r="H641" i="1"/>
  <c r="I641" i="1" s="1"/>
  <c r="H642" i="1"/>
  <c r="I642" i="1" s="1"/>
  <c r="H643" i="1"/>
  <c r="I643" i="1" s="1"/>
  <c r="H644" i="1"/>
  <c r="I644" i="1" s="1"/>
  <c r="H645" i="1"/>
  <c r="I645" i="1" s="1"/>
  <c r="H646" i="1"/>
  <c r="I646" i="1" s="1"/>
  <c r="H647" i="1"/>
  <c r="I647" i="1" s="1"/>
  <c r="H648" i="1"/>
  <c r="I648" i="1" s="1"/>
  <c r="H649" i="1"/>
  <c r="I649" i="1" s="1"/>
  <c r="H650" i="1"/>
  <c r="I650" i="1" s="1"/>
  <c r="H651" i="1"/>
  <c r="I651" i="1" s="1"/>
  <c r="H652" i="1"/>
  <c r="I652" i="1" s="1"/>
  <c r="H653" i="1"/>
  <c r="I653" i="1" s="1"/>
  <c r="H654" i="1"/>
  <c r="I654" i="1" s="1"/>
  <c r="H655" i="1"/>
  <c r="I655" i="1" s="1"/>
  <c r="H656" i="1"/>
  <c r="I656" i="1" s="1"/>
  <c r="H657" i="1"/>
  <c r="I657" i="1" s="1"/>
  <c r="H658" i="1"/>
  <c r="I658" i="1" s="1"/>
  <c r="H659" i="1"/>
  <c r="I659" i="1" s="1"/>
  <c r="H660" i="1"/>
  <c r="I660" i="1" s="1"/>
  <c r="H661" i="1"/>
  <c r="I661" i="1" s="1"/>
  <c r="H662" i="1"/>
  <c r="I662" i="1" s="1"/>
  <c r="H663" i="1"/>
  <c r="I663" i="1" s="1"/>
  <c r="H664" i="1"/>
  <c r="I664" i="1" s="1"/>
  <c r="H665" i="1"/>
  <c r="I665" i="1" s="1"/>
  <c r="H666" i="1"/>
  <c r="I666" i="1" s="1"/>
  <c r="H667" i="1"/>
  <c r="I667" i="1" s="1"/>
  <c r="H668" i="1"/>
  <c r="I668" i="1" s="1"/>
  <c r="H669" i="1"/>
  <c r="I669" i="1" s="1"/>
  <c r="H670" i="1"/>
  <c r="I670" i="1" s="1"/>
  <c r="H671" i="1"/>
  <c r="I671" i="1" s="1"/>
  <c r="H672" i="1"/>
  <c r="I672" i="1" s="1"/>
  <c r="H673" i="1"/>
  <c r="I673" i="1" s="1"/>
  <c r="H674" i="1"/>
  <c r="I674" i="1" s="1"/>
  <c r="H675" i="1"/>
  <c r="I675" i="1" s="1"/>
  <c r="H676" i="1"/>
  <c r="I676" i="1" s="1"/>
  <c r="H677" i="1"/>
  <c r="I677" i="1" s="1"/>
  <c r="H678" i="1"/>
  <c r="I678" i="1" s="1"/>
  <c r="H679" i="1"/>
  <c r="I679" i="1" s="1"/>
  <c r="H680" i="1"/>
  <c r="I680" i="1" s="1"/>
  <c r="H681" i="1"/>
  <c r="I681" i="1" s="1"/>
  <c r="H682" i="1"/>
  <c r="I682" i="1" s="1"/>
  <c r="H683" i="1"/>
  <c r="I683" i="1" s="1"/>
  <c r="H684" i="1"/>
  <c r="I684" i="1" s="1"/>
  <c r="H685" i="1"/>
  <c r="I685" i="1" s="1"/>
  <c r="H686" i="1"/>
  <c r="I686" i="1" s="1"/>
  <c r="H687" i="1"/>
  <c r="I687" i="1" s="1"/>
  <c r="H688" i="1"/>
  <c r="I688" i="1" s="1"/>
  <c r="H689" i="1"/>
  <c r="I689" i="1" s="1"/>
  <c r="H690" i="1"/>
  <c r="I690" i="1" s="1"/>
  <c r="H691" i="1"/>
  <c r="I691" i="1" s="1"/>
  <c r="H692" i="1"/>
  <c r="I692" i="1" s="1"/>
  <c r="H693" i="1"/>
  <c r="I693" i="1" s="1"/>
  <c r="H694" i="1"/>
  <c r="I694" i="1" s="1"/>
  <c r="H695" i="1"/>
  <c r="I695" i="1" s="1"/>
  <c r="H696" i="1"/>
  <c r="I696" i="1" s="1"/>
  <c r="H697" i="1"/>
  <c r="I697" i="1" s="1"/>
  <c r="H698" i="1"/>
  <c r="I698" i="1" s="1"/>
  <c r="H699" i="1"/>
  <c r="I699" i="1" s="1"/>
  <c r="H700" i="1"/>
  <c r="I700" i="1" s="1"/>
  <c r="H701" i="1"/>
  <c r="I701" i="1" s="1"/>
  <c r="H702" i="1"/>
  <c r="I702" i="1" s="1"/>
  <c r="H703" i="1"/>
  <c r="I703" i="1" s="1"/>
  <c r="H704" i="1"/>
  <c r="I704" i="1" s="1"/>
  <c r="H705" i="1"/>
  <c r="I705" i="1" s="1"/>
  <c r="H706" i="1"/>
  <c r="I706" i="1" s="1"/>
  <c r="H707" i="1"/>
  <c r="I707" i="1" s="1"/>
  <c r="H708" i="1"/>
  <c r="I708" i="1" s="1"/>
  <c r="H709" i="1"/>
  <c r="I709" i="1" s="1"/>
  <c r="H710" i="1"/>
  <c r="I710" i="1" s="1"/>
  <c r="H711" i="1"/>
  <c r="I711" i="1" s="1"/>
  <c r="H712" i="1"/>
  <c r="I712" i="1" s="1"/>
  <c r="H713" i="1"/>
  <c r="I713" i="1" s="1"/>
  <c r="H714" i="1"/>
  <c r="I714" i="1" s="1"/>
  <c r="H715" i="1"/>
  <c r="I715" i="1" s="1"/>
  <c r="H716" i="1"/>
  <c r="I716" i="1" s="1"/>
  <c r="H717" i="1"/>
  <c r="I717" i="1" s="1"/>
  <c r="H718" i="1"/>
  <c r="I718" i="1" s="1"/>
  <c r="H719" i="1"/>
  <c r="I719" i="1" s="1"/>
  <c r="H720" i="1"/>
  <c r="I720" i="1" s="1"/>
  <c r="H721" i="1"/>
  <c r="I721" i="1" s="1"/>
  <c r="H722" i="1"/>
  <c r="I722" i="1" s="1"/>
  <c r="H723" i="1"/>
  <c r="I723" i="1" s="1"/>
  <c r="H724" i="1"/>
  <c r="I724" i="1" s="1"/>
  <c r="H725" i="1"/>
  <c r="I725" i="1" s="1"/>
  <c r="H726" i="1"/>
  <c r="I726" i="1" s="1"/>
  <c r="H727" i="1"/>
  <c r="I727" i="1" s="1"/>
  <c r="H728" i="1"/>
  <c r="I728" i="1" s="1"/>
  <c r="H729" i="1"/>
  <c r="I729" i="1" s="1"/>
  <c r="H730" i="1"/>
  <c r="I730" i="1" s="1"/>
  <c r="H731" i="1"/>
  <c r="I731" i="1" s="1"/>
  <c r="H732" i="1"/>
  <c r="I732" i="1" s="1"/>
  <c r="H733" i="1"/>
  <c r="I733" i="1" s="1"/>
  <c r="H734" i="1"/>
  <c r="I734" i="1" s="1"/>
  <c r="H735" i="1"/>
  <c r="I735" i="1" s="1"/>
  <c r="H736" i="1"/>
  <c r="I736" i="1" s="1"/>
  <c r="H737" i="1"/>
  <c r="I737" i="1" s="1"/>
  <c r="H738" i="1"/>
  <c r="I738" i="1" s="1"/>
  <c r="H739" i="1"/>
  <c r="I739" i="1" s="1"/>
  <c r="H740" i="1"/>
  <c r="I740" i="1" s="1"/>
  <c r="H741" i="1"/>
  <c r="I741" i="1" s="1"/>
  <c r="H742" i="1"/>
  <c r="I742" i="1" s="1"/>
  <c r="H743" i="1"/>
  <c r="I743" i="1" s="1"/>
  <c r="H744" i="1"/>
  <c r="I744" i="1" s="1"/>
  <c r="H745" i="1"/>
  <c r="I745" i="1" s="1"/>
  <c r="H746" i="1"/>
  <c r="I746" i="1" s="1"/>
  <c r="H747" i="1"/>
  <c r="I747" i="1" s="1"/>
  <c r="H748" i="1"/>
  <c r="I748" i="1" s="1"/>
  <c r="H749" i="1"/>
  <c r="I749" i="1" s="1"/>
  <c r="H750" i="1"/>
  <c r="I750" i="1" s="1"/>
  <c r="H751" i="1"/>
  <c r="I751" i="1" s="1"/>
  <c r="H752" i="1"/>
  <c r="I752" i="1" s="1"/>
  <c r="H753" i="1"/>
  <c r="I753" i="1" s="1"/>
  <c r="H754" i="1"/>
  <c r="I754" i="1" s="1"/>
  <c r="H755" i="1"/>
  <c r="I755" i="1" s="1"/>
  <c r="H756" i="1"/>
  <c r="I756" i="1" s="1"/>
  <c r="H757" i="1"/>
  <c r="I757" i="1" s="1"/>
  <c r="H758" i="1"/>
  <c r="I758" i="1" s="1"/>
  <c r="H759" i="1"/>
  <c r="I759" i="1" s="1"/>
  <c r="H760" i="1"/>
  <c r="I760" i="1" s="1"/>
  <c r="H761" i="1"/>
  <c r="I761" i="1" s="1"/>
  <c r="H762" i="1"/>
  <c r="I762" i="1" s="1"/>
  <c r="H763" i="1"/>
  <c r="I763" i="1" s="1"/>
  <c r="H764" i="1"/>
  <c r="I764" i="1" s="1"/>
  <c r="H765" i="1"/>
  <c r="I765" i="1" s="1"/>
  <c r="H766" i="1"/>
  <c r="I766" i="1" s="1"/>
  <c r="H767" i="1"/>
  <c r="I767" i="1" s="1"/>
  <c r="H768" i="1"/>
  <c r="I768" i="1" s="1"/>
  <c r="H769" i="1"/>
  <c r="I769" i="1" s="1"/>
  <c r="H770" i="1"/>
  <c r="I770" i="1" s="1"/>
  <c r="H771" i="1"/>
  <c r="I771" i="1" s="1"/>
  <c r="H772" i="1"/>
  <c r="I772" i="1" s="1"/>
  <c r="H773" i="1"/>
  <c r="I773" i="1" s="1"/>
  <c r="H774" i="1"/>
  <c r="I774" i="1" s="1"/>
  <c r="H775" i="1"/>
  <c r="I775" i="1" s="1"/>
  <c r="H776" i="1"/>
  <c r="I776" i="1" s="1"/>
  <c r="H777" i="1"/>
  <c r="I777" i="1" s="1"/>
  <c r="H778" i="1"/>
  <c r="I778" i="1" s="1"/>
  <c r="H779" i="1"/>
  <c r="I779" i="1" s="1"/>
  <c r="H780" i="1"/>
  <c r="I780" i="1" s="1"/>
  <c r="H781" i="1"/>
  <c r="I781" i="1" s="1"/>
  <c r="H782" i="1"/>
  <c r="I782" i="1" s="1"/>
  <c r="H783" i="1"/>
  <c r="I783" i="1" s="1"/>
  <c r="H784" i="1"/>
  <c r="I784" i="1" s="1"/>
  <c r="H785" i="1"/>
  <c r="I785" i="1" s="1"/>
  <c r="H786" i="1"/>
  <c r="I786" i="1" s="1"/>
  <c r="H787" i="1"/>
  <c r="I787" i="1" s="1"/>
  <c r="H788" i="1"/>
  <c r="I788" i="1" s="1"/>
  <c r="H789" i="1"/>
  <c r="I789" i="1" s="1"/>
  <c r="H790" i="1"/>
  <c r="I790" i="1" s="1"/>
  <c r="H791" i="1"/>
  <c r="I791" i="1" s="1"/>
  <c r="H792" i="1"/>
  <c r="I792" i="1" s="1"/>
  <c r="H793" i="1"/>
  <c r="I793" i="1" s="1"/>
  <c r="H794" i="1"/>
  <c r="I794" i="1" s="1"/>
  <c r="H795" i="1"/>
  <c r="I795" i="1" s="1"/>
  <c r="H796" i="1"/>
  <c r="I796" i="1" s="1"/>
  <c r="H797" i="1"/>
  <c r="I797" i="1" s="1"/>
  <c r="H798" i="1"/>
  <c r="I798" i="1" s="1"/>
  <c r="H799" i="1"/>
  <c r="I799" i="1" s="1"/>
  <c r="H800" i="1"/>
  <c r="I800" i="1" s="1"/>
  <c r="H801" i="1"/>
  <c r="I801" i="1" s="1"/>
  <c r="H802" i="1"/>
  <c r="I802" i="1" s="1"/>
  <c r="H803" i="1"/>
  <c r="I803" i="1" s="1"/>
  <c r="H804" i="1"/>
  <c r="I804" i="1" s="1"/>
  <c r="H805" i="1"/>
  <c r="I805" i="1" s="1"/>
  <c r="H806" i="1"/>
  <c r="I806" i="1" s="1"/>
  <c r="H807" i="1"/>
  <c r="I807" i="1" s="1"/>
  <c r="H808" i="1"/>
  <c r="I808" i="1" s="1"/>
  <c r="H809" i="1"/>
  <c r="I809" i="1" s="1"/>
  <c r="H810" i="1"/>
  <c r="I810" i="1" s="1"/>
  <c r="H811" i="1"/>
  <c r="I811" i="1" s="1"/>
  <c r="H812" i="1"/>
  <c r="I812" i="1" s="1"/>
  <c r="H813" i="1"/>
  <c r="I813" i="1" s="1"/>
  <c r="H814" i="1"/>
  <c r="I814" i="1" s="1"/>
  <c r="H815" i="1"/>
  <c r="I815" i="1" s="1"/>
  <c r="H816" i="1"/>
  <c r="I816" i="1" s="1"/>
  <c r="H817" i="1"/>
  <c r="I817" i="1" s="1"/>
  <c r="H818" i="1"/>
  <c r="I818" i="1" s="1"/>
  <c r="H819" i="1"/>
  <c r="I819" i="1" s="1"/>
  <c r="H820" i="1"/>
  <c r="I820" i="1" s="1"/>
  <c r="H821" i="1"/>
  <c r="I821" i="1" s="1"/>
  <c r="H822" i="1"/>
  <c r="I822" i="1" s="1"/>
  <c r="H823" i="1"/>
  <c r="I823" i="1" s="1"/>
  <c r="H824" i="1"/>
  <c r="I824" i="1" s="1"/>
  <c r="H825" i="1"/>
  <c r="I825" i="1" s="1"/>
  <c r="H826" i="1"/>
  <c r="I826" i="1" s="1"/>
  <c r="H827" i="1"/>
  <c r="I827" i="1" s="1"/>
  <c r="H828" i="1"/>
  <c r="I828" i="1" s="1"/>
  <c r="H829" i="1"/>
  <c r="I829" i="1" s="1"/>
  <c r="H830" i="1"/>
  <c r="I830" i="1" s="1"/>
  <c r="H831" i="1"/>
  <c r="I831" i="1" s="1"/>
  <c r="H832" i="1"/>
  <c r="I832" i="1" s="1"/>
  <c r="H833" i="1"/>
  <c r="I833" i="1" s="1"/>
  <c r="H834" i="1"/>
  <c r="I834" i="1" s="1"/>
  <c r="H835" i="1"/>
  <c r="I835" i="1" s="1"/>
  <c r="H836" i="1"/>
  <c r="I836" i="1" s="1"/>
  <c r="H837" i="1"/>
  <c r="I837" i="1" s="1"/>
  <c r="H838" i="1"/>
  <c r="I838" i="1" s="1"/>
  <c r="H839" i="1"/>
  <c r="I839" i="1" s="1"/>
  <c r="H840" i="1"/>
  <c r="I840" i="1" s="1"/>
  <c r="H841" i="1"/>
  <c r="I841" i="1" s="1"/>
  <c r="H842" i="1"/>
  <c r="I842" i="1" s="1"/>
  <c r="H843" i="1"/>
  <c r="I843" i="1" s="1"/>
  <c r="H844" i="1"/>
  <c r="I844" i="1" s="1"/>
  <c r="H845" i="1"/>
  <c r="I845" i="1" s="1"/>
  <c r="H846" i="1"/>
  <c r="I846" i="1" s="1"/>
  <c r="H847" i="1"/>
  <c r="I847" i="1" s="1"/>
  <c r="H848" i="1"/>
  <c r="I848" i="1" s="1"/>
  <c r="H849" i="1"/>
  <c r="I849" i="1" s="1"/>
  <c r="H850" i="1"/>
  <c r="I850" i="1" s="1"/>
  <c r="H851" i="1"/>
  <c r="I851" i="1" s="1"/>
  <c r="H852" i="1"/>
  <c r="I852" i="1" s="1"/>
  <c r="H853" i="1"/>
  <c r="I853" i="1" s="1"/>
  <c r="H854" i="1"/>
  <c r="I854" i="1" s="1"/>
  <c r="H855" i="1"/>
  <c r="I855" i="1" s="1"/>
  <c r="H856" i="1"/>
  <c r="I856" i="1" s="1"/>
  <c r="H857" i="1"/>
  <c r="I857" i="1" s="1"/>
  <c r="H858" i="1"/>
  <c r="I858" i="1" s="1"/>
  <c r="H859" i="1"/>
  <c r="I859" i="1" s="1"/>
  <c r="H860" i="1"/>
  <c r="I860" i="1" s="1"/>
  <c r="H861" i="1"/>
  <c r="I861" i="1" s="1"/>
  <c r="H862" i="1"/>
  <c r="I862" i="1" s="1"/>
  <c r="H863" i="1"/>
  <c r="I863" i="1" s="1"/>
  <c r="H864" i="1"/>
  <c r="I864" i="1" s="1"/>
  <c r="H865" i="1"/>
  <c r="I865" i="1" s="1"/>
  <c r="H866" i="1"/>
  <c r="I866" i="1" s="1"/>
  <c r="H867" i="1"/>
  <c r="I867" i="1" s="1"/>
  <c r="H868" i="1"/>
  <c r="I868" i="1" s="1"/>
  <c r="H869" i="1"/>
  <c r="I869" i="1" s="1"/>
  <c r="H870" i="1"/>
  <c r="I870" i="1" s="1"/>
  <c r="H871" i="1"/>
  <c r="I871" i="1" s="1"/>
  <c r="H872" i="1"/>
  <c r="I872" i="1" s="1"/>
  <c r="H873" i="1"/>
  <c r="I873" i="1" s="1"/>
  <c r="H874" i="1"/>
  <c r="I874" i="1" s="1"/>
  <c r="H875" i="1"/>
  <c r="I875" i="1" s="1"/>
  <c r="H876" i="1"/>
  <c r="I876" i="1" s="1"/>
  <c r="H877" i="1"/>
  <c r="I877" i="1" s="1"/>
  <c r="H878" i="1"/>
  <c r="I878" i="1" s="1"/>
  <c r="H879" i="1"/>
  <c r="I879" i="1" s="1"/>
  <c r="H880" i="1"/>
  <c r="I880" i="1" s="1"/>
  <c r="H881" i="1"/>
  <c r="I881" i="1" s="1"/>
  <c r="H882" i="1"/>
  <c r="I882" i="1" s="1"/>
  <c r="H883" i="1"/>
  <c r="I883" i="1" s="1"/>
  <c r="H884" i="1"/>
  <c r="I884" i="1" s="1"/>
  <c r="H885" i="1"/>
  <c r="I885" i="1" s="1"/>
  <c r="H886" i="1"/>
  <c r="I886" i="1" s="1"/>
  <c r="H887" i="1"/>
  <c r="I887" i="1" s="1"/>
  <c r="H888" i="1"/>
  <c r="I888" i="1" s="1"/>
  <c r="H889" i="1"/>
  <c r="I889" i="1" s="1"/>
  <c r="H890" i="1"/>
  <c r="I890" i="1" s="1"/>
  <c r="H891" i="1"/>
  <c r="I891" i="1" s="1"/>
  <c r="H892" i="1"/>
  <c r="I892" i="1" s="1"/>
  <c r="H893" i="1"/>
  <c r="I893" i="1" s="1"/>
  <c r="H894" i="1"/>
  <c r="I894" i="1" s="1"/>
  <c r="H895" i="1"/>
  <c r="I895" i="1" s="1"/>
  <c r="H896" i="1"/>
  <c r="I896" i="1" s="1"/>
  <c r="H897" i="1"/>
  <c r="I897" i="1" s="1"/>
  <c r="H898" i="1"/>
  <c r="I898" i="1" s="1"/>
  <c r="H899" i="1"/>
  <c r="I899" i="1" s="1"/>
  <c r="H900" i="1"/>
  <c r="I900" i="1" s="1"/>
  <c r="H901" i="1"/>
  <c r="I901" i="1" s="1"/>
  <c r="H902" i="1"/>
  <c r="I902" i="1" s="1"/>
  <c r="H903" i="1"/>
  <c r="I903" i="1" s="1"/>
  <c r="H904" i="1"/>
  <c r="I904" i="1" s="1"/>
  <c r="H905" i="1"/>
  <c r="I905" i="1" s="1"/>
  <c r="H906" i="1"/>
  <c r="I906" i="1" s="1"/>
  <c r="H907" i="1"/>
  <c r="I907" i="1" s="1"/>
  <c r="H908" i="1"/>
  <c r="I908" i="1" s="1"/>
  <c r="H909" i="1"/>
  <c r="I909" i="1" s="1"/>
  <c r="H910" i="1"/>
  <c r="I910" i="1" s="1"/>
  <c r="H911" i="1"/>
  <c r="I911" i="1" s="1"/>
  <c r="H912" i="1"/>
  <c r="I912" i="1" s="1"/>
  <c r="H913" i="1"/>
  <c r="I913" i="1" s="1"/>
  <c r="H914" i="1"/>
  <c r="I914" i="1" s="1"/>
  <c r="H915" i="1"/>
  <c r="I915" i="1" s="1"/>
  <c r="H916" i="1"/>
  <c r="I916" i="1" s="1"/>
  <c r="H917" i="1"/>
  <c r="I917" i="1" s="1"/>
  <c r="H918" i="1"/>
  <c r="I918" i="1" s="1"/>
  <c r="H919" i="1"/>
  <c r="I919" i="1" s="1"/>
  <c r="H920" i="1"/>
  <c r="I920" i="1" s="1"/>
  <c r="H921" i="1"/>
  <c r="I921" i="1" s="1"/>
  <c r="H922" i="1"/>
  <c r="I922" i="1" s="1"/>
  <c r="H923" i="1"/>
  <c r="I923" i="1" s="1"/>
  <c r="H924" i="1"/>
  <c r="I924" i="1" s="1"/>
  <c r="H925" i="1"/>
  <c r="I925" i="1" s="1"/>
  <c r="H926" i="1"/>
  <c r="I926" i="1" s="1"/>
  <c r="H927" i="1"/>
  <c r="I927" i="1" s="1"/>
  <c r="H928" i="1"/>
  <c r="I928" i="1" s="1"/>
  <c r="H929" i="1"/>
  <c r="I929" i="1" s="1"/>
  <c r="H930" i="1"/>
  <c r="I930" i="1" s="1"/>
  <c r="H931" i="1"/>
  <c r="I931" i="1" s="1"/>
  <c r="H932" i="1"/>
  <c r="I932" i="1" s="1"/>
  <c r="H933" i="1"/>
  <c r="I933" i="1" s="1"/>
  <c r="H934" i="1"/>
  <c r="I934" i="1" s="1"/>
  <c r="H935" i="1"/>
  <c r="I935" i="1" s="1"/>
  <c r="H936" i="1"/>
  <c r="I936" i="1" s="1"/>
  <c r="H937" i="1"/>
  <c r="I937" i="1" s="1"/>
  <c r="H938" i="1"/>
  <c r="I938" i="1" s="1"/>
  <c r="H939" i="1"/>
  <c r="I939" i="1" s="1"/>
  <c r="H940" i="1"/>
  <c r="I940" i="1" s="1"/>
  <c r="H941" i="1"/>
  <c r="I941" i="1" s="1"/>
  <c r="H942" i="1"/>
  <c r="I942" i="1" s="1"/>
  <c r="H943" i="1"/>
  <c r="I943" i="1" s="1"/>
  <c r="H944" i="1"/>
  <c r="I944" i="1" s="1"/>
  <c r="H945" i="1"/>
  <c r="I945" i="1" s="1"/>
  <c r="H946" i="1"/>
  <c r="I946" i="1" s="1"/>
  <c r="H947" i="1"/>
  <c r="I947" i="1" s="1"/>
  <c r="H948" i="1"/>
  <c r="I948" i="1" s="1"/>
  <c r="H949" i="1"/>
  <c r="I949" i="1" s="1"/>
  <c r="H950" i="1"/>
  <c r="I950" i="1" s="1"/>
  <c r="H951" i="1"/>
  <c r="I951" i="1" s="1"/>
  <c r="H952" i="1"/>
  <c r="I952" i="1" s="1"/>
  <c r="H953" i="1"/>
  <c r="I953" i="1" s="1"/>
  <c r="H954" i="1"/>
  <c r="I954" i="1" s="1"/>
  <c r="H955" i="1"/>
  <c r="I955" i="1" s="1"/>
  <c r="H956" i="1"/>
  <c r="I956" i="1" s="1"/>
  <c r="H957" i="1"/>
  <c r="I957" i="1" s="1"/>
  <c r="H958" i="1"/>
  <c r="I958" i="1" s="1"/>
  <c r="H959" i="1"/>
  <c r="I959" i="1" s="1"/>
  <c r="H960" i="1"/>
  <c r="I960" i="1" s="1"/>
  <c r="H961" i="1"/>
  <c r="I961" i="1" s="1"/>
  <c r="H962" i="1"/>
  <c r="I962" i="1" s="1"/>
  <c r="H963" i="1"/>
  <c r="I963" i="1" s="1"/>
  <c r="H964" i="1"/>
  <c r="I964" i="1" s="1"/>
  <c r="H965" i="1"/>
  <c r="I965" i="1" s="1"/>
  <c r="H966" i="1"/>
  <c r="I966" i="1" s="1"/>
  <c r="H967" i="1"/>
  <c r="I967" i="1" s="1"/>
  <c r="H968" i="1"/>
  <c r="I968" i="1" s="1"/>
  <c r="H969" i="1"/>
  <c r="I969" i="1" s="1"/>
  <c r="H970" i="1"/>
  <c r="I970" i="1" s="1"/>
  <c r="H971" i="1"/>
  <c r="I971" i="1" s="1"/>
  <c r="H972" i="1"/>
  <c r="I972" i="1" s="1"/>
  <c r="H973" i="1"/>
  <c r="I973" i="1" s="1"/>
  <c r="H974" i="1"/>
  <c r="I974" i="1" s="1"/>
  <c r="H975" i="1"/>
  <c r="I975" i="1" s="1"/>
  <c r="H976" i="1"/>
  <c r="I976" i="1" s="1"/>
  <c r="H977" i="1"/>
  <c r="I977" i="1" s="1"/>
  <c r="H978" i="1"/>
  <c r="I978" i="1" s="1"/>
  <c r="H979" i="1"/>
  <c r="I979" i="1" s="1"/>
  <c r="H980" i="1"/>
  <c r="I980" i="1" s="1"/>
  <c r="H981" i="1"/>
  <c r="I981" i="1" s="1"/>
  <c r="H982" i="1"/>
  <c r="I982" i="1" s="1"/>
  <c r="H983" i="1"/>
  <c r="I983" i="1" s="1"/>
  <c r="H984" i="1"/>
  <c r="I984" i="1" s="1"/>
  <c r="H985" i="1"/>
  <c r="I985" i="1" s="1"/>
  <c r="H986" i="1"/>
  <c r="I986" i="1" s="1"/>
  <c r="H987" i="1"/>
  <c r="I987" i="1" s="1"/>
  <c r="H988" i="1"/>
  <c r="I988" i="1" s="1"/>
  <c r="H989" i="1"/>
  <c r="I989" i="1" s="1"/>
  <c r="H990" i="1"/>
  <c r="I990" i="1" s="1"/>
  <c r="H991" i="1"/>
  <c r="I991" i="1" s="1"/>
  <c r="H992" i="1"/>
  <c r="I992" i="1" s="1"/>
  <c r="H993" i="1"/>
  <c r="I993" i="1" s="1"/>
  <c r="H994" i="1"/>
  <c r="I994" i="1" s="1"/>
  <c r="H995" i="1"/>
  <c r="I995" i="1" s="1"/>
  <c r="H996" i="1"/>
  <c r="I996" i="1" s="1"/>
  <c r="H997" i="1"/>
  <c r="I997" i="1" s="1"/>
  <c r="H998" i="1"/>
  <c r="I998" i="1" s="1"/>
  <c r="H999" i="1"/>
  <c r="I999" i="1" s="1"/>
  <c r="H1000" i="1"/>
  <c r="I1000" i="1" s="1"/>
  <c r="H1001" i="1"/>
  <c r="I1001" i="1" s="1"/>
  <c r="H1002" i="1"/>
  <c r="I1002" i="1" s="1"/>
  <c r="H1003" i="1"/>
  <c r="I1003" i="1" s="1"/>
  <c r="H1004" i="1"/>
  <c r="I1004" i="1" s="1"/>
  <c r="H1005" i="1"/>
  <c r="I1005" i="1" s="1"/>
  <c r="H1006" i="1"/>
  <c r="I1006" i="1" s="1"/>
  <c r="H1007" i="1"/>
  <c r="I1007" i="1" s="1"/>
  <c r="H1008" i="1"/>
  <c r="I1008" i="1" s="1"/>
  <c r="H1009" i="1"/>
  <c r="I1009" i="1" s="1"/>
  <c r="H1010" i="1"/>
  <c r="I1010" i="1" s="1"/>
  <c r="H1011" i="1"/>
  <c r="I1011" i="1" s="1"/>
  <c r="H1012" i="1"/>
  <c r="I1012" i="1" s="1"/>
  <c r="H1013" i="1"/>
  <c r="I1013" i="1" s="1"/>
  <c r="H1014" i="1"/>
  <c r="I1014" i="1" s="1"/>
  <c r="H1015" i="1"/>
  <c r="I1015" i="1" s="1"/>
  <c r="H1016" i="1"/>
  <c r="I1016" i="1" s="1"/>
  <c r="H1017" i="1"/>
  <c r="I1017" i="1" s="1"/>
  <c r="H1018" i="1"/>
  <c r="I1018" i="1" s="1"/>
  <c r="H1019" i="1"/>
  <c r="I1019" i="1" s="1"/>
  <c r="H1020" i="1"/>
  <c r="I1020" i="1" s="1"/>
  <c r="H1021" i="1"/>
  <c r="I1021" i="1" s="1"/>
  <c r="H1022" i="1"/>
  <c r="I1022" i="1" s="1"/>
  <c r="H1023" i="1"/>
  <c r="I1023" i="1" s="1"/>
  <c r="H1024" i="1"/>
  <c r="I1024" i="1" s="1"/>
  <c r="H1025" i="1"/>
  <c r="I1025" i="1" s="1"/>
  <c r="H1026" i="1"/>
  <c r="I1026" i="1" s="1"/>
  <c r="H1027" i="1"/>
  <c r="I1027" i="1" s="1"/>
  <c r="H1028" i="1"/>
  <c r="I1028" i="1" s="1"/>
  <c r="H1029" i="1"/>
  <c r="I1029" i="1" s="1"/>
  <c r="H1030" i="1"/>
  <c r="I1030" i="1" s="1"/>
  <c r="H1031" i="1"/>
  <c r="I1031" i="1" s="1"/>
  <c r="H1032" i="1"/>
  <c r="I1032" i="1" s="1"/>
  <c r="H1033" i="1"/>
  <c r="I1033" i="1" s="1"/>
  <c r="H1034" i="1"/>
  <c r="I1034" i="1" s="1"/>
  <c r="H1035" i="1"/>
  <c r="I1035" i="1" s="1"/>
  <c r="H1036" i="1"/>
  <c r="I1036" i="1" s="1"/>
  <c r="H1037" i="1"/>
  <c r="I1037" i="1" s="1"/>
  <c r="H1038" i="1"/>
  <c r="I1038" i="1" s="1"/>
  <c r="H1039" i="1"/>
  <c r="I1039" i="1" s="1"/>
  <c r="H1040" i="1"/>
  <c r="I1040" i="1" s="1"/>
  <c r="H1041" i="1"/>
  <c r="I1041" i="1" s="1"/>
  <c r="H1042" i="1"/>
  <c r="I1042" i="1" s="1"/>
  <c r="H1043" i="1"/>
  <c r="I1043" i="1" s="1"/>
  <c r="H1044" i="1"/>
  <c r="I1044" i="1" s="1"/>
  <c r="H1045" i="1"/>
  <c r="I1045" i="1" s="1"/>
  <c r="H1046" i="1"/>
  <c r="I1046" i="1" s="1"/>
  <c r="H1047" i="1"/>
  <c r="I1047" i="1" s="1"/>
  <c r="H1048" i="1"/>
  <c r="I1048" i="1" s="1"/>
  <c r="H1049" i="1"/>
  <c r="I1049" i="1" s="1"/>
  <c r="H1050" i="1"/>
  <c r="I1050" i="1" s="1"/>
  <c r="H1051" i="1"/>
  <c r="I1051" i="1" s="1"/>
  <c r="H1052" i="1"/>
  <c r="I1052" i="1" s="1"/>
  <c r="H1053" i="1"/>
  <c r="I1053" i="1" s="1"/>
  <c r="H1054" i="1"/>
  <c r="I1054" i="1" s="1"/>
  <c r="H1055" i="1"/>
  <c r="I1055" i="1" s="1"/>
  <c r="H1056" i="1"/>
  <c r="I1056" i="1" s="1"/>
  <c r="H1057" i="1"/>
  <c r="I1057" i="1" s="1"/>
  <c r="H1058" i="1"/>
  <c r="I1058" i="1" s="1"/>
  <c r="H1059" i="1"/>
  <c r="I1059" i="1" s="1"/>
  <c r="H1060" i="1"/>
  <c r="I1060" i="1" s="1"/>
  <c r="H1061" i="1"/>
  <c r="I1061" i="1" s="1"/>
  <c r="H1062" i="1"/>
  <c r="I1062" i="1" s="1"/>
  <c r="H1063" i="1"/>
  <c r="I1063" i="1" s="1"/>
  <c r="H1064" i="1"/>
  <c r="I1064" i="1" s="1"/>
  <c r="H1065" i="1"/>
  <c r="I1065" i="1" s="1"/>
  <c r="H1066" i="1"/>
  <c r="I1066" i="1" s="1"/>
  <c r="H1067" i="1"/>
  <c r="I1067" i="1" s="1"/>
  <c r="H1068" i="1"/>
  <c r="I1068" i="1" s="1"/>
  <c r="H1069" i="1"/>
  <c r="I1069" i="1" s="1"/>
  <c r="H1070" i="1"/>
  <c r="I1070" i="1" s="1"/>
  <c r="H1071" i="1"/>
  <c r="I1071" i="1" s="1"/>
  <c r="H1072" i="1"/>
  <c r="I1072" i="1" s="1"/>
  <c r="H1073" i="1"/>
  <c r="I1073" i="1" s="1"/>
  <c r="H1074" i="1"/>
  <c r="I1074" i="1" s="1"/>
  <c r="H1075" i="1"/>
  <c r="I1075" i="1" s="1"/>
  <c r="H1076" i="1"/>
  <c r="I1076" i="1" s="1"/>
  <c r="H1077" i="1"/>
  <c r="I1077" i="1" s="1"/>
  <c r="H1078" i="1"/>
  <c r="I1078" i="1" s="1"/>
  <c r="H1079" i="1"/>
  <c r="I1079" i="1" s="1"/>
  <c r="H1080" i="1"/>
  <c r="I1080" i="1" s="1"/>
  <c r="H1081" i="1"/>
  <c r="I1081" i="1" s="1"/>
  <c r="H1082" i="1"/>
  <c r="I1082" i="1" s="1"/>
  <c r="H1083" i="1"/>
  <c r="I1083" i="1" s="1"/>
  <c r="H1084" i="1"/>
  <c r="I1084" i="1" s="1"/>
  <c r="H1085" i="1"/>
  <c r="I1085" i="1" s="1"/>
  <c r="H1086" i="1"/>
  <c r="I1086" i="1" s="1"/>
  <c r="H1087" i="1"/>
  <c r="I1087" i="1" s="1"/>
  <c r="H1088" i="1"/>
  <c r="I1088" i="1" s="1"/>
  <c r="H1089" i="1"/>
  <c r="I1089" i="1" s="1"/>
  <c r="H1090" i="1"/>
  <c r="I1090" i="1" s="1"/>
  <c r="H1091" i="1"/>
  <c r="I1091" i="1" s="1"/>
  <c r="H1092" i="1"/>
  <c r="I1092" i="1" s="1"/>
  <c r="H1093" i="1"/>
  <c r="I1093" i="1" s="1"/>
  <c r="H1094" i="1"/>
  <c r="I1094" i="1" s="1"/>
  <c r="H1095" i="1"/>
  <c r="I1095" i="1" s="1"/>
  <c r="H1096" i="1"/>
  <c r="I1096" i="1" s="1"/>
  <c r="H1097" i="1"/>
  <c r="I1097" i="1" s="1"/>
  <c r="H1098" i="1"/>
  <c r="I1098" i="1" s="1"/>
  <c r="H1099" i="1"/>
  <c r="I1099" i="1" s="1"/>
  <c r="H1100" i="1"/>
  <c r="I1100" i="1" s="1"/>
  <c r="H1101" i="1"/>
  <c r="I1101" i="1" s="1"/>
  <c r="H1102" i="1"/>
  <c r="I1102" i="1" s="1"/>
  <c r="H1103" i="1"/>
  <c r="I1103" i="1" s="1"/>
  <c r="H1104" i="1"/>
  <c r="I1104" i="1" s="1"/>
  <c r="H1105" i="1"/>
  <c r="I1105" i="1" s="1"/>
  <c r="H1106" i="1"/>
  <c r="I1106" i="1" s="1"/>
  <c r="H1107" i="1"/>
  <c r="I1107" i="1" s="1"/>
  <c r="H1108" i="1"/>
  <c r="I1108" i="1" s="1"/>
  <c r="H1109" i="1"/>
  <c r="I1109" i="1" s="1"/>
  <c r="H1110" i="1"/>
  <c r="I1110" i="1" s="1"/>
  <c r="H1111" i="1"/>
  <c r="I1111" i="1" s="1"/>
  <c r="H1112" i="1"/>
  <c r="I1112" i="1" s="1"/>
  <c r="H1113" i="1"/>
  <c r="I1113" i="1" s="1"/>
  <c r="H1114" i="1"/>
  <c r="I1114" i="1" s="1"/>
  <c r="H1115" i="1"/>
  <c r="I1115" i="1" s="1"/>
  <c r="H1116" i="1"/>
  <c r="I1116" i="1" s="1"/>
  <c r="H1117" i="1"/>
  <c r="I1117" i="1" s="1"/>
  <c r="H1118" i="1"/>
  <c r="I1118" i="1" s="1"/>
  <c r="H1119" i="1"/>
  <c r="I1119" i="1" s="1"/>
  <c r="H1120" i="1"/>
  <c r="I1120" i="1" s="1"/>
  <c r="H1121" i="1"/>
  <c r="I1121" i="1" s="1"/>
  <c r="H1122" i="1"/>
  <c r="I1122" i="1" s="1"/>
  <c r="H1123" i="1"/>
  <c r="I1123" i="1" s="1"/>
  <c r="H1124" i="1"/>
  <c r="I1124" i="1" s="1"/>
  <c r="H1125" i="1"/>
  <c r="I1125" i="1" s="1"/>
  <c r="H1126" i="1"/>
  <c r="I1126" i="1" s="1"/>
  <c r="H1127" i="1"/>
  <c r="I1127" i="1" s="1"/>
  <c r="H1128" i="1"/>
  <c r="I1128" i="1" s="1"/>
  <c r="H1129" i="1"/>
  <c r="I1129" i="1" s="1"/>
  <c r="H1130" i="1"/>
  <c r="I1130" i="1" s="1"/>
  <c r="H1131" i="1"/>
  <c r="I1131" i="1" s="1"/>
  <c r="H1132" i="1"/>
  <c r="I1132" i="1" s="1"/>
  <c r="H1133" i="1"/>
  <c r="I1133" i="1" s="1"/>
  <c r="H1134" i="1"/>
  <c r="I1134" i="1" s="1"/>
  <c r="H1135" i="1"/>
  <c r="I1135" i="1" s="1"/>
  <c r="H1136" i="1"/>
  <c r="I1136" i="1" s="1"/>
  <c r="H1137" i="1"/>
  <c r="I1137" i="1" s="1"/>
  <c r="H1138" i="1"/>
  <c r="I1138" i="1" s="1"/>
  <c r="H1139" i="1"/>
  <c r="I1139" i="1" s="1"/>
  <c r="H1140" i="1"/>
  <c r="I1140" i="1" s="1"/>
  <c r="H1141" i="1"/>
  <c r="I1141" i="1" s="1"/>
  <c r="H1142" i="1"/>
  <c r="I1142" i="1" s="1"/>
  <c r="H1143" i="1"/>
  <c r="I1143" i="1" s="1"/>
  <c r="H1144" i="1"/>
  <c r="I1144" i="1" s="1"/>
  <c r="H1145" i="1"/>
  <c r="I1145" i="1" s="1"/>
  <c r="H1146" i="1"/>
  <c r="I1146" i="1" s="1"/>
  <c r="H1147" i="1"/>
  <c r="I1147" i="1" s="1"/>
  <c r="H1148" i="1"/>
  <c r="I1148" i="1" s="1"/>
  <c r="H1149" i="1"/>
  <c r="I1149" i="1" s="1"/>
  <c r="H1150" i="1"/>
  <c r="I1150" i="1" s="1"/>
  <c r="H1151" i="1"/>
  <c r="I1151" i="1" s="1"/>
  <c r="H1152" i="1"/>
  <c r="I1152" i="1" s="1"/>
  <c r="H1153" i="1"/>
  <c r="I1153" i="1" s="1"/>
  <c r="H1154" i="1"/>
  <c r="I1154" i="1" s="1"/>
  <c r="H1155" i="1"/>
  <c r="I1155" i="1" s="1"/>
  <c r="H1156" i="1"/>
  <c r="I1156" i="1" s="1"/>
  <c r="H1157" i="1"/>
  <c r="I1157" i="1" s="1"/>
  <c r="H1158" i="1"/>
  <c r="I1158" i="1" s="1"/>
  <c r="H1159" i="1"/>
  <c r="I1159" i="1" s="1"/>
  <c r="H1160" i="1"/>
  <c r="I1160" i="1" s="1"/>
  <c r="H1161" i="1"/>
  <c r="I1161" i="1" s="1"/>
  <c r="H1162" i="1"/>
  <c r="I1162" i="1" s="1"/>
  <c r="H1163" i="1"/>
  <c r="I1163" i="1" s="1"/>
  <c r="H1164" i="1"/>
  <c r="I1164" i="1" s="1"/>
  <c r="H1165" i="1"/>
  <c r="I1165" i="1" s="1"/>
  <c r="H1166" i="1"/>
  <c r="I1166" i="1" s="1"/>
  <c r="H1167" i="1"/>
  <c r="I1167" i="1" s="1"/>
  <c r="H1168" i="1"/>
  <c r="I1168" i="1" s="1"/>
  <c r="H1169" i="1"/>
  <c r="I1169" i="1" s="1"/>
  <c r="H1170" i="1"/>
  <c r="I1170" i="1" s="1"/>
  <c r="H1171" i="1"/>
  <c r="I1171" i="1" s="1"/>
  <c r="H1172" i="1"/>
  <c r="I1172" i="1" s="1"/>
  <c r="H1173" i="1"/>
  <c r="I1173" i="1" s="1"/>
  <c r="H1174" i="1"/>
  <c r="I1174" i="1" s="1"/>
  <c r="H1175" i="1"/>
  <c r="I1175" i="1" s="1"/>
  <c r="H1176" i="1"/>
  <c r="I1176" i="1" s="1"/>
  <c r="H1177" i="1"/>
  <c r="I1177" i="1" s="1"/>
  <c r="H1178" i="1"/>
  <c r="I1178" i="1" s="1"/>
  <c r="H1179" i="1"/>
  <c r="I1179" i="1" s="1"/>
  <c r="H1180" i="1"/>
  <c r="I1180" i="1" s="1"/>
  <c r="H1181" i="1"/>
  <c r="I1181" i="1" s="1"/>
  <c r="H1182" i="1"/>
  <c r="I1182" i="1" s="1"/>
  <c r="H1183" i="1"/>
  <c r="I1183" i="1" s="1"/>
  <c r="H1184" i="1"/>
  <c r="I1184" i="1" s="1"/>
  <c r="H1185" i="1"/>
  <c r="I1185" i="1" s="1"/>
  <c r="H1186" i="1"/>
  <c r="I1186" i="1" s="1"/>
  <c r="H1187" i="1"/>
  <c r="I1187" i="1" s="1"/>
  <c r="H1188" i="1"/>
  <c r="I1188" i="1" s="1"/>
  <c r="H1189" i="1"/>
  <c r="I1189" i="1" s="1"/>
  <c r="H1190" i="1"/>
  <c r="I1190" i="1" s="1"/>
  <c r="H1191" i="1"/>
  <c r="I1191" i="1" s="1"/>
  <c r="H1192" i="1"/>
  <c r="I1192" i="1" s="1"/>
  <c r="H1193" i="1"/>
  <c r="I1193" i="1" s="1"/>
  <c r="H1194" i="1"/>
  <c r="I1194" i="1" s="1"/>
  <c r="H1195" i="1"/>
  <c r="I1195" i="1" s="1"/>
  <c r="H1196" i="1"/>
  <c r="I1196" i="1" s="1"/>
  <c r="H1197" i="1"/>
  <c r="I1197" i="1" s="1"/>
  <c r="H1198" i="1"/>
  <c r="I1198" i="1" s="1"/>
  <c r="H1199" i="1"/>
  <c r="I1199" i="1" s="1"/>
  <c r="H1200" i="1"/>
  <c r="I1200" i="1" s="1"/>
  <c r="H1201" i="1"/>
  <c r="I1201" i="1" s="1"/>
  <c r="H1202" i="1"/>
  <c r="I1202" i="1" s="1"/>
  <c r="H1203" i="1"/>
  <c r="I1203" i="1" s="1"/>
  <c r="H1204" i="1"/>
  <c r="I1204" i="1" s="1"/>
  <c r="H1205" i="1"/>
  <c r="I1205" i="1" s="1"/>
  <c r="H1206" i="1"/>
  <c r="I1206" i="1" s="1"/>
  <c r="H1207" i="1"/>
  <c r="I1207" i="1" s="1"/>
  <c r="H1208" i="1"/>
  <c r="I1208" i="1" s="1"/>
  <c r="H1209" i="1"/>
  <c r="I1209" i="1" s="1"/>
  <c r="H1210" i="1"/>
  <c r="I1210" i="1" s="1"/>
  <c r="H1211" i="1"/>
  <c r="I1211" i="1" s="1"/>
  <c r="H1212" i="1"/>
  <c r="I1212" i="1" s="1"/>
  <c r="H1213" i="1"/>
  <c r="I1213" i="1" s="1"/>
  <c r="H1214" i="1"/>
  <c r="I1214" i="1" s="1"/>
  <c r="H1215" i="1"/>
  <c r="I1215" i="1" s="1"/>
  <c r="H1216" i="1"/>
  <c r="I1216" i="1" s="1"/>
  <c r="H1217" i="1"/>
  <c r="I1217" i="1" s="1"/>
  <c r="H1218" i="1"/>
  <c r="I1218" i="1" s="1"/>
  <c r="H1219" i="1"/>
  <c r="I1219" i="1" s="1"/>
  <c r="H1220" i="1"/>
  <c r="I1220" i="1" s="1"/>
  <c r="H1221" i="1"/>
  <c r="I1221" i="1" s="1"/>
  <c r="H1222" i="1"/>
  <c r="I1222" i="1" s="1"/>
  <c r="H1223" i="1"/>
  <c r="I1223" i="1" s="1"/>
  <c r="H1224" i="1"/>
  <c r="I1224" i="1" s="1"/>
  <c r="H1225" i="1"/>
  <c r="I1225" i="1" s="1"/>
  <c r="H1226" i="1"/>
  <c r="I1226" i="1" s="1"/>
  <c r="H1227" i="1"/>
  <c r="I1227" i="1" s="1"/>
  <c r="H1228" i="1"/>
  <c r="I1228" i="1" s="1"/>
  <c r="H1229" i="1"/>
  <c r="I1229" i="1" s="1"/>
  <c r="H1230" i="1"/>
  <c r="I1230" i="1" s="1"/>
  <c r="H1231" i="1"/>
  <c r="I1231" i="1" s="1"/>
  <c r="H1232" i="1"/>
  <c r="I1232" i="1" s="1"/>
  <c r="H1233" i="1"/>
  <c r="I1233" i="1" s="1"/>
  <c r="H1234" i="1"/>
  <c r="I1234" i="1" s="1"/>
  <c r="H1235" i="1"/>
  <c r="I1235" i="1" s="1"/>
  <c r="H1236" i="1"/>
  <c r="I1236" i="1" s="1"/>
  <c r="H1237" i="1"/>
  <c r="I1237" i="1" s="1"/>
  <c r="H1238" i="1"/>
  <c r="I1238" i="1" s="1"/>
  <c r="H1239" i="1"/>
  <c r="I1239" i="1" s="1"/>
  <c r="H1240" i="1"/>
  <c r="I1240" i="1" s="1"/>
  <c r="H1241" i="1"/>
  <c r="I1241" i="1" s="1"/>
  <c r="H1242" i="1"/>
  <c r="I1242" i="1" s="1"/>
  <c r="H1243" i="1"/>
  <c r="I1243" i="1" s="1"/>
  <c r="H1244" i="1"/>
  <c r="I1244" i="1" s="1"/>
  <c r="H1245" i="1"/>
  <c r="I1245" i="1" s="1"/>
  <c r="H1246" i="1"/>
  <c r="I1246" i="1" s="1"/>
  <c r="H1247" i="1"/>
  <c r="I1247" i="1" s="1"/>
  <c r="H1248" i="1"/>
  <c r="I1248" i="1" s="1"/>
  <c r="H1249" i="1"/>
  <c r="I1249" i="1" s="1"/>
  <c r="H1250" i="1"/>
  <c r="I1250" i="1" s="1"/>
  <c r="H1251" i="1"/>
  <c r="I1251" i="1" s="1"/>
  <c r="H1252" i="1"/>
  <c r="I1252" i="1" s="1"/>
  <c r="H1253" i="1"/>
  <c r="I1253" i="1" s="1"/>
  <c r="H1254" i="1"/>
  <c r="I1254" i="1" s="1"/>
  <c r="H1255" i="1"/>
  <c r="I1255" i="1" s="1"/>
  <c r="H1256" i="1"/>
  <c r="I1256" i="1" s="1"/>
  <c r="H1257" i="1"/>
  <c r="I1257" i="1" s="1"/>
  <c r="H1258" i="1"/>
  <c r="I1258" i="1" s="1"/>
  <c r="H1259" i="1"/>
  <c r="I1259" i="1" s="1"/>
  <c r="H1260" i="1"/>
  <c r="I1260" i="1" s="1"/>
  <c r="H1261" i="1"/>
  <c r="I1261" i="1" s="1"/>
  <c r="H1262" i="1"/>
  <c r="I1262" i="1" s="1"/>
  <c r="H1263" i="1"/>
  <c r="I1263" i="1" s="1"/>
  <c r="H1264" i="1"/>
  <c r="I1264" i="1" s="1"/>
  <c r="H1265" i="1"/>
  <c r="I1265" i="1" s="1"/>
  <c r="H1266" i="1"/>
  <c r="I1266" i="1" s="1"/>
  <c r="H1267" i="1"/>
  <c r="I1267" i="1" s="1"/>
  <c r="H1268" i="1"/>
  <c r="I1268" i="1" s="1"/>
  <c r="H1269" i="1"/>
  <c r="I1269" i="1" s="1"/>
  <c r="H1270" i="1"/>
  <c r="I1270" i="1" s="1"/>
  <c r="H1271" i="1"/>
  <c r="I1271" i="1" s="1"/>
  <c r="H1272" i="1"/>
  <c r="I1272" i="1" s="1"/>
  <c r="H1273" i="1"/>
  <c r="I1273" i="1" s="1"/>
  <c r="H1274" i="1"/>
  <c r="I1274" i="1" s="1"/>
  <c r="H1275" i="1"/>
  <c r="I1275" i="1" s="1"/>
  <c r="H1276" i="1"/>
  <c r="I1276" i="1" s="1"/>
  <c r="H1277" i="1"/>
  <c r="I1277" i="1" s="1"/>
  <c r="H1278" i="1"/>
  <c r="I1278" i="1" s="1"/>
  <c r="H1279" i="1"/>
  <c r="I1279" i="1" s="1"/>
  <c r="H1280" i="1"/>
  <c r="I1280" i="1" s="1"/>
  <c r="H1281" i="1"/>
  <c r="I1281" i="1" s="1"/>
  <c r="H1282" i="1"/>
  <c r="I1282" i="1" s="1"/>
  <c r="H1283" i="1"/>
  <c r="I1283" i="1" s="1"/>
  <c r="H1284" i="1"/>
  <c r="I1284" i="1" s="1"/>
  <c r="H1285" i="1"/>
  <c r="I1285" i="1" s="1"/>
  <c r="H1286" i="1"/>
  <c r="I1286" i="1" s="1"/>
  <c r="H1287" i="1"/>
  <c r="I1287" i="1" s="1"/>
  <c r="H1288" i="1"/>
  <c r="I1288" i="1" s="1"/>
  <c r="H1289" i="1"/>
  <c r="I1289" i="1" s="1"/>
  <c r="H1290" i="1"/>
  <c r="I1290" i="1" s="1"/>
  <c r="H1291" i="1"/>
  <c r="I1291" i="1" s="1"/>
  <c r="H1292" i="1"/>
  <c r="I1292" i="1" s="1"/>
  <c r="H1293" i="1"/>
  <c r="I1293" i="1" s="1"/>
  <c r="H1294" i="1"/>
  <c r="I1294" i="1" s="1"/>
  <c r="H1295" i="1"/>
  <c r="I1295" i="1" s="1"/>
  <c r="H1296" i="1"/>
  <c r="I1296" i="1" s="1"/>
  <c r="H1297" i="1"/>
  <c r="I1297" i="1" s="1"/>
  <c r="H1298" i="1"/>
  <c r="I1298" i="1" s="1"/>
  <c r="H1299" i="1"/>
  <c r="I1299" i="1" s="1"/>
  <c r="H1300" i="1"/>
  <c r="I1300" i="1" s="1"/>
  <c r="H1301" i="1"/>
  <c r="I1301" i="1" s="1"/>
  <c r="H1302" i="1"/>
  <c r="I1302" i="1" s="1"/>
  <c r="H1303" i="1"/>
  <c r="I1303" i="1" s="1"/>
  <c r="H1304" i="1"/>
  <c r="I1304" i="1" s="1"/>
  <c r="H1305" i="1"/>
  <c r="I1305" i="1" s="1"/>
  <c r="H1306" i="1"/>
  <c r="I1306" i="1" s="1"/>
  <c r="H1307" i="1"/>
  <c r="I1307" i="1" s="1"/>
  <c r="H1308" i="1"/>
  <c r="I1308" i="1" s="1"/>
  <c r="H1309" i="1"/>
  <c r="I1309" i="1" s="1"/>
  <c r="H1310" i="1"/>
  <c r="I1310" i="1" s="1"/>
  <c r="H1311" i="1"/>
  <c r="I1311" i="1" s="1"/>
  <c r="H1312" i="1"/>
  <c r="I1312" i="1" s="1"/>
  <c r="H1313" i="1"/>
  <c r="I1313" i="1" s="1"/>
  <c r="H1314" i="1"/>
  <c r="I1314" i="1" s="1"/>
  <c r="H1315" i="1"/>
  <c r="I1315" i="1" s="1"/>
  <c r="H1316" i="1"/>
  <c r="I1316" i="1" s="1"/>
  <c r="H1317" i="1"/>
  <c r="I1317" i="1" s="1"/>
  <c r="H1318" i="1"/>
  <c r="I1318" i="1" s="1"/>
  <c r="H1319" i="1"/>
  <c r="I1319" i="1" s="1"/>
  <c r="H1320" i="1"/>
  <c r="I1320" i="1" s="1"/>
  <c r="H1321" i="1"/>
  <c r="I1321" i="1" s="1"/>
  <c r="H1322" i="1"/>
  <c r="I1322" i="1" s="1"/>
  <c r="H1323" i="1"/>
  <c r="I1323" i="1" s="1"/>
  <c r="H1324" i="1"/>
  <c r="I1324" i="1" s="1"/>
  <c r="H1325" i="1"/>
  <c r="I1325" i="1" s="1"/>
  <c r="H1326" i="1"/>
  <c r="I1326" i="1" s="1"/>
  <c r="H1327" i="1"/>
  <c r="I1327" i="1" s="1"/>
  <c r="H1328" i="1"/>
  <c r="I1328" i="1" s="1"/>
  <c r="H1329" i="1"/>
  <c r="I1329" i="1" s="1"/>
  <c r="H1330" i="1"/>
  <c r="I1330" i="1" s="1"/>
  <c r="H1331" i="1"/>
  <c r="I1331" i="1" s="1"/>
  <c r="H1332" i="1"/>
  <c r="I1332" i="1" s="1"/>
  <c r="H1333" i="1"/>
  <c r="I1333" i="1" s="1"/>
  <c r="H1334" i="1"/>
  <c r="I1334" i="1" s="1"/>
  <c r="H1335" i="1"/>
  <c r="I1335" i="1" s="1"/>
  <c r="H1336" i="1"/>
  <c r="I1336" i="1" s="1"/>
  <c r="H1337" i="1"/>
  <c r="I1337" i="1" s="1"/>
  <c r="H1338" i="1"/>
  <c r="I1338" i="1" s="1"/>
  <c r="H1339" i="1"/>
  <c r="I1339" i="1" s="1"/>
  <c r="H1340" i="1"/>
  <c r="I1340" i="1" s="1"/>
  <c r="H1341" i="1"/>
  <c r="I1341" i="1" s="1"/>
  <c r="H1342" i="1"/>
  <c r="I1342" i="1" s="1"/>
  <c r="H1343" i="1"/>
  <c r="I1343" i="1" s="1"/>
  <c r="H1344" i="1"/>
  <c r="I1344" i="1" s="1"/>
  <c r="H1345" i="1"/>
  <c r="I1345" i="1" s="1"/>
  <c r="H1346" i="1"/>
  <c r="I1346" i="1" s="1"/>
  <c r="H1347" i="1"/>
  <c r="I1347" i="1" s="1"/>
  <c r="H1348" i="1"/>
  <c r="I1348" i="1" s="1"/>
  <c r="H1349" i="1"/>
  <c r="I1349" i="1" s="1"/>
  <c r="H1350" i="1"/>
  <c r="I1350" i="1" s="1"/>
  <c r="H1351" i="1"/>
  <c r="I1351" i="1" s="1"/>
  <c r="H1352" i="1"/>
  <c r="I1352" i="1" s="1"/>
  <c r="H1353" i="1"/>
  <c r="I1353" i="1" s="1"/>
  <c r="H1354" i="1"/>
  <c r="I1354" i="1" s="1"/>
  <c r="H1355" i="1"/>
  <c r="I1355" i="1" s="1"/>
  <c r="H1356" i="1"/>
  <c r="I1356" i="1" s="1"/>
  <c r="H1357" i="1"/>
  <c r="I1357" i="1" s="1"/>
  <c r="H1358" i="1"/>
  <c r="I1358" i="1" s="1"/>
  <c r="H1359" i="1"/>
  <c r="I1359" i="1" s="1"/>
  <c r="H1360" i="1"/>
  <c r="I1360" i="1" s="1"/>
  <c r="H1361" i="1"/>
  <c r="I1361" i="1" s="1"/>
  <c r="H1362" i="1"/>
  <c r="I1362" i="1" s="1"/>
  <c r="H1363" i="1"/>
  <c r="I1363" i="1" s="1"/>
  <c r="H1364" i="1"/>
  <c r="I1364" i="1" s="1"/>
  <c r="H1365" i="1"/>
  <c r="I1365" i="1" s="1"/>
  <c r="H1366" i="1"/>
  <c r="I1366" i="1" s="1"/>
  <c r="H1367" i="1"/>
  <c r="I1367" i="1" s="1"/>
  <c r="H1368" i="1"/>
  <c r="I1368" i="1" s="1"/>
  <c r="H1369" i="1"/>
  <c r="I1369" i="1" s="1"/>
  <c r="H1370" i="1"/>
  <c r="I1370" i="1" s="1"/>
  <c r="H1371" i="1"/>
  <c r="I1371" i="1" s="1"/>
  <c r="H1372" i="1"/>
  <c r="I1372" i="1" s="1"/>
  <c r="H1373" i="1"/>
  <c r="I1373" i="1" s="1"/>
  <c r="H1374" i="1"/>
  <c r="I1374" i="1" s="1"/>
  <c r="H1375" i="1"/>
  <c r="I1375" i="1" s="1"/>
  <c r="H1376" i="1"/>
  <c r="I1376" i="1" s="1"/>
  <c r="H1377" i="1"/>
  <c r="I1377" i="1" s="1"/>
  <c r="H1378" i="1"/>
  <c r="I1378" i="1" s="1"/>
  <c r="H1379" i="1"/>
  <c r="I1379" i="1" s="1"/>
  <c r="H1380" i="1"/>
  <c r="I1380" i="1" s="1"/>
  <c r="H1381" i="1"/>
  <c r="I1381" i="1" s="1"/>
  <c r="H1382" i="1"/>
  <c r="I1382" i="1" s="1"/>
  <c r="H1383" i="1"/>
  <c r="I1383" i="1" s="1"/>
  <c r="H1384" i="1"/>
  <c r="I1384" i="1" s="1"/>
  <c r="H1385" i="1"/>
  <c r="I1385" i="1" s="1"/>
  <c r="H1386" i="1"/>
  <c r="I1386" i="1" s="1"/>
  <c r="H1387" i="1"/>
  <c r="I1387" i="1" s="1"/>
  <c r="H1388" i="1"/>
  <c r="I1388" i="1" s="1"/>
  <c r="H1389" i="1"/>
  <c r="I1389" i="1" s="1"/>
  <c r="H1390" i="1"/>
  <c r="I1390" i="1" s="1"/>
  <c r="H1391" i="1"/>
  <c r="I1391" i="1" s="1"/>
  <c r="H1392" i="1"/>
  <c r="I1392" i="1" s="1"/>
  <c r="H1393" i="1"/>
  <c r="I1393" i="1" s="1"/>
  <c r="H1394" i="1"/>
  <c r="I1394" i="1" s="1"/>
  <c r="H1395" i="1"/>
  <c r="I1395" i="1" s="1"/>
  <c r="H1396" i="1"/>
  <c r="I1396" i="1" s="1"/>
  <c r="H1397" i="1"/>
  <c r="I1397" i="1" s="1"/>
  <c r="H1398" i="1"/>
  <c r="I1398" i="1" s="1"/>
  <c r="H1399" i="1"/>
  <c r="I1399" i="1" s="1"/>
  <c r="H1400" i="1"/>
  <c r="I1400" i="1" s="1"/>
  <c r="H1401" i="1"/>
  <c r="I1401" i="1" s="1"/>
  <c r="H1402" i="1"/>
  <c r="I1402" i="1" s="1"/>
  <c r="H1403" i="1"/>
  <c r="I1403" i="1" s="1"/>
  <c r="H1404" i="1"/>
  <c r="I1404" i="1" s="1"/>
  <c r="H1405" i="1"/>
  <c r="I1405" i="1" s="1"/>
  <c r="H1406" i="1"/>
  <c r="I1406" i="1" s="1"/>
  <c r="H1407" i="1"/>
  <c r="I1407" i="1" s="1"/>
  <c r="H1408" i="1"/>
  <c r="I1408" i="1" s="1"/>
  <c r="H1409" i="1"/>
  <c r="I1409" i="1" s="1"/>
  <c r="H1410" i="1"/>
  <c r="I1410" i="1" s="1"/>
  <c r="H1411" i="1"/>
  <c r="I1411" i="1" s="1"/>
  <c r="H1412" i="1"/>
  <c r="I1412" i="1" s="1"/>
  <c r="H1413" i="1"/>
  <c r="I1413" i="1" s="1"/>
  <c r="H1414" i="1"/>
  <c r="I1414" i="1" s="1"/>
  <c r="H1415" i="1"/>
  <c r="I1415" i="1" s="1"/>
  <c r="H1416" i="1"/>
  <c r="I1416" i="1" s="1"/>
  <c r="H1417" i="1"/>
  <c r="I1417" i="1" s="1"/>
  <c r="H1418" i="1"/>
  <c r="I1418" i="1" s="1"/>
  <c r="H1419" i="1"/>
  <c r="I1419" i="1" s="1"/>
  <c r="H1420" i="1"/>
  <c r="I1420" i="1" s="1"/>
  <c r="H1421" i="1"/>
  <c r="I1421" i="1" s="1"/>
  <c r="H1422" i="1"/>
  <c r="I1422" i="1" s="1"/>
  <c r="H1423" i="1"/>
  <c r="I1423" i="1" s="1"/>
  <c r="H1424" i="1"/>
  <c r="I1424" i="1" s="1"/>
  <c r="H1425" i="1"/>
  <c r="I1425" i="1" s="1"/>
  <c r="H1426" i="1"/>
  <c r="I1426" i="1" s="1"/>
  <c r="H1427" i="1"/>
  <c r="I1427" i="1" s="1"/>
  <c r="H1428" i="1"/>
  <c r="I1428" i="1" s="1"/>
  <c r="H1429" i="1"/>
  <c r="I1429" i="1" s="1"/>
  <c r="H1430" i="1"/>
  <c r="I1430" i="1" s="1"/>
  <c r="H1431" i="1"/>
  <c r="I1431" i="1" s="1"/>
  <c r="H1432" i="1"/>
  <c r="I1432" i="1" s="1"/>
  <c r="H1433" i="1"/>
  <c r="I1433" i="1" s="1"/>
  <c r="H1434" i="1"/>
  <c r="I1434" i="1" s="1"/>
  <c r="H1435" i="1"/>
  <c r="I1435" i="1" s="1"/>
  <c r="H1436" i="1"/>
  <c r="I1436" i="1" s="1"/>
  <c r="H1437" i="1"/>
  <c r="I1437" i="1" s="1"/>
  <c r="H1438" i="1"/>
  <c r="I1438" i="1" s="1"/>
  <c r="H1439" i="1"/>
  <c r="I1439" i="1" s="1"/>
  <c r="H1440" i="1"/>
  <c r="I1440" i="1" s="1"/>
  <c r="H1441" i="1"/>
  <c r="I1441" i="1" s="1"/>
  <c r="H1442" i="1"/>
  <c r="I1442" i="1" s="1"/>
  <c r="H1443" i="1"/>
  <c r="I1443" i="1" s="1"/>
  <c r="H1444" i="1"/>
  <c r="I1444" i="1" s="1"/>
  <c r="H1445" i="1"/>
  <c r="I1445" i="1" s="1"/>
  <c r="H1446" i="1"/>
  <c r="I1446" i="1" s="1"/>
  <c r="H1447" i="1"/>
  <c r="I1447" i="1" s="1"/>
  <c r="H1448" i="1"/>
  <c r="I1448" i="1" s="1"/>
  <c r="H1449" i="1"/>
  <c r="I1449" i="1" s="1"/>
  <c r="H1450" i="1"/>
  <c r="I1450" i="1" s="1"/>
  <c r="H1451" i="1"/>
  <c r="I1451" i="1" s="1"/>
  <c r="H1452" i="1"/>
  <c r="I1452" i="1" s="1"/>
  <c r="H1453" i="1"/>
  <c r="I1453" i="1" s="1"/>
  <c r="H1454" i="1"/>
  <c r="I1454" i="1" s="1"/>
  <c r="H1455" i="1"/>
  <c r="I1455" i="1" s="1"/>
  <c r="H1456" i="1"/>
  <c r="I1456" i="1" s="1"/>
  <c r="H1457" i="1"/>
  <c r="I1457" i="1" s="1"/>
  <c r="H1458" i="1"/>
  <c r="I1458" i="1" s="1"/>
  <c r="H1459" i="1"/>
  <c r="I1459" i="1" s="1"/>
  <c r="H1460" i="1"/>
  <c r="I1460" i="1" s="1"/>
  <c r="H1461" i="1"/>
  <c r="I1461" i="1" s="1"/>
  <c r="H1462" i="1"/>
  <c r="I1462" i="1" s="1"/>
  <c r="H1463" i="1"/>
  <c r="I1463" i="1" s="1"/>
  <c r="H1464" i="1"/>
  <c r="I1464" i="1" s="1"/>
  <c r="H1465" i="1"/>
  <c r="I1465" i="1" s="1"/>
  <c r="H1466" i="1"/>
  <c r="I1466" i="1" s="1"/>
  <c r="H1467" i="1"/>
  <c r="I1467" i="1" s="1"/>
  <c r="H1468" i="1"/>
  <c r="I1468" i="1" s="1"/>
  <c r="H1469" i="1"/>
  <c r="I1469" i="1" s="1"/>
  <c r="H1470" i="1"/>
  <c r="I1470" i="1" s="1"/>
  <c r="H1471" i="1"/>
  <c r="I1471" i="1" s="1"/>
  <c r="H1472" i="1"/>
  <c r="I1472" i="1" s="1"/>
  <c r="H1473" i="1"/>
  <c r="I1473" i="1" s="1"/>
  <c r="H1474" i="1"/>
  <c r="I1474" i="1" s="1"/>
  <c r="H1475" i="1"/>
  <c r="I1475" i="1" s="1"/>
  <c r="H1476" i="1"/>
  <c r="I1476" i="1" s="1"/>
  <c r="H1477" i="1"/>
  <c r="I1477" i="1" s="1"/>
  <c r="H1478" i="1"/>
  <c r="I1478" i="1" s="1"/>
  <c r="H1479" i="1"/>
  <c r="I1479" i="1" s="1"/>
  <c r="H1480" i="1"/>
  <c r="I1480" i="1" s="1"/>
  <c r="H1481" i="1"/>
  <c r="I1481" i="1" s="1"/>
  <c r="H1482" i="1"/>
  <c r="I1482" i="1" s="1"/>
  <c r="H1483" i="1"/>
  <c r="I1483" i="1" s="1"/>
  <c r="H1484" i="1"/>
  <c r="I1484" i="1" s="1"/>
  <c r="H1485" i="1"/>
  <c r="I1485" i="1" s="1"/>
  <c r="H1486" i="1"/>
  <c r="I1486" i="1" s="1"/>
  <c r="H1487" i="1"/>
  <c r="I1487" i="1" s="1"/>
  <c r="H1488" i="1"/>
  <c r="I1488" i="1" s="1"/>
  <c r="H1489" i="1"/>
  <c r="I1489" i="1" s="1"/>
  <c r="H1490" i="1"/>
  <c r="I1490" i="1" s="1"/>
  <c r="H1491" i="1"/>
  <c r="I1491" i="1" s="1"/>
  <c r="H1492" i="1"/>
  <c r="I1492" i="1" s="1"/>
  <c r="H1493" i="1"/>
  <c r="I1493" i="1" s="1"/>
  <c r="H1494" i="1"/>
  <c r="I1494" i="1" s="1"/>
  <c r="H1495" i="1"/>
  <c r="I1495" i="1" s="1"/>
  <c r="H1496" i="1"/>
  <c r="I1496" i="1" s="1"/>
  <c r="H1497" i="1"/>
  <c r="I1497" i="1" s="1"/>
  <c r="H1498" i="1"/>
  <c r="I1498" i="1" s="1"/>
  <c r="H1499" i="1"/>
  <c r="I1499" i="1" s="1"/>
  <c r="H1500" i="1"/>
  <c r="I1500" i="1" s="1"/>
  <c r="H1501" i="1"/>
  <c r="I1501" i="1" s="1"/>
  <c r="H1502" i="1"/>
  <c r="I1502" i="1" s="1"/>
  <c r="H1503" i="1"/>
  <c r="I1503" i="1" s="1"/>
  <c r="H1504" i="1"/>
  <c r="I1504" i="1" s="1"/>
  <c r="H1505" i="1"/>
  <c r="I1505" i="1" s="1"/>
  <c r="H1506" i="1"/>
  <c r="I1506" i="1" s="1"/>
  <c r="H1507" i="1"/>
  <c r="I1507" i="1" s="1"/>
  <c r="H1508" i="1"/>
  <c r="I1508" i="1" s="1"/>
  <c r="H1509" i="1"/>
  <c r="I1509" i="1" s="1"/>
  <c r="H1510" i="1"/>
  <c r="I1510" i="1" s="1"/>
  <c r="H1511" i="1"/>
  <c r="I1511" i="1" s="1"/>
  <c r="H1512" i="1"/>
  <c r="I1512" i="1" s="1"/>
  <c r="H1513" i="1"/>
  <c r="I1513" i="1" s="1"/>
  <c r="H1514" i="1"/>
  <c r="I1514" i="1" s="1"/>
  <c r="H1515" i="1"/>
  <c r="I1515" i="1" s="1"/>
  <c r="H1516" i="1"/>
  <c r="I1516" i="1" s="1"/>
  <c r="H1517" i="1"/>
  <c r="I1517" i="1" s="1"/>
  <c r="H1518" i="1"/>
  <c r="I1518" i="1" s="1"/>
  <c r="H1519" i="1"/>
  <c r="I1519" i="1" s="1"/>
  <c r="H1520" i="1"/>
  <c r="I1520" i="1" s="1"/>
  <c r="H1521" i="1"/>
  <c r="I1521" i="1" s="1"/>
  <c r="H1522" i="1"/>
  <c r="I1522" i="1" s="1"/>
  <c r="H1523" i="1"/>
  <c r="I1523" i="1" s="1"/>
  <c r="H1524" i="1"/>
  <c r="I1524" i="1" s="1"/>
  <c r="H1525" i="1"/>
  <c r="I1525" i="1" s="1"/>
  <c r="H1526" i="1"/>
  <c r="I1526" i="1" s="1"/>
  <c r="H1527" i="1"/>
  <c r="I1527" i="1" s="1"/>
  <c r="H1528" i="1"/>
  <c r="I1528" i="1" s="1"/>
  <c r="H1529" i="1"/>
  <c r="I1529" i="1" s="1"/>
  <c r="H1530" i="1"/>
  <c r="I1530" i="1" s="1"/>
  <c r="H1531" i="1"/>
  <c r="I1531" i="1" s="1"/>
  <c r="H1532" i="1"/>
  <c r="I1532" i="1" s="1"/>
  <c r="H1533" i="1"/>
  <c r="I1533" i="1" s="1"/>
  <c r="H1534" i="1"/>
  <c r="I1534" i="1" s="1"/>
  <c r="H1535" i="1"/>
  <c r="I1535" i="1" s="1"/>
  <c r="H1536" i="1"/>
  <c r="I1536" i="1" s="1"/>
  <c r="H1537" i="1"/>
  <c r="I1537" i="1" s="1"/>
  <c r="H1538" i="1"/>
  <c r="I1538" i="1" s="1"/>
  <c r="H1539" i="1"/>
  <c r="I1539" i="1" s="1"/>
  <c r="H1540" i="1"/>
  <c r="I1540" i="1" s="1"/>
  <c r="H1541" i="1"/>
  <c r="I1541" i="1" s="1"/>
  <c r="H1542" i="1"/>
  <c r="I1542" i="1" s="1"/>
  <c r="H1543" i="1"/>
  <c r="I1543" i="1" s="1"/>
  <c r="H1544" i="1"/>
  <c r="I1544" i="1" s="1"/>
  <c r="H1545" i="1"/>
  <c r="I1545" i="1" s="1"/>
  <c r="H1546" i="1"/>
  <c r="I1546" i="1" s="1"/>
  <c r="H1547" i="1"/>
  <c r="I1547" i="1" s="1"/>
  <c r="H1548" i="1"/>
  <c r="I1548" i="1" s="1"/>
  <c r="H1549" i="1"/>
  <c r="I1549" i="1" s="1"/>
  <c r="H1550" i="1"/>
  <c r="I1550" i="1" s="1"/>
  <c r="H1551" i="1"/>
  <c r="I1551" i="1" s="1"/>
  <c r="H1552" i="1"/>
  <c r="I1552" i="1" s="1"/>
  <c r="H1553" i="1"/>
  <c r="I1553" i="1" s="1"/>
  <c r="H1554" i="1"/>
  <c r="I1554" i="1" s="1"/>
  <c r="H1555" i="1"/>
  <c r="I1555" i="1" s="1"/>
  <c r="H1556" i="1"/>
  <c r="I1556" i="1" s="1"/>
  <c r="H1557" i="1"/>
  <c r="I1557" i="1" s="1"/>
  <c r="H1558" i="1"/>
  <c r="I1558" i="1" s="1"/>
  <c r="H1559" i="1"/>
  <c r="I1559" i="1" s="1"/>
  <c r="H1560" i="1"/>
  <c r="I1560" i="1" s="1"/>
  <c r="H1561" i="1"/>
  <c r="I1561" i="1" s="1"/>
  <c r="H1562" i="1"/>
  <c r="I1562" i="1" s="1"/>
  <c r="H1563" i="1"/>
  <c r="I1563" i="1" s="1"/>
  <c r="H1564" i="1"/>
  <c r="I1564" i="1" s="1"/>
  <c r="H1565" i="1"/>
  <c r="I1565" i="1" s="1"/>
  <c r="H1566" i="1"/>
  <c r="I1566" i="1" s="1"/>
  <c r="H1567" i="1"/>
  <c r="I1567" i="1" s="1"/>
  <c r="H1568" i="1"/>
  <c r="I1568" i="1" s="1"/>
  <c r="H1569" i="1"/>
  <c r="I1569" i="1" s="1"/>
  <c r="H1570" i="1"/>
  <c r="I1570" i="1" s="1"/>
  <c r="H1571" i="1"/>
  <c r="I1571" i="1" s="1"/>
  <c r="H1572" i="1"/>
  <c r="I1572" i="1" s="1"/>
  <c r="H1573" i="1"/>
  <c r="I1573" i="1" s="1"/>
  <c r="H1574" i="1"/>
  <c r="I1574" i="1" s="1"/>
  <c r="H1575" i="1"/>
  <c r="I1575" i="1" s="1"/>
  <c r="H1576" i="1"/>
  <c r="I1576" i="1" s="1"/>
  <c r="H1577" i="1"/>
  <c r="I1577" i="1" s="1"/>
  <c r="H1578" i="1"/>
  <c r="I1578" i="1" s="1"/>
  <c r="H1579" i="1"/>
  <c r="I1579" i="1" s="1"/>
  <c r="H1580" i="1"/>
  <c r="I1580" i="1" s="1"/>
  <c r="H1581" i="1"/>
  <c r="I1581" i="1" s="1"/>
  <c r="H1582" i="1"/>
  <c r="I1582" i="1" s="1"/>
  <c r="H1583" i="1"/>
  <c r="I1583" i="1" s="1"/>
  <c r="H1584" i="1"/>
  <c r="I1584" i="1" s="1"/>
  <c r="H1585" i="1"/>
  <c r="I1585" i="1" s="1"/>
  <c r="H1586" i="1"/>
  <c r="I1586" i="1" s="1"/>
  <c r="H1587" i="1"/>
  <c r="I1587" i="1" s="1"/>
  <c r="H1588" i="1"/>
  <c r="I1588" i="1" s="1"/>
  <c r="H1589" i="1"/>
  <c r="I1589" i="1" s="1"/>
  <c r="H1590" i="1"/>
  <c r="I1590" i="1" s="1"/>
  <c r="H1591" i="1"/>
  <c r="I1591" i="1" s="1"/>
  <c r="H1592" i="1"/>
  <c r="I1592" i="1" s="1"/>
  <c r="H1593" i="1"/>
  <c r="I1593" i="1" s="1"/>
  <c r="H1594" i="1"/>
  <c r="I1594" i="1" s="1"/>
  <c r="H1595" i="1"/>
  <c r="I1595" i="1" s="1"/>
  <c r="H1596" i="1"/>
  <c r="I1596" i="1" s="1"/>
  <c r="H1597" i="1"/>
  <c r="I1597" i="1" s="1"/>
  <c r="H1598" i="1"/>
  <c r="I1598" i="1" s="1"/>
  <c r="H1599" i="1"/>
  <c r="I1599" i="1" s="1"/>
  <c r="H1600" i="1"/>
  <c r="I1600" i="1" s="1"/>
  <c r="H1601" i="1"/>
  <c r="I1601" i="1" s="1"/>
  <c r="H1602" i="1"/>
  <c r="I1602" i="1" s="1"/>
  <c r="H1603" i="1"/>
  <c r="I1603" i="1" s="1"/>
  <c r="H1604" i="1"/>
  <c r="I1604" i="1" s="1"/>
  <c r="H1605" i="1"/>
  <c r="I1605" i="1" s="1"/>
  <c r="H1606" i="1"/>
  <c r="I1606" i="1" s="1"/>
  <c r="H1607" i="1"/>
  <c r="I1607" i="1" s="1"/>
  <c r="H1608" i="1"/>
  <c r="I1608" i="1" s="1"/>
  <c r="H1609" i="1"/>
  <c r="I1609" i="1" s="1"/>
  <c r="H1610" i="1"/>
  <c r="I1610" i="1" s="1"/>
  <c r="H1611" i="1"/>
  <c r="I1611" i="1" s="1"/>
  <c r="H1612" i="1"/>
  <c r="I1612" i="1" s="1"/>
  <c r="H1613" i="1"/>
  <c r="I1613" i="1" s="1"/>
  <c r="H1614" i="1"/>
  <c r="I1614" i="1" s="1"/>
  <c r="H1615" i="1"/>
  <c r="I1615" i="1" s="1"/>
  <c r="H1616" i="1"/>
  <c r="I1616" i="1" s="1"/>
  <c r="H1617" i="1"/>
  <c r="I1617" i="1" s="1"/>
  <c r="H1618" i="1"/>
  <c r="I1618" i="1" s="1"/>
  <c r="H1619" i="1"/>
  <c r="I1619" i="1" s="1"/>
  <c r="H1620" i="1"/>
  <c r="I1620" i="1" s="1"/>
  <c r="H1621" i="1"/>
  <c r="I1621" i="1" s="1"/>
  <c r="H1622" i="1"/>
  <c r="I1622" i="1" s="1"/>
  <c r="H1623" i="1"/>
  <c r="I1623" i="1" s="1"/>
  <c r="H1624" i="1"/>
  <c r="I1624" i="1" s="1"/>
  <c r="H1625" i="1"/>
  <c r="I1625" i="1" s="1"/>
  <c r="H1626" i="1"/>
  <c r="I1626" i="1" s="1"/>
  <c r="H1627" i="1"/>
  <c r="I1627" i="1" s="1"/>
  <c r="H1628" i="1"/>
  <c r="I1628" i="1" s="1"/>
  <c r="H1629" i="1"/>
  <c r="I1629" i="1" s="1"/>
  <c r="H1630" i="1"/>
  <c r="I1630" i="1" s="1"/>
  <c r="H1631" i="1"/>
  <c r="I1631" i="1" s="1"/>
  <c r="H1632" i="1"/>
  <c r="I1632" i="1" s="1"/>
  <c r="H1633" i="1"/>
  <c r="I1633" i="1" s="1"/>
  <c r="H1634" i="1"/>
  <c r="I1634" i="1" s="1"/>
  <c r="H1635" i="1"/>
  <c r="I1635" i="1" s="1"/>
  <c r="H1636" i="1"/>
  <c r="I1636" i="1" s="1"/>
  <c r="H1637" i="1"/>
  <c r="I1637" i="1" s="1"/>
  <c r="H1638" i="1"/>
  <c r="I1638" i="1" s="1"/>
  <c r="H1639" i="1"/>
  <c r="I1639" i="1" s="1"/>
  <c r="H1640" i="1"/>
  <c r="I1640" i="1" s="1"/>
  <c r="H1641" i="1"/>
  <c r="I1641" i="1" s="1"/>
  <c r="H1642" i="1"/>
  <c r="I1642" i="1" s="1"/>
  <c r="H1643" i="1"/>
  <c r="I1643" i="1" s="1"/>
  <c r="H1644" i="1"/>
  <c r="I1644" i="1" s="1"/>
  <c r="H1645" i="1"/>
  <c r="I1645" i="1" s="1"/>
  <c r="H1646" i="1"/>
  <c r="I1646" i="1" s="1"/>
  <c r="H1647" i="1"/>
  <c r="I1647" i="1" s="1"/>
  <c r="H1648" i="1"/>
  <c r="I1648" i="1" s="1"/>
  <c r="H1649" i="1"/>
  <c r="I1649" i="1" s="1"/>
  <c r="H1650" i="1"/>
  <c r="I1650" i="1" s="1"/>
  <c r="H1651" i="1"/>
  <c r="I1651" i="1" s="1"/>
  <c r="H1652" i="1"/>
  <c r="I1652" i="1" s="1"/>
  <c r="H1653" i="1"/>
  <c r="I1653" i="1" s="1"/>
  <c r="H1654" i="1"/>
  <c r="I1654" i="1" s="1"/>
  <c r="H1655" i="1"/>
  <c r="I1655" i="1" s="1"/>
  <c r="H1656" i="1"/>
  <c r="I1656" i="1" s="1"/>
  <c r="H1657" i="1"/>
  <c r="I1657" i="1" s="1"/>
  <c r="H1658" i="1"/>
  <c r="I1658" i="1" s="1"/>
  <c r="H1659" i="1"/>
  <c r="I1659" i="1" s="1"/>
  <c r="H1660" i="1"/>
  <c r="I1660" i="1" s="1"/>
  <c r="H1661" i="1"/>
  <c r="I1661" i="1" s="1"/>
  <c r="H1662" i="1"/>
  <c r="I1662" i="1" s="1"/>
  <c r="H1663" i="1"/>
  <c r="I1663" i="1" s="1"/>
  <c r="H1664" i="1"/>
  <c r="I1664" i="1" s="1"/>
  <c r="H1665" i="1"/>
  <c r="I1665" i="1" s="1"/>
  <c r="H1666" i="1"/>
  <c r="I1666" i="1" s="1"/>
  <c r="H1667" i="1"/>
  <c r="I1667" i="1" s="1"/>
  <c r="H1668" i="1"/>
  <c r="I1668" i="1" s="1"/>
  <c r="H1669" i="1"/>
  <c r="I1669" i="1" s="1"/>
  <c r="H1670" i="1"/>
  <c r="I1670" i="1" s="1"/>
  <c r="H1671" i="1"/>
  <c r="I1671" i="1" s="1"/>
  <c r="H1672" i="1"/>
  <c r="I1672" i="1" s="1"/>
  <c r="H1673" i="1"/>
  <c r="I1673" i="1" s="1"/>
  <c r="H1674" i="1"/>
  <c r="I1674" i="1" s="1"/>
  <c r="H1675" i="1"/>
  <c r="I1675" i="1" s="1"/>
  <c r="H1676" i="1"/>
  <c r="I1676" i="1" s="1"/>
  <c r="H1677" i="1"/>
  <c r="I1677" i="1" s="1"/>
  <c r="H1678" i="1"/>
  <c r="I1678" i="1" s="1"/>
  <c r="H1679" i="1"/>
  <c r="I1679" i="1" s="1"/>
  <c r="H1680" i="1"/>
  <c r="I1680" i="1" s="1"/>
  <c r="H1681" i="1"/>
  <c r="I1681" i="1" s="1"/>
  <c r="H1682" i="1"/>
  <c r="I1682" i="1" s="1"/>
  <c r="H1683" i="1"/>
  <c r="I1683" i="1" s="1"/>
  <c r="H1684" i="1"/>
  <c r="I1684" i="1" s="1"/>
  <c r="H1685" i="1"/>
  <c r="I1685" i="1" s="1"/>
  <c r="H1686" i="1"/>
  <c r="I1686" i="1" s="1"/>
  <c r="H1687" i="1"/>
  <c r="I1687" i="1" s="1"/>
  <c r="H1688" i="1"/>
  <c r="I1688" i="1" s="1"/>
  <c r="H1689" i="1"/>
  <c r="I1689" i="1" s="1"/>
  <c r="H1690" i="1"/>
  <c r="I1690" i="1" s="1"/>
  <c r="H1691" i="1"/>
  <c r="I1691" i="1" s="1"/>
  <c r="H1692" i="1"/>
  <c r="I1692" i="1" s="1"/>
  <c r="H1693" i="1"/>
  <c r="I1693" i="1" s="1"/>
  <c r="H1694" i="1"/>
  <c r="I1694" i="1" s="1"/>
  <c r="H1695" i="1"/>
  <c r="I1695" i="1" s="1"/>
  <c r="H1696" i="1"/>
  <c r="I1696" i="1" s="1"/>
  <c r="H1697" i="1"/>
  <c r="I1697" i="1" s="1"/>
  <c r="H1698" i="1"/>
  <c r="I1698" i="1" s="1"/>
  <c r="H1699" i="1"/>
  <c r="I1699" i="1" s="1"/>
  <c r="H1700" i="1"/>
  <c r="I1700" i="1" s="1"/>
  <c r="H1701" i="1"/>
  <c r="I1701" i="1" s="1"/>
  <c r="H1702" i="1"/>
  <c r="I1702" i="1" s="1"/>
  <c r="H1703" i="1"/>
  <c r="I1703" i="1" s="1"/>
  <c r="H1704" i="1"/>
  <c r="I1704" i="1" s="1"/>
  <c r="H1705" i="1"/>
  <c r="I1705" i="1" s="1"/>
  <c r="H1706" i="1"/>
  <c r="I1706" i="1" s="1"/>
  <c r="H1707" i="1"/>
  <c r="I1707" i="1" s="1"/>
  <c r="H1708" i="1"/>
  <c r="I1708" i="1" s="1"/>
  <c r="H1709" i="1"/>
  <c r="I1709" i="1" s="1"/>
  <c r="H1710" i="1"/>
  <c r="I1710" i="1" s="1"/>
  <c r="H1711" i="1"/>
  <c r="I1711" i="1" s="1"/>
  <c r="H1712" i="1"/>
  <c r="I1712" i="1" s="1"/>
  <c r="H1713" i="1"/>
  <c r="I1713" i="1" s="1"/>
  <c r="H1714" i="1"/>
  <c r="I1714" i="1" s="1"/>
  <c r="H1715" i="1"/>
  <c r="I1715" i="1" s="1"/>
  <c r="H1716" i="1"/>
  <c r="I1716" i="1" s="1"/>
  <c r="H1717" i="1"/>
  <c r="I1717" i="1" s="1"/>
  <c r="H1718" i="1"/>
  <c r="I1718" i="1" s="1"/>
  <c r="H1719" i="1"/>
  <c r="I1719" i="1" s="1"/>
  <c r="H1720" i="1"/>
  <c r="I1720" i="1" s="1"/>
  <c r="H1721" i="1"/>
  <c r="I1721" i="1" s="1"/>
  <c r="H1722" i="1"/>
  <c r="I1722" i="1" s="1"/>
  <c r="H1723" i="1"/>
  <c r="I1723" i="1" s="1"/>
  <c r="H1724" i="1"/>
  <c r="I1724" i="1" s="1"/>
  <c r="H1725" i="1"/>
  <c r="I1725" i="1" s="1"/>
  <c r="H1726" i="1"/>
  <c r="I1726" i="1" s="1"/>
  <c r="H1727" i="1"/>
  <c r="I1727" i="1" s="1"/>
  <c r="H1728" i="1"/>
  <c r="I1728" i="1" s="1"/>
  <c r="H1729" i="1"/>
  <c r="I1729" i="1" s="1"/>
  <c r="H1730" i="1"/>
  <c r="I1730" i="1" s="1"/>
  <c r="H1731" i="1"/>
  <c r="I1731" i="1" s="1"/>
  <c r="H1732" i="1"/>
  <c r="I1732" i="1" s="1"/>
  <c r="H1733" i="1"/>
  <c r="I1733" i="1" s="1"/>
  <c r="H1734" i="1"/>
  <c r="I1734" i="1" s="1"/>
  <c r="H1735" i="1"/>
  <c r="I1735" i="1" s="1"/>
  <c r="H1736" i="1"/>
  <c r="I1736" i="1" s="1"/>
  <c r="H1737" i="1"/>
  <c r="I1737" i="1" s="1"/>
  <c r="H1738" i="1"/>
  <c r="I1738" i="1" s="1"/>
  <c r="H1739" i="1"/>
  <c r="I1739" i="1" s="1"/>
  <c r="H1740" i="1"/>
  <c r="I1740" i="1" s="1"/>
  <c r="H1741" i="1"/>
  <c r="I1741" i="1" s="1"/>
  <c r="H1742" i="1"/>
  <c r="I1742" i="1" s="1"/>
  <c r="H1743" i="1"/>
  <c r="I1743" i="1" s="1"/>
  <c r="H1744" i="1"/>
  <c r="I1744" i="1" s="1"/>
  <c r="H1745" i="1"/>
  <c r="I1745" i="1" s="1"/>
  <c r="H1746" i="1"/>
  <c r="I1746" i="1" s="1"/>
  <c r="H1747" i="1"/>
  <c r="I1747" i="1" s="1"/>
  <c r="H1748" i="1"/>
  <c r="I1748" i="1" s="1"/>
  <c r="H1749" i="1"/>
  <c r="I1749" i="1" s="1"/>
  <c r="H1750" i="1"/>
  <c r="I1750" i="1" s="1"/>
  <c r="H1751" i="1"/>
  <c r="I1751" i="1" s="1"/>
  <c r="H1752" i="1"/>
  <c r="I1752" i="1" s="1"/>
  <c r="H1753" i="1"/>
  <c r="I1753" i="1" s="1"/>
  <c r="H1754" i="1"/>
  <c r="I1754" i="1" s="1"/>
  <c r="H1755" i="1"/>
  <c r="I1755" i="1" s="1"/>
  <c r="H1756" i="1"/>
  <c r="I1756" i="1" s="1"/>
  <c r="H1757" i="1"/>
  <c r="I1757" i="1" s="1"/>
  <c r="H1758" i="1"/>
  <c r="I1758" i="1" s="1"/>
  <c r="H1759" i="1"/>
  <c r="I1759" i="1" s="1"/>
  <c r="H1760" i="1"/>
  <c r="I1760" i="1" s="1"/>
  <c r="H1761" i="1"/>
  <c r="I1761" i="1" s="1"/>
  <c r="H1762" i="1"/>
  <c r="I1762" i="1" s="1"/>
  <c r="H1763" i="1"/>
  <c r="I1763" i="1" s="1"/>
  <c r="H1764" i="1"/>
  <c r="I1764" i="1" s="1"/>
  <c r="H1765" i="1"/>
  <c r="I1765" i="1" s="1"/>
  <c r="H1766" i="1"/>
  <c r="I1766" i="1" s="1"/>
  <c r="H1767" i="1"/>
  <c r="I1767" i="1" s="1"/>
  <c r="H1768" i="1"/>
  <c r="I1768" i="1" s="1"/>
  <c r="H1769" i="1"/>
  <c r="I1769" i="1" s="1"/>
  <c r="H1770" i="1"/>
  <c r="I1770" i="1" s="1"/>
  <c r="H1771" i="1"/>
  <c r="I1771" i="1" s="1"/>
  <c r="H1772" i="1"/>
  <c r="I1772" i="1" s="1"/>
  <c r="H1773" i="1"/>
  <c r="I1773" i="1" s="1"/>
  <c r="H1774" i="1"/>
  <c r="I1774" i="1" s="1"/>
  <c r="H2" i="1"/>
  <c r="I2" i="1" s="1"/>
  <c r="D9" i="2"/>
  <c r="E9" i="2" s="1"/>
  <c r="D6" i="2"/>
  <c r="E6" i="2" s="1"/>
  <c r="D5" i="2"/>
  <c r="D8" i="2" s="1"/>
  <c r="E4" i="2"/>
  <c r="D4" i="2"/>
  <c r="D7" i="2" s="1"/>
  <c r="E3" i="2"/>
  <c r="E2" i="2"/>
  <c r="E1" i="2"/>
  <c r="E7" i="2" l="1"/>
  <c r="D10" i="2"/>
  <c r="E8" i="2"/>
  <c r="D11" i="2"/>
  <c r="E5" i="2"/>
  <c r="D12" i="2"/>
  <c r="E11" i="2" l="1"/>
  <c r="D14" i="2"/>
  <c r="E12" i="2"/>
  <c r="D15" i="2"/>
  <c r="D13" i="2"/>
  <c r="E10" i="2"/>
  <c r="D16" i="2" l="1"/>
  <c r="E13" i="2"/>
  <c r="E15" i="2"/>
  <c r="D18" i="2"/>
  <c r="E14" i="2"/>
  <c r="D17" i="2"/>
  <c r="D20" i="2" l="1"/>
  <c r="E17" i="2"/>
  <c r="D21" i="2"/>
  <c r="E18" i="2"/>
  <c r="E16" i="2"/>
  <c r="D19" i="2"/>
  <c r="D24" i="2" l="1"/>
  <c r="E21" i="2"/>
  <c r="E20" i="2"/>
  <c r="D23" i="2"/>
  <c r="E19" i="2"/>
  <c r="D22" i="2"/>
  <c r="E24" i="2" l="1"/>
  <c r="D27" i="2"/>
  <c r="D25" i="2"/>
  <c r="E22" i="2"/>
  <c r="E23" i="2"/>
  <c r="D26" i="2"/>
  <c r="D28" i="2" l="1"/>
  <c r="E25" i="2"/>
  <c r="E27" i="2"/>
  <c r="D30" i="2"/>
  <c r="E26" i="2"/>
  <c r="D29" i="2"/>
  <c r="E28" i="2" l="1"/>
  <c r="D31" i="2"/>
  <c r="D32" i="2"/>
  <c r="E29" i="2"/>
  <c r="D33" i="2"/>
  <c r="E30" i="2"/>
  <c r="E31" i="2" l="1"/>
  <c r="D34" i="2"/>
  <c r="E32" i="2"/>
  <c r="D35" i="2"/>
  <c r="D36" i="2"/>
  <c r="E33" i="2"/>
  <c r="E36" i="2" l="1"/>
  <c r="D39" i="2"/>
  <c r="E35" i="2"/>
  <c r="D38" i="2"/>
  <c r="D37" i="2"/>
  <c r="E34" i="2"/>
  <c r="E37" i="2" l="1"/>
  <c r="D40" i="2"/>
  <c r="E38" i="2"/>
  <c r="D41" i="2"/>
  <c r="E39" i="2"/>
  <c r="D42" i="2"/>
  <c r="D45" i="2" l="1"/>
  <c r="E42" i="2"/>
  <c r="D44" i="2"/>
  <c r="E41" i="2"/>
  <c r="E40" i="2"/>
  <c r="D43" i="2"/>
  <c r="E43" i="2" l="1"/>
  <c r="D46" i="2"/>
  <c r="E44" i="2"/>
  <c r="D47" i="2"/>
  <c r="D48" i="2"/>
  <c r="E45" i="2"/>
  <c r="E46" i="2" l="1"/>
  <c r="D49" i="2"/>
  <c r="E48" i="2"/>
  <c r="D51" i="2"/>
  <c r="E47" i="2"/>
  <c r="D50" i="2"/>
  <c r="D53" i="2" l="1"/>
  <c r="E50" i="2"/>
  <c r="E51" i="2"/>
  <c r="D54" i="2"/>
  <c r="D52" i="2"/>
  <c r="E49" i="2"/>
  <c r="E52" i="2" l="1"/>
  <c r="D55" i="2"/>
  <c r="D57" i="2"/>
  <c r="E54" i="2"/>
  <c r="D56" i="2"/>
  <c r="E53" i="2"/>
  <c r="E56" i="2" l="1"/>
  <c r="D59" i="2"/>
  <c r="D60" i="2"/>
  <c r="E57" i="2"/>
  <c r="E55" i="2"/>
  <c r="D58" i="2"/>
  <c r="E59" i="2" l="1"/>
  <c r="D62" i="2"/>
  <c r="D61" i="2"/>
  <c r="E58" i="2"/>
  <c r="E60" i="2"/>
  <c r="D63" i="2"/>
  <c r="E63" i="2" l="1"/>
  <c r="D66" i="2"/>
  <c r="E62" i="2"/>
  <c r="D65" i="2"/>
  <c r="E61" i="2"/>
  <c r="D64" i="2"/>
  <c r="E64" i="2" l="1"/>
  <c r="D67" i="2"/>
  <c r="D68" i="2"/>
  <c r="E65" i="2"/>
  <c r="E66" i="2"/>
  <c r="D69" i="2"/>
  <c r="D72" i="2" l="1"/>
  <c r="E69" i="2"/>
  <c r="E67" i="2"/>
  <c r="D70" i="2"/>
  <c r="E68" i="2"/>
  <c r="D71" i="2"/>
  <c r="E72" i="2" l="1"/>
  <c r="D75" i="2"/>
  <c r="E71" i="2"/>
  <c r="D74" i="2"/>
  <c r="D73" i="2"/>
  <c r="E70" i="2"/>
  <c r="E75" i="2" l="1"/>
  <c r="D78" i="2"/>
  <c r="D76" i="2"/>
  <c r="E73" i="2"/>
  <c r="D77" i="2"/>
  <c r="E74" i="2"/>
  <c r="D81" i="2" l="1"/>
  <c r="E78" i="2"/>
  <c r="D80" i="2"/>
  <c r="E77" i="2"/>
  <c r="E76" i="2"/>
  <c r="D79" i="2"/>
  <c r="D84" i="2" l="1"/>
  <c r="E81" i="2"/>
  <c r="E79" i="2"/>
  <c r="D82" i="2"/>
  <c r="E80" i="2"/>
  <c r="D83" i="2"/>
  <c r="E84" i="2" l="1"/>
  <c r="D87" i="2"/>
  <c r="E83" i="2"/>
  <c r="D86" i="2"/>
  <c r="E82" i="2"/>
  <c r="D85" i="2"/>
  <c r="E87" i="2" l="1"/>
  <c r="D90" i="2"/>
  <c r="E85" i="2"/>
  <c r="D88" i="2"/>
  <c r="D89" i="2"/>
  <c r="E86" i="2"/>
  <c r="D92" i="2" l="1"/>
  <c r="E89" i="2"/>
  <c r="E88" i="2"/>
  <c r="D91" i="2"/>
  <c r="E90" i="2"/>
  <c r="D93" i="2"/>
  <c r="E92" i="2" l="1"/>
  <c r="D95" i="2"/>
  <c r="D96" i="2"/>
  <c r="E93" i="2"/>
  <c r="E91" i="2"/>
  <c r="D94" i="2"/>
  <c r="D97" i="2" l="1"/>
  <c r="E94" i="2"/>
  <c r="E96" i="2"/>
  <c r="D99" i="2"/>
  <c r="E95" i="2"/>
  <c r="D98" i="2"/>
  <c r="D101" i="2" l="1"/>
  <c r="E98" i="2"/>
  <c r="E99" i="2"/>
  <c r="D102" i="2"/>
  <c r="D100" i="2"/>
  <c r="E97" i="2"/>
  <c r="E100" i="2" l="1"/>
  <c r="D103" i="2"/>
  <c r="E102" i="2"/>
  <c r="D105" i="2"/>
  <c r="D104" i="2"/>
  <c r="E101" i="2"/>
  <c r="E104" i="2" l="1"/>
  <c r="D107" i="2"/>
  <c r="D108" i="2"/>
  <c r="E105" i="2"/>
  <c r="E103" i="2"/>
  <c r="D106" i="2"/>
  <c r="D109" i="2" l="1"/>
  <c r="E106" i="2"/>
  <c r="E108" i="2"/>
  <c r="D111" i="2"/>
  <c r="E107" i="2"/>
  <c r="D110" i="2"/>
  <c r="E110" i="2" l="1"/>
  <c r="D113" i="2"/>
  <c r="E111" i="2"/>
  <c r="D114" i="2"/>
  <c r="E109" i="2"/>
  <c r="D112" i="2"/>
  <c r="E112" i="2" l="1"/>
  <c r="D115" i="2"/>
  <c r="D117" i="2"/>
  <c r="E114" i="2"/>
  <c r="D116" i="2"/>
  <c r="E113" i="2"/>
  <c r="E116" i="2" l="1"/>
  <c r="D119" i="2"/>
  <c r="D120" i="2"/>
  <c r="E117" i="2"/>
  <c r="E115" i="2"/>
  <c r="D118" i="2"/>
  <c r="D121" i="2" l="1"/>
  <c r="E118" i="2"/>
  <c r="E120" i="2"/>
  <c r="D123" i="2"/>
  <c r="E119" i="2"/>
  <c r="D122" i="2"/>
  <c r="E123" i="2" l="1"/>
  <c r="D126" i="2"/>
  <c r="D125" i="2"/>
  <c r="E122" i="2"/>
  <c r="D124" i="2"/>
  <c r="E121" i="2"/>
  <c r="E124" i="2" l="1"/>
  <c r="D127" i="2"/>
  <c r="D128" i="2"/>
  <c r="E125" i="2"/>
  <c r="E126" i="2"/>
  <c r="D129" i="2"/>
  <c r="E128" i="2" l="1"/>
  <c r="D131" i="2"/>
  <c r="E127" i="2"/>
  <c r="D130" i="2"/>
  <c r="E129" i="2"/>
  <c r="D132" i="2"/>
  <c r="E132" i="2" l="1"/>
  <c r="D135" i="2"/>
  <c r="E130" i="2"/>
  <c r="D133" i="2"/>
  <c r="E131" i="2"/>
  <c r="D134" i="2"/>
  <c r="E135" i="2" l="1"/>
  <c r="D138" i="2"/>
  <c r="D137" i="2"/>
  <c r="E134" i="2"/>
  <c r="D136" i="2"/>
  <c r="E133" i="2"/>
  <c r="E136" i="2" l="1"/>
  <c r="D139" i="2"/>
  <c r="D140" i="2"/>
  <c r="E137" i="2"/>
  <c r="D141" i="2"/>
  <c r="E138" i="2"/>
  <c r="E140" i="2" l="1"/>
  <c r="D143" i="2"/>
  <c r="D144" i="2"/>
  <c r="E141" i="2"/>
  <c r="E139" i="2"/>
  <c r="D142" i="2"/>
  <c r="D145" i="2" l="1"/>
  <c r="E142" i="2"/>
  <c r="E144" i="2"/>
  <c r="D147" i="2"/>
  <c r="E143" i="2"/>
  <c r="D146" i="2"/>
  <c r="E146" i="2" l="1"/>
  <c r="D149" i="2"/>
  <c r="E147" i="2"/>
  <c r="D150" i="2"/>
  <c r="E145" i="2"/>
  <c r="D148" i="2"/>
  <c r="E148" i="2" l="1"/>
  <c r="D151" i="2"/>
  <c r="D152" i="2"/>
  <c r="E149" i="2"/>
  <c r="E150" i="2"/>
  <c r="D153" i="2"/>
  <c r="E152" i="2" l="1"/>
  <c r="D155" i="2"/>
  <c r="D156" i="2"/>
  <c r="E153" i="2"/>
  <c r="E151" i="2"/>
  <c r="D154" i="2"/>
  <c r="D157" i="2" l="1"/>
  <c r="E154" i="2"/>
  <c r="E156" i="2"/>
  <c r="D159" i="2"/>
  <c r="E155" i="2"/>
  <c r="D158" i="2"/>
  <c r="D161" i="2" l="1"/>
  <c r="E158" i="2"/>
  <c r="E159" i="2"/>
  <c r="D162" i="2"/>
  <c r="D160" i="2"/>
  <c r="E157" i="2"/>
  <c r="E160" i="2" l="1"/>
  <c r="D163" i="2"/>
  <c r="D165" i="2"/>
  <c r="E162" i="2"/>
  <c r="D164" i="2"/>
  <c r="E161" i="2"/>
  <c r="E164" i="2" l="1"/>
  <c r="D167" i="2"/>
  <c r="E165" i="2"/>
  <c r="D168" i="2"/>
  <c r="E163" i="2"/>
  <c r="D166" i="2"/>
  <c r="E166" i="2" l="1"/>
  <c r="D169" i="2"/>
  <c r="E167" i="2"/>
  <c r="D170" i="2"/>
  <c r="E168" i="2"/>
  <c r="D171" i="2"/>
  <c r="E171" i="2" l="1"/>
  <c r="D174" i="2"/>
  <c r="D173" i="2"/>
  <c r="E170" i="2"/>
  <c r="D172" i="2"/>
  <c r="E169" i="2"/>
  <c r="E172" i="2" l="1"/>
  <c r="D175" i="2"/>
  <c r="D176" i="2"/>
  <c r="E173" i="2"/>
  <c r="E174" i="2"/>
  <c r="D177" i="2"/>
  <c r="D180" i="2" l="1"/>
  <c r="E177" i="2"/>
  <c r="E176" i="2"/>
  <c r="D179" i="2"/>
  <c r="E175" i="2"/>
  <c r="D178" i="2"/>
  <c r="D181" i="2" l="1"/>
  <c r="E178" i="2"/>
  <c r="E179" i="2"/>
  <c r="D182" i="2"/>
  <c r="E180" i="2"/>
  <c r="D183" i="2"/>
  <c r="E183" i="2" l="1"/>
  <c r="D186" i="2"/>
  <c r="D185" i="2"/>
  <c r="E182" i="2"/>
  <c r="D184" i="2"/>
  <c r="E181" i="2"/>
  <c r="E184" i="2" l="1"/>
  <c r="D187" i="2"/>
  <c r="E185" i="2"/>
  <c r="D188" i="2"/>
  <c r="E186" i="2"/>
  <c r="D189" i="2"/>
  <c r="D192" i="2" l="1"/>
  <c r="E189" i="2"/>
  <c r="E188" i="2"/>
  <c r="D191" i="2"/>
  <c r="E187" i="2"/>
  <c r="D190" i="2"/>
  <c r="D193" i="2" l="1"/>
  <c r="E190" i="2"/>
  <c r="E191" i="2"/>
  <c r="D194" i="2"/>
  <c r="E192" i="2"/>
  <c r="D195" i="2"/>
  <c r="E195" i="2" l="1"/>
  <c r="D198" i="2"/>
  <c r="E194" i="2"/>
  <c r="D197" i="2"/>
  <c r="D196" i="2"/>
  <c r="E193" i="2"/>
  <c r="D200" i="2" l="1"/>
  <c r="E197" i="2"/>
  <c r="D201" i="2"/>
  <c r="E198" i="2"/>
  <c r="E196" i="2"/>
  <c r="D199" i="2"/>
  <c r="E199" i="2" l="1"/>
  <c r="D202" i="2"/>
  <c r="D204" i="2"/>
  <c r="E201" i="2"/>
  <c r="E200" i="2"/>
  <c r="D203" i="2"/>
  <c r="E204" i="2" l="1"/>
  <c r="D207" i="2"/>
  <c r="D205" i="2"/>
  <c r="E202" i="2"/>
  <c r="E203" i="2"/>
  <c r="D206" i="2"/>
  <c r="D209" i="2" l="1"/>
  <c r="E206" i="2"/>
  <c r="D208" i="2"/>
  <c r="E205" i="2"/>
  <c r="E207" i="2"/>
  <c r="D210" i="2"/>
  <c r="E210" i="2" l="1"/>
  <c r="D213" i="2"/>
  <c r="E208" i="2"/>
  <c r="D211" i="2"/>
  <c r="E209" i="2"/>
  <c r="D212" i="2"/>
  <c r="E212" i="2" l="1"/>
  <c r="D215" i="2"/>
  <c r="E211" i="2"/>
  <c r="D214" i="2"/>
  <c r="D216" i="2"/>
  <c r="E213" i="2"/>
  <c r="E216" i="2" l="1"/>
  <c r="D219" i="2"/>
  <c r="D217" i="2"/>
  <c r="E214" i="2"/>
  <c r="E215" i="2"/>
  <c r="D218" i="2"/>
  <c r="D220" i="2" l="1"/>
  <c r="E217" i="2"/>
  <c r="E219" i="2"/>
  <c r="D222" i="2"/>
  <c r="E218" i="2"/>
  <c r="D221" i="2"/>
  <c r="D224" i="2" l="1"/>
  <c r="E221" i="2"/>
  <c r="E222" i="2"/>
  <c r="D225" i="2"/>
  <c r="E220" i="2"/>
  <c r="D223" i="2"/>
  <c r="E223" i="2" l="1"/>
  <c r="D226" i="2"/>
  <c r="D228" i="2"/>
  <c r="E225" i="2"/>
  <c r="E224" i="2"/>
  <c r="D227" i="2"/>
  <c r="E228" i="2" l="1"/>
  <c r="D231" i="2"/>
  <c r="D229" i="2"/>
  <c r="E226" i="2"/>
  <c r="E227" i="2"/>
  <c r="D230" i="2"/>
  <c r="D233" i="2" l="1"/>
  <c r="E230" i="2"/>
  <c r="E229" i="2"/>
  <c r="D232" i="2"/>
  <c r="E231" i="2"/>
  <c r="D234" i="2"/>
  <c r="E234" i="2" l="1"/>
  <c r="D237" i="2"/>
  <c r="E232" i="2"/>
  <c r="D235" i="2"/>
  <c r="D236" i="2"/>
  <c r="E233" i="2"/>
  <c r="E236" i="2" l="1"/>
  <c r="D239" i="2"/>
  <c r="E235" i="2"/>
  <c r="D238" i="2"/>
  <c r="D240" i="2"/>
  <c r="E237" i="2"/>
  <c r="E240" i="2" l="1"/>
  <c r="D243" i="2"/>
  <c r="D241" i="2"/>
  <c r="E238" i="2"/>
  <c r="E239" i="2"/>
  <c r="D242" i="2"/>
  <c r="D245" i="2" l="1"/>
  <c r="E242" i="2"/>
  <c r="D244" i="2"/>
  <c r="E241" i="2"/>
  <c r="E243" i="2"/>
  <c r="D246" i="2"/>
  <c r="D249" i="2" l="1"/>
  <c r="E246" i="2"/>
  <c r="E244" i="2"/>
  <c r="D247" i="2"/>
  <c r="E245" i="2"/>
  <c r="D248" i="2"/>
  <c r="E248" i="2" l="1"/>
  <c r="D251" i="2"/>
  <c r="E247" i="2"/>
  <c r="D250" i="2"/>
  <c r="D252" i="2"/>
  <c r="E249" i="2"/>
  <c r="E250" i="2" l="1"/>
  <c r="D253" i="2"/>
  <c r="E251" i="2"/>
  <c r="D254" i="2"/>
  <c r="E252" i="2"/>
  <c r="D255" i="2"/>
  <c r="E255" i="2" l="1"/>
  <c r="D258" i="2"/>
  <c r="E254" i="2"/>
  <c r="D257" i="2"/>
  <c r="D256" i="2"/>
  <c r="E253" i="2"/>
  <c r="E256" i="2" l="1"/>
  <c r="D259" i="2"/>
  <c r="D260" i="2"/>
  <c r="E257" i="2"/>
  <c r="D261" i="2"/>
  <c r="E258" i="2"/>
  <c r="D264" i="2" l="1"/>
  <c r="E261" i="2"/>
  <c r="E260" i="2"/>
  <c r="D263" i="2"/>
  <c r="E259" i="2"/>
  <c r="D262" i="2"/>
  <c r="D265" i="2" l="1"/>
  <c r="E262" i="2"/>
  <c r="E263" i="2"/>
  <c r="D266" i="2"/>
  <c r="E264" i="2"/>
  <c r="D267" i="2"/>
  <c r="E267" i="2" l="1"/>
  <c r="D270" i="2"/>
  <c r="E266" i="2"/>
  <c r="D269" i="2"/>
  <c r="E265" i="2"/>
  <c r="D268" i="2"/>
  <c r="E268" i="2" l="1"/>
  <c r="D271" i="2"/>
  <c r="D272" i="2"/>
  <c r="E269" i="2"/>
  <c r="D273" i="2"/>
  <c r="E270" i="2"/>
  <c r="D276" i="2" l="1"/>
  <c r="E273" i="2"/>
  <c r="E272" i="2"/>
  <c r="D275" i="2"/>
  <c r="E271" i="2"/>
  <c r="D274" i="2"/>
  <c r="E274" i="2" l="1"/>
  <c r="D277" i="2"/>
  <c r="E275" i="2"/>
  <c r="D278" i="2"/>
  <c r="E276" i="2"/>
  <c r="D279" i="2"/>
  <c r="E279" i="2" l="1"/>
  <c r="D282" i="2"/>
  <c r="D281" i="2"/>
  <c r="E278" i="2"/>
  <c r="D280" i="2"/>
  <c r="E277" i="2"/>
  <c r="E280" i="2" l="1"/>
  <c r="D283" i="2"/>
  <c r="E281" i="2"/>
  <c r="D284" i="2"/>
  <c r="E282" i="2"/>
  <c r="D285" i="2"/>
  <c r="D288" i="2" l="1"/>
  <c r="E285" i="2"/>
  <c r="E284" i="2"/>
  <c r="D287" i="2"/>
  <c r="E283" i="2"/>
  <c r="D286" i="2"/>
  <c r="D289" i="2" l="1"/>
  <c r="E286" i="2"/>
  <c r="E287" i="2"/>
  <c r="D290" i="2"/>
  <c r="E288" i="2"/>
  <c r="D291" i="2"/>
  <c r="E291" i="2" l="1"/>
  <c r="D294" i="2"/>
  <c r="D293" i="2"/>
  <c r="E290" i="2"/>
  <c r="D292" i="2"/>
  <c r="E289" i="2"/>
  <c r="E292" i="2" l="1"/>
  <c r="D295" i="2"/>
  <c r="D296" i="2"/>
  <c r="E293" i="2"/>
  <c r="D297" i="2"/>
  <c r="E294" i="2"/>
  <c r="D300" i="2" l="1"/>
  <c r="E297" i="2"/>
  <c r="E296" i="2"/>
  <c r="D299" i="2"/>
  <c r="E295" i="2"/>
  <c r="D298" i="2"/>
  <c r="E298" i="2" l="1"/>
  <c r="D301" i="2"/>
  <c r="E299" i="2"/>
  <c r="D302" i="2"/>
  <c r="E300" i="2"/>
  <c r="D303" i="2"/>
  <c r="E303" i="2" l="1"/>
  <c r="D306" i="2"/>
  <c r="E302" i="2"/>
  <c r="D305" i="2"/>
  <c r="D304" i="2"/>
  <c r="E301" i="2"/>
  <c r="E304" i="2" l="1"/>
  <c r="D307" i="2"/>
  <c r="E305" i="2"/>
  <c r="D308" i="2"/>
  <c r="D309" i="2"/>
  <c r="E306" i="2"/>
  <c r="D312" i="2" l="1"/>
  <c r="E309" i="2"/>
  <c r="E308" i="2"/>
  <c r="D311" i="2"/>
  <c r="E307" i="2"/>
  <c r="D310" i="2"/>
  <c r="D313" i="2" l="1"/>
  <c r="E310" i="2"/>
  <c r="E311" i="2"/>
  <c r="D314" i="2"/>
  <c r="E312" i="2"/>
  <c r="D315" i="2"/>
  <c r="E315" i="2" l="1"/>
  <c r="D318" i="2"/>
  <c r="E314" i="2"/>
  <c r="D317" i="2"/>
  <c r="D316" i="2"/>
  <c r="E313" i="2"/>
  <c r="E316" i="2" l="1"/>
  <c r="D319" i="2"/>
  <c r="D320" i="2"/>
  <c r="E317" i="2"/>
  <c r="D321" i="2"/>
  <c r="E318" i="2"/>
  <c r="D324" i="2" l="1"/>
  <c r="E321" i="2"/>
  <c r="E320" i="2"/>
  <c r="D323" i="2"/>
  <c r="E319" i="2"/>
  <c r="D322" i="2"/>
  <c r="D325" i="2" l="1"/>
  <c r="E322" i="2"/>
  <c r="E323" i="2"/>
  <c r="D326" i="2"/>
  <c r="E324" i="2"/>
  <c r="D327" i="2"/>
  <c r="E327" i="2" l="1"/>
  <c r="D330" i="2"/>
  <c r="E326" i="2"/>
  <c r="D329" i="2"/>
  <c r="D328" i="2"/>
  <c r="E325" i="2"/>
  <c r="E328" i="2" l="1"/>
  <c r="D331" i="2"/>
  <c r="E329" i="2"/>
  <c r="D332" i="2"/>
  <c r="E330" i="2"/>
  <c r="D333" i="2"/>
  <c r="D336" i="2" l="1"/>
  <c r="E333" i="2"/>
  <c r="E332" i="2"/>
  <c r="D335" i="2"/>
  <c r="E331" i="2"/>
  <c r="D334" i="2"/>
  <c r="D337" i="2" l="1"/>
  <c r="E334" i="2"/>
  <c r="E335" i="2"/>
  <c r="D338" i="2"/>
  <c r="E336" i="2"/>
  <c r="D339" i="2"/>
  <c r="E339" i="2" l="1"/>
  <c r="D342" i="2"/>
  <c r="D341" i="2"/>
  <c r="E338" i="2"/>
  <c r="D340" i="2"/>
  <c r="E337" i="2"/>
  <c r="E340" i="2" l="1"/>
  <c r="D343" i="2"/>
  <c r="D344" i="2"/>
  <c r="E341" i="2"/>
  <c r="D345" i="2"/>
  <c r="E342" i="2"/>
  <c r="E345" i="2" l="1"/>
  <c r="D348" i="2"/>
  <c r="E344" i="2"/>
  <c r="D347" i="2"/>
  <c r="E343" i="2"/>
  <c r="D346" i="2"/>
  <c r="E346" i="2" l="1"/>
  <c r="D349" i="2"/>
  <c r="E347" i="2"/>
  <c r="D350" i="2"/>
  <c r="E348" i="2"/>
  <c r="D351" i="2"/>
  <c r="E351" i="2" l="1"/>
  <c r="D354" i="2"/>
  <c r="D353" i="2"/>
  <c r="E350" i="2"/>
  <c r="D352" i="2"/>
  <c r="E349" i="2"/>
  <c r="E352" i="2" l="1"/>
  <c r="D355" i="2"/>
  <c r="D356" i="2"/>
  <c r="E353" i="2"/>
  <c r="D357" i="2"/>
  <c r="E354" i="2"/>
  <c r="D360" i="2" l="1"/>
  <c r="E357" i="2"/>
  <c r="E356" i="2"/>
  <c r="D359" i="2"/>
  <c r="E355" i="2"/>
  <c r="D358" i="2"/>
  <c r="E358" i="2" l="1"/>
  <c r="D361" i="2"/>
  <c r="E359" i="2"/>
  <c r="D362" i="2"/>
  <c r="E360" i="2"/>
  <c r="D363" i="2"/>
  <c r="E363" i="2" l="1"/>
  <c r="D366" i="2"/>
  <c r="E362" i="2"/>
  <c r="D365" i="2"/>
  <c r="D364" i="2"/>
  <c r="E361" i="2"/>
  <c r="E364" i="2" l="1"/>
  <c r="D367" i="2"/>
  <c r="D368" i="2"/>
  <c r="E365" i="2"/>
  <c r="D369" i="2"/>
  <c r="E366" i="2"/>
  <c r="E369" i="2" l="1"/>
  <c r="D372" i="2"/>
  <c r="E368" i="2"/>
  <c r="D371" i="2"/>
  <c r="E367" i="2"/>
  <c r="D370" i="2"/>
  <c r="D373" i="2" l="1"/>
  <c r="E370" i="2"/>
  <c r="E371" i="2"/>
  <c r="D374" i="2"/>
  <c r="E372" i="2"/>
  <c r="D375" i="2"/>
  <c r="E375" i="2" l="1"/>
  <c r="D378" i="2"/>
  <c r="D377" i="2"/>
  <c r="E374" i="2"/>
  <c r="D376" i="2"/>
  <c r="E373" i="2"/>
  <c r="E376" i="2" l="1"/>
  <c r="D379" i="2"/>
  <c r="D380" i="2"/>
  <c r="E377" i="2"/>
  <c r="E378" i="2"/>
  <c r="D381" i="2"/>
  <c r="D384" i="2" l="1"/>
  <c r="E381" i="2"/>
  <c r="E380" i="2"/>
  <c r="D383" i="2"/>
  <c r="E379" i="2"/>
  <c r="D382" i="2"/>
  <c r="D385" i="2" l="1"/>
  <c r="E382" i="2"/>
  <c r="E383" i="2"/>
  <c r="D386" i="2"/>
  <c r="E384" i="2"/>
  <c r="D387" i="2"/>
  <c r="E387" i="2" l="1"/>
  <c r="D390" i="2"/>
  <c r="D389" i="2"/>
  <c r="E386" i="2"/>
  <c r="D388" i="2"/>
  <c r="E385" i="2"/>
  <c r="E389" i="2" l="1"/>
  <c r="D392" i="2"/>
  <c r="E388" i="2"/>
  <c r="D391" i="2"/>
  <c r="E390" i="2"/>
  <c r="D393" i="2"/>
  <c r="E392" i="2" l="1"/>
  <c r="D395" i="2"/>
  <c r="D396" i="2"/>
  <c r="E393" i="2"/>
  <c r="E391" i="2"/>
  <c r="D394" i="2"/>
  <c r="E394" i="2" l="1"/>
  <c r="D397" i="2"/>
  <c r="E396" i="2"/>
  <c r="D399" i="2"/>
  <c r="E395" i="2"/>
  <c r="D398" i="2"/>
  <c r="D401" i="2" l="1"/>
  <c r="E398" i="2"/>
  <c r="E399" i="2"/>
  <c r="D402" i="2"/>
  <c r="D400" i="2"/>
  <c r="E397" i="2"/>
  <c r="E400" i="2" l="1"/>
  <c r="D403" i="2"/>
  <c r="D405" i="2"/>
  <c r="E402" i="2"/>
  <c r="D404" i="2"/>
  <c r="E401" i="2"/>
  <c r="D408" i="2" l="1"/>
  <c r="E405" i="2"/>
  <c r="E404" i="2"/>
  <c r="D407" i="2"/>
  <c r="E403" i="2"/>
  <c r="D406" i="2"/>
  <c r="E406" i="2" l="1"/>
  <c r="D409" i="2"/>
  <c r="E407" i="2"/>
  <c r="D410" i="2"/>
  <c r="E408" i="2"/>
  <c r="D411" i="2"/>
  <c r="E409" i="2" l="1"/>
  <c r="D412" i="2"/>
  <c r="E411" i="2"/>
  <c r="D414" i="2"/>
  <c r="D413" i="2"/>
  <c r="E410" i="2"/>
  <c r="D416" i="2" l="1"/>
  <c r="E413" i="2"/>
  <c r="D417" i="2"/>
  <c r="E414" i="2"/>
  <c r="E412" i="2"/>
  <c r="D415" i="2"/>
  <c r="E415" i="2" l="1"/>
  <c r="D418" i="2"/>
  <c r="D420" i="2"/>
  <c r="E417" i="2"/>
  <c r="E416" i="2"/>
  <c r="D419" i="2"/>
  <c r="E420" i="2" l="1"/>
  <c r="D423" i="2"/>
  <c r="E419" i="2"/>
  <c r="D422" i="2"/>
  <c r="E418" i="2"/>
  <c r="D421" i="2"/>
  <c r="D424" i="2" l="1"/>
  <c r="E421" i="2"/>
  <c r="D425" i="2"/>
  <c r="E422" i="2"/>
  <c r="E423" i="2"/>
  <c r="D426" i="2"/>
  <c r="D429" i="2" l="1"/>
  <c r="E426" i="2"/>
  <c r="D428" i="2"/>
  <c r="E425" i="2"/>
  <c r="E424" i="2"/>
  <c r="D427" i="2"/>
  <c r="E427" i="2" l="1"/>
  <c r="D430" i="2"/>
  <c r="E428" i="2"/>
  <c r="D431" i="2"/>
  <c r="D432" i="2"/>
  <c r="E429" i="2"/>
  <c r="E432" i="2" l="1"/>
  <c r="D435" i="2"/>
  <c r="E431" i="2"/>
  <c r="D434" i="2"/>
  <c r="E430" i="2"/>
  <c r="D433" i="2"/>
  <c r="E433" i="2" l="1"/>
  <c r="D436" i="2"/>
  <c r="D437" i="2"/>
  <c r="E434" i="2"/>
  <c r="E435" i="2"/>
  <c r="D438" i="2"/>
  <c r="D441" i="2" l="1"/>
  <c r="E438" i="2"/>
  <c r="D440" i="2"/>
  <c r="E437" i="2"/>
  <c r="E436" i="2"/>
  <c r="D439" i="2"/>
  <c r="E439" i="2" l="1"/>
  <c r="D442" i="2"/>
  <c r="E440" i="2"/>
  <c r="D443" i="2"/>
  <c r="D444" i="2"/>
  <c r="E441" i="2"/>
  <c r="E444" i="2" l="1"/>
  <c r="D447" i="2"/>
  <c r="E443" i="2"/>
  <c r="D446" i="2"/>
  <c r="E442" i="2"/>
  <c r="D445" i="2"/>
  <c r="D448" i="2" l="1"/>
  <c r="E445" i="2"/>
  <c r="D449" i="2"/>
  <c r="E446" i="2"/>
  <c r="E447" i="2"/>
  <c r="D450" i="2"/>
  <c r="D453" i="2" l="1"/>
  <c r="E450" i="2"/>
  <c r="D452" i="2"/>
  <c r="E449" i="2"/>
  <c r="E448" i="2"/>
  <c r="D451" i="2"/>
  <c r="E451" i="2" l="1"/>
  <c r="D454" i="2"/>
  <c r="E452" i="2"/>
  <c r="D455" i="2"/>
  <c r="D456" i="2"/>
  <c r="E453" i="2"/>
  <c r="E456" i="2" l="1"/>
  <c r="D459" i="2"/>
  <c r="E455" i="2"/>
  <c r="D458" i="2"/>
  <c r="E454" i="2"/>
  <c r="D457" i="2"/>
  <c r="E459" i="2" l="1"/>
  <c r="D462" i="2"/>
  <c r="D460" i="2"/>
  <c r="E457" i="2"/>
  <c r="D461" i="2"/>
  <c r="E458" i="2"/>
  <c r="E461" i="2" l="1"/>
  <c r="D464" i="2"/>
  <c r="E460" i="2"/>
  <c r="D463" i="2"/>
  <c r="E462" i="2"/>
  <c r="D465" i="2"/>
  <c r="D468" i="2" l="1"/>
  <c r="E465" i="2"/>
  <c r="E463" i="2"/>
  <c r="D466" i="2"/>
  <c r="E464" i="2"/>
  <c r="D467" i="2"/>
  <c r="E467" i="2" l="1"/>
  <c r="D470" i="2"/>
  <c r="D469" i="2"/>
  <c r="E466" i="2"/>
  <c r="E468" i="2"/>
  <c r="D471" i="2"/>
  <c r="E471" i="2" l="1"/>
  <c r="D474" i="2"/>
  <c r="D472" i="2"/>
  <c r="E469" i="2"/>
  <c r="E470" i="2"/>
  <c r="D473" i="2"/>
  <c r="D476" i="2" l="1"/>
  <c r="E473" i="2"/>
  <c r="E472" i="2"/>
  <c r="D475" i="2"/>
  <c r="D477" i="2"/>
  <c r="E474" i="2"/>
  <c r="D480" i="2" l="1"/>
  <c r="E477" i="2"/>
  <c r="E475" i="2"/>
  <c r="D478" i="2"/>
  <c r="E476" i="2"/>
  <c r="D479" i="2"/>
  <c r="E479" i="2" l="1"/>
  <c r="D482" i="2"/>
  <c r="D481" i="2"/>
  <c r="E478" i="2"/>
  <c r="E480" i="2"/>
  <c r="D483" i="2"/>
  <c r="E483" i="2" l="1"/>
  <c r="D486" i="2"/>
  <c r="D484" i="2"/>
  <c r="E481" i="2"/>
  <c r="D485" i="2"/>
  <c r="E482" i="2"/>
  <c r="D488" i="2" l="1"/>
  <c r="E485" i="2"/>
  <c r="E484" i="2"/>
  <c r="D487" i="2"/>
  <c r="E486" i="2"/>
  <c r="D489" i="2"/>
  <c r="E489" i="2" l="1"/>
  <c r="D492" i="2"/>
  <c r="E487" i="2"/>
  <c r="D490" i="2"/>
  <c r="E488" i="2"/>
  <c r="D491" i="2"/>
  <c r="E491" i="2" l="1"/>
  <c r="D494" i="2"/>
  <c r="E490" i="2"/>
  <c r="D493" i="2"/>
  <c r="E492" i="2"/>
  <c r="D495" i="2"/>
  <c r="E495" i="2" l="1"/>
  <c r="D498" i="2"/>
  <c r="D496" i="2"/>
  <c r="E493" i="2"/>
  <c r="D497" i="2"/>
  <c r="E494" i="2"/>
  <c r="D500" i="2" l="1"/>
  <c r="E497" i="2"/>
  <c r="E496" i="2"/>
  <c r="D499" i="2"/>
  <c r="D501" i="2"/>
  <c r="E498" i="2"/>
  <c r="D504" i="2" l="1"/>
  <c r="E501" i="2"/>
  <c r="E499" i="2"/>
  <c r="D502" i="2"/>
  <c r="E500" i="2"/>
  <c r="D503" i="2"/>
  <c r="E503" i="2" l="1"/>
  <c r="D506" i="2"/>
  <c r="D505" i="2"/>
  <c r="E502" i="2"/>
  <c r="E504" i="2"/>
  <c r="D507" i="2"/>
  <c r="E507" i="2" l="1"/>
  <c r="D510" i="2"/>
  <c r="D508" i="2"/>
  <c r="E505" i="2"/>
  <c r="E506" i="2"/>
  <c r="D509" i="2"/>
  <c r="D512" i="2" l="1"/>
  <c r="E509" i="2"/>
  <c r="E508" i="2"/>
  <c r="D511" i="2"/>
  <c r="D513" i="2"/>
  <c r="E510" i="2"/>
  <c r="D516" i="2" l="1"/>
  <c r="E513" i="2"/>
  <c r="E511" i="2"/>
  <c r="D514" i="2"/>
  <c r="E512" i="2"/>
  <c r="D515" i="2"/>
  <c r="E515" i="2" l="1"/>
  <c r="D518" i="2"/>
  <c r="E514" i="2"/>
  <c r="D517" i="2"/>
  <c r="E516" i="2"/>
  <c r="D519" i="2"/>
  <c r="E519" i="2" l="1"/>
  <c r="D522" i="2"/>
  <c r="E517" i="2"/>
  <c r="D520" i="2"/>
  <c r="D521" i="2"/>
  <c r="E518" i="2"/>
  <c r="D524" i="2" l="1"/>
  <c r="E521" i="2"/>
  <c r="E520" i="2"/>
  <c r="D523" i="2"/>
  <c r="D525" i="2"/>
  <c r="E522" i="2"/>
  <c r="D528" i="2" l="1"/>
  <c r="E525" i="2"/>
  <c r="E523" i="2"/>
  <c r="D526" i="2"/>
  <c r="E524" i="2"/>
  <c r="D527" i="2"/>
  <c r="E527" i="2" l="1"/>
  <c r="D530" i="2"/>
  <c r="E526" i="2"/>
  <c r="D529" i="2"/>
  <c r="E528" i="2"/>
  <c r="D531" i="2"/>
  <c r="E531" i="2" l="1"/>
  <c r="D534" i="2"/>
  <c r="D532" i="2"/>
  <c r="E529" i="2"/>
  <c r="D533" i="2"/>
  <c r="E530" i="2"/>
  <c r="D536" i="2" l="1"/>
  <c r="E533" i="2"/>
  <c r="E532" i="2"/>
  <c r="D535" i="2"/>
  <c r="E534" i="2"/>
  <c r="D537" i="2"/>
  <c r="D540" i="2" l="1"/>
  <c r="E537" i="2"/>
  <c r="E535" i="2"/>
  <c r="D538" i="2"/>
  <c r="E536" i="2"/>
  <c r="D539" i="2"/>
  <c r="E539" i="2" l="1"/>
  <c r="D542" i="2"/>
  <c r="D541" i="2"/>
  <c r="E538" i="2"/>
  <c r="E540" i="2"/>
  <c r="D543" i="2"/>
  <c r="E543" i="2" l="1"/>
  <c r="D546" i="2"/>
  <c r="D544" i="2"/>
  <c r="E541" i="2"/>
  <c r="D545" i="2"/>
  <c r="E542" i="2"/>
  <c r="D548" i="2" l="1"/>
  <c r="E545" i="2"/>
  <c r="E544" i="2"/>
  <c r="D547" i="2"/>
  <c r="D549" i="2"/>
  <c r="E546" i="2"/>
  <c r="E549" i="2" l="1"/>
  <c r="D552" i="2"/>
  <c r="E547" i="2"/>
  <c r="D550" i="2"/>
  <c r="E548" i="2"/>
  <c r="D551" i="2"/>
  <c r="E551" i="2" l="1"/>
  <c r="D554" i="2"/>
  <c r="D553" i="2"/>
  <c r="E550" i="2"/>
  <c r="E552" i="2"/>
  <c r="D555" i="2"/>
  <c r="E555" i="2" l="1"/>
  <c r="D558" i="2"/>
  <c r="D556" i="2"/>
  <c r="E553" i="2"/>
  <c r="E554" i="2"/>
  <c r="D557" i="2"/>
  <c r="D560" i="2" l="1"/>
  <c r="E557" i="2"/>
  <c r="E556" i="2"/>
  <c r="D559" i="2"/>
  <c r="E558" i="2"/>
  <c r="D561" i="2"/>
  <c r="D564" i="2" l="1"/>
  <c r="E561" i="2"/>
  <c r="E559" i="2"/>
  <c r="D562" i="2"/>
  <c r="E560" i="2"/>
  <c r="D563" i="2"/>
  <c r="E563" i="2" l="1"/>
  <c r="D566" i="2"/>
  <c r="D565" i="2"/>
  <c r="E562" i="2"/>
  <c r="E564" i="2"/>
  <c r="D567" i="2"/>
  <c r="E567" i="2" l="1"/>
  <c r="D570" i="2"/>
  <c r="D568" i="2"/>
  <c r="E565" i="2"/>
  <c r="D569" i="2"/>
  <c r="E566" i="2"/>
  <c r="E569" i="2" l="1"/>
  <c r="D572" i="2"/>
  <c r="E568" i="2"/>
  <c r="D571" i="2"/>
  <c r="D573" i="2"/>
  <c r="E570" i="2"/>
  <c r="D576" i="2" l="1"/>
  <c r="E573" i="2"/>
  <c r="E571" i="2"/>
  <c r="D574" i="2"/>
  <c r="E572" i="2"/>
  <c r="D575" i="2"/>
  <c r="E575" i="2" l="1"/>
  <c r="D578" i="2"/>
  <c r="E574" i="2"/>
  <c r="D577" i="2"/>
  <c r="E576" i="2"/>
  <c r="D579" i="2"/>
  <c r="E579" i="2" l="1"/>
  <c r="D582" i="2"/>
  <c r="D580" i="2"/>
  <c r="E577" i="2"/>
  <c r="D581" i="2"/>
  <c r="E578" i="2"/>
  <c r="D584" i="2" l="1"/>
  <c r="E581" i="2"/>
  <c r="E580" i="2"/>
  <c r="D583" i="2"/>
  <c r="E582" i="2"/>
  <c r="D585" i="2"/>
  <c r="D588" i="2" l="1"/>
  <c r="E585" i="2"/>
  <c r="E583" i="2"/>
  <c r="D586" i="2"/>
  <c r="E584" i="2"/>
  <c r="D587" i="2"/>
  <c r="E587" i="2" l="1"/>
  <c r="D590" i="2"/>
  <c r="D589" i="2"/>
  <c r="E586" i="2"/>
  <c r="E588" i="2"/>
  <c r="D591" i="2"/>
  <c r="E591" i="2" l="1"/>
  <c r="D594" i="2"/>
  <c r="E589" i="2"/>
  <c r="D592" i="2"/>
  <c r="E590" i="2"/>
  <c r="D593" i="2"/>
  <c r="D596" i="2" l="1"/>
  <c r="E593" i="2"/>
  <c r="E592" i="2"/>
  <c r="D595" i="2"/>
  <c r="D597" i="2"/>
  <c r="E594" i="2"/>
  <c r="D600" i="2" l="1"/>
  <c r="E597" i="2"/>
  <c r="E595" i="2"/>
  <c r="D598" i="2"/>
  <c r="E596" i="2"/>
  <c r="D599" i="2"/>
  <c r="E599" i="2" l="1"/>
  <c r="D602" i="2"/>
  <c r="D601" i="2"/>
  <c r="E598" i="2"/>
  <c r="E600" i="2"/>
  <c r="D603" i="2"/>
  <c r="E603" i="2" l="1"/>
  <c r="D606" i="2"/>
  <c r="D604" i="2"/>
  <c r="E601" i="2"/>
  <c r="E602" i="2"/>
  <c r="D605" i="2"/>
  <c r="D608" i="2" l="1"/>
  <c r="E605" i="2"/>
  <c r="E604" i="2"/>
  <c r="D607" i="2"/>
  <c r="E606" i="2"/>
  <c r="D609" i="2"/>
  <c r="E609" i="2" l="1"/>
  <c r="D612" i="2"/>
  <c r="E607" i="2"/>
  <c r="D610" i="2"/>
  <c r="E608" i="2"/>
  <c r="D611" i="2"/>
  <c r="E611" i="2" l="1"/>
  <c r="D614" i="2"/>
  <c r="D613" i="2"/>
  <c r="E610" i="2"/>
  <c r="E612" i="2"/>
  <c r="D615" i="2"/>
  <c r="E615" i="2" l="1"/>
  <c r="D618" i="2"/>
  <c r="D616" i="2"/>
  <c r="E613" i="2"/>
  <c r="D617" i="2"/>
  <c r="E614" i="2"/>
  <c r="D620" i="2" l="1"/>
  <c r="E617" i="2"/>
  <c r="E616" i="2"/>
  <c r="D619" i="2"/>
  <c r="D621" i="2"/>
  <c r="E618" i="2"/>
  <c r="D624" i="2" l="1"/>
  <c r="E621" i="2"/>
  <c r="E619" i="2"/>
  <c r="D622" i="2"/>
  <c r="E620" i="2"/>
  <c r="D623" i="2"/>
  <c r="E623" i="2" l="1"/>
  <c r="D626" i="2"/>
  <c r="D625" i="2"/>
  <c r="E622" i="2"/>
  <c r="E624" i="2"/>
  <c r="D627" i="2"/>
  <c r="E627" i="2" l="1"/>
  <c r="D630" i="2"/>
  <c r="D628" i="2"/>
  <c r="E625" i="2"/>
  <c r="E626" i="2"/>
  <c r="D629" i="2"/>
  <c r="D632" i="2" l="1"/>
  <c r="E629" i="2"/>
  <c r="E628" i="2"/>
  <c r="D631" i="2"/>
  <c r="D633" i="2"/>
  <c r="E630" i="2"/>
  <c r="E633" i="2" l="1"/>
  <c r="D636" i="2"/>
  <c r="E631" i="2"/>
  <c r="D634" i="2"/>
  <c r="E632" i="2"/>
  <c r="D635" i="2"/>
  <c r="E635" i="2" l="1"/>
  <c r="D638" i="2"/>
  <c r="D637" i="2"/>
  <c r="E634" i="2"/>
  <c r="E636" i="2"/>
  <c r="D639" i="2"/>
  <c r="E639" i="2" l="1"/>
  <c r="D642" i="2"/>
  <c r="D640" i="2"/>
  <c r="E637" i="2"/>
  <c r="E638" i="2"/>
  <c r="D641" i="2"/>
  <c r="D644" i="2" l="1"/>
  <c r="E641" i="2"/>
  <c r="E640" i="2"/>
  <c r="D643" i="2"/>
  <c r="E642" i="2"/>
  <c r="D645" i="2"/>
  <c r="D648" i="2" l="1"/>
  <c r="E645" i="2"/>
  <c r="E643" i="2"/>
  <c r="D646" i="2"/>
  <c r="E644" i="2"/>
  <c r="D647" i="2"/>
  <c r="E647" i="2" l="1"/>
  <c r="D650" i="2"/>
  <c r="D649" i="2"/>
  <c r="E646" i="2"/>
  <c r="E648" i="2"/>
  <c r="D651" i="2"/>
  <c r="E651" i="2" l="1"/>
  <c r="D654" i="2"/>
  <c r="D652" i="2"/>
  <c r="E649" i="2"/>
  <c r="D653" i="2"/>
  <c r="E650" i="2"/>
  <c r="D656" i="2" l="1"/>
  <c r="E653" i="2"/>
  <c r="E652" i="2"/>
  <c r="D655" i="2"/>
  <c r="D657" i="2"/>
  <c r="E654" i="2"/>
  <c r="E657" i="2" l="1"/>
  <c r="D660" i="2"/>
  <c r="E655" i="2"/>
  <c r="D658" i="2"/>
  <c r="D659" i="2"/>
  <c r="E656" i="2"/>
  <c r="E659" i="2" l="1"/>
  <c r="D662" i="2"/>
  <c r="D661" i="2"/>
  <c r="E658" i="2"/>
  <c r="D663" i="2"/>
  <c r="E660" i="2"/>
  <c r="E663" i="2" l="1"/>
  <c r="D666" i="2"/>
  <c r="E661" i="2"/>
  <c r="D664" i="2"/>
  <c r="E662" i="2"/>
  <c r="D665" i="2"/>
  <c r="E665" i="2" l="1"/>
  <c r="D668" i="2"/>
  <c r="E664" i="2"/>
  <c r="D667" i="2"/>
  <c r="D669" i="2"/>
  <c r="E666" i="2"/>
  <c r="E669" i="2" l="1"/>
  <c r="D672" i="2"/>
  <c r="E667" i="2"/>
  <c r="D670" i="2"/>
  <c r="E668" i="2"/>
  <c r="D671" i="2"/>
  <c r="E671" i="2" l="1"/>
  <c r="D674" i="2"/>
  <c r="D673" i="2"/>
  <c r="E670" i="2"/>
  <c r="E672" i="2"/>
  <c r="D675" i="2"/>
  <c r="E673" i="2" l="1"/>
  <c r="D676" i="2"/>
  <c r="E675" i="2"/>
  <c r="D678" i="2"/>
  <c r="D677" i="2"/>
  <c r="E674" i="2"/>
  <c r="E677" i="2" l="1"/>
  <c r="D680" i="2"/>
  <c r="D681" i="2"/>
  <c r="E678" i="2"/>
  <c r="E676" i="2"/>
  <c r="D679" i="2"/>
  <c r="E679" i="2" l="1"/>
  <c r="D682" i="2"/>
  <c r="E681" i="2"/>
  <c r="D684" i="2"/>
  <c r="E680" i="2"/>
  <c r="D683" i="2"/>
  <c r="E683" i="2" l="1"/>
  <c r="D686" i="2"/>
  <c r="E684" i="2"/>
  <c r="D687" i="2"/>
  <c r="D685" i="2"/>
  <c r="E682" i="2"/>
  <c r="E685" i="2" l="1"/>
  <c r="D688" i="2"/>
  <c r="E687" i="2"/>
  <c r="D690" i="2"/>
  <c r="E686" i="2"/>
  <c r="D689" i="2"/>
  <c r="E689" i="2" l="1"/>
  <c r="D692" i="2"/>
  <c r="D693" i="2"/>
  <c r="E690" i="2"/>
  <c r="E688" i="2"/>
  <c r="D691" i="2"/>
  <c r="E691" i="2" l="1"/>
  <c r="D694" i="2"/>
  <c r="E693" i="2"/>
  <c r="D696" i="2"/>
  <c r="E692" i="2"/>
  <c r="D695" i="2"/>
  <c r="E695" i="2" l="1"/>
  <c r="D698" i="2"/>
  <c r="E696" i="2"/>
  <c r="D699" i="2"/>
  <c r="E694" i="2"/>
  <c r="D697" i="2"/>
  <c r="E697" i="2" l="1"/>
  <c r="D700" i="2"/>
  <c r="E699" i="2"/>
  <c r="D702" i="2"/>
  <c r="D701" i="2"/>
  <c r="E698" i="2"/>
  <c r="E701" i="2" l="1"/>
  <c r="D704" i="2"/>
  <c r="E702" i="2"/>
  <c r="D705" i="2"/>
  <c r="E700" i="2"/>
  <c r="D703" i="2"/>
  <c r="E703" i="2" l="1"/>
  <c r="D706" i="2"/>
  <c r="E705" i="2"/>
  <c r="D708" i="2"/>
  <c r="E704" i="2"/>
  <c r="D707" i="2"/>
  <c r="E707" i="2" l="1"/>
  <c r="D710" i="2"/>
  <c r="E708" i="2"/>
  <c r="D711" i="2"/>
  <c r="D709" i="2"/>
  <c r="E706" i="2"/>
  <c r="E709" i="2" l="1"/>
  <c r="D712" i="2"/>
  <c r="E711" i="2"/>
  <c r="D714" i="2"/>
  <c r="D713" i="2"/>
  <c r="E710" i="2"/>
  <c r="E713" i="2" l="1"/>
  <c r="D716" i="2"/>
  <c r="D717" i="2"/>
  <c r="E714" i="2"/>
  <c r="E712" i="2"/>
  <c r="D715" i="2"/>
  <c r="E715" i="2" l="1"/>
  <c r="D718" i="2"/>
  <c r="E717" i="2"/>
  <c r="D720" i="2"/>
  <c r="E716" i="2"/>
  <c r="D719" i="2"/>
  <c r="E719" i="2" l="1"/>
  <c r="D722" i="2"/>
  <c r="E720" i="2"/>
  <c r="D723" i="2"/>
  <c r="D721" i="2"/>
  <c r="E718" i="2"/>
  <c r="E721" i="2" l="1"/>
  <c r="D724" i="2"/>
  <c r="E723" i="2"/>
  <c r="D726" i="2"/>
  <c r="D725" i="2"/>
  <c r="E722" i="2"/>
  <c r="E725" i="2" l="1"/>
  <c r="D728" i="2"/>
  <c r="E726" i="2"/>
  <c r="D729" i="2"/>
  <c r="E724" i="2"/>
  <c r="D727" i="2"/>
  <c r="E727" i="2" l="1"/>
  <c r="D730" i="2"/>
  <c r="E729" i="2"/>
  <c r="D732" i="2"/>
  <c r="E728" i="2"/>
  <c r="D731" i="2"/>
  <c r="E731" i="2" l="1"/>
  <c r="D734" i="2"/>
  <c r="E732" i="2"/>
  <c r="D735" i="2"/>
  <c r="D733" i="2"/>
  <c r="E730" i="2"/>
  <c r="E733" i="2" l="1"/>
  <c r="D736" i="2"/>
  <c r="E735" i="2"/>
  <c r="D738" i="2"/>
  <c r="D737" i="2"/>
  <c r="E734" i="2"/>
  <c r="E737" i="2" l="1"/>
  <c r="D740" i="2"/>
  <c r="D741" i="2"/>
  <c r="E738" i="2"/>
  <c r="E736" i="2"/>
  <c r="D739" i="2"/>
  <c r="E739" i="2" l="1"/>
  <c r="D742" i="2"/>
  <c r="E741" i="2"/>
  <c r="D744" i="2"/>
  <c r="E740" i="2"/>
  <c r="D743" i="2"/>
  <c r="E743" i="2" l="1"/>
  <c r="D746" i="2"/>
  <c r="E744" i="2"/>
  <c r="D747" i="2"/>
  <c r="E742" i="2"/>
  <c r="D745" i="2"/>
  <c r="E745" i="2" l="1"/>
  <c r="D748" i="2"/>
  <c r="E747" i="2"/>
  <c r="D750" i="2"/>
  <c r="D749" i="2"/>
  <c r="E746" i="2"/>
  <c r="E749" i="2" l="1"/>
  <c r="D752" i="2"/>
  <c r="D753" i="2"/>
  <c r="E750" i="2"/>
  <c r="E748" i="2"/>
  <c r="D751" i="2"/>
  <c r="E751" i="2" l="1"/>
  <c r="D754" i="2"/>
  <c r="E753" i="2"/>
  <c r="D756" i="2"/>
  <c r="E752" i="2"/>
  <c r="D755" i="2"/>
  <c r="E755" i="2" l="1"/>
  <c r="D758" i="2"/>
  <c r="E756" i="2"/>
  <c r="D759" i="2"/>
  <c r="D757" i="2"/>
  <c r="E754" i="2"/>
  <c r="E757" i="2" l="1"/>
  <c r="D760" i="2"/>
  <c r="E759" i="2"/>
  <c r="D762" i="2"/>
  <c r="E758" i="2"/>
  <c r="D761" i="2"/>
  <c r="E761" i="2" l="1"/>
  <c r="D764" i="2"/>
  <c r="D765" i="2"/>
  <c r="E762" i="2"/>
  <c r="E760" i="2"/>
  <c r="D763" i="2"/>
  <c r="E763" i="2" l="1"/>
  <c r="D766" i="2"/>
  <c r="E765" i="2"/>
  <c r="D768" i="2"/>
  <c r="E764" i="2"/>
  <c r="D767" i="2"/>
  <c r="E767" i="2" l="1"/>
  <c r="D770" i="2"/>
  <c r="E768" i="2"/>
  <c r="D771" i="2"/>
  <c r="D769" i="2"/>
  <c r="E766" i="2"/>
  <c r="E769" i="2" l="1"/>
  <c r="D772" i="2"/>
  <c r="E771" i="2"/>
  <c r="D774" i="2"/>
  <c r="D773" i="2"/>
  <c r="E770" i="2"/>
  <c r="E773" i="2" l="1"/>
  <c r="D776" i="2"/>
  <c r="E774" i="2"/>
  <c r="D777" i="2"/>
  <c r="E772" i="2"/>
  <c r="D775" i="2"/>
  <c r="E775" i="2" l="1"/>
  <c r="D778" i="2"/>
  <c r="E777" i="2"/>
  <c r="D780" i="2"/>
  <c r="E776" i="2"/>
  <c r="D779" i="2"/>
  <c r="E779" i="2" l="1"/>
  <c r="D782" i="2"/>
  <c r="E780" i="2"/>
  <c r="D783" i="2"/>
  <c r="D781" i="2"/>
  <c r="E778" i="2"/>
  <c r="E781" i="2" l="1"/>
  <c r="D784" i="2"/>
  <c r="E783" i="2"/>
  <c r="D786" i="2"/>
  <c r="D785" i="2"/>
  <c r="E782" i="2"/>
  <c r="E785" i="2" l="1"/>
  <c r="D788" i="2"/>
  <c r="D789" i="2"/>
  <c r="E786" i="2"/>
  <c r="E784" i="2"/>
  <c r="D787" i="2"/>
  <c r="E787" i="2" l="1"/>
  <c r="D790" i="2"/>
  <c r="E789" i="2"/>
  <c r="D792" i="2"/>
  <c r="E788" i="2"/>
  <c r="D791" i="2"/>
  <c r="E791" i="2" l="1"/>
  <c r="D794" i="2"/>
  <c r="E792" i="2"/>
  <c r="D795" i="2"/>
  <c r="E790" i="2"/>
  <c r="D793" i="2"/>
  <c r="E793" i="2" l="1"/>
  <c r="D796" i="2"/>
  <c r="E795" i="2"/>
  <c r="D798" i="2"/>
  <c r="D797" i="2"/>
  <c r="E794" i="2"/>
  <c r="E797" i="2" l="1"/>
  <c r="D800" i="2"/>
  <c r="E798" i="2"/>
  <c r="D801" i="2"/>
  <c r="E796" i="2"/>
  <c r="D799" i="2"/>
  <c r="E799" i="2" l="1"/>
  <c r="D802" i="2"/>
  <c r="E801" i="2"/>
  <c r="D804" i="2"/>
  <c r="E800" i="2"/>
  <c r="D803" i="2"/>
  <c r="E803" i="2" l="1"/>
  <c r="D806" i="2"/>
  <c r="E804" i="2"/>
  <c r="D807" i="2"/>
  <c r="D805" i="2"/>
  <c r="E802" i="2"/>
  <c r="E805" i="2" l="1"/>
  <c r="D808" i="2"/>
  <c r="E807" i="2"/>
  <c r="D810" i="2"/>
  <c r="D809" i="2"/>
  <c r="E806" i="2"/>
  <c r="E809" i="2" l="1"/>
  <c r="D812" i="2"/>
  <c r="D813" i="2"/>
  <c r="E810" i="2"/>
  <c r="E808" i="2"/>
  <c r="D811" i="2"/>
  <c r="E811" i="2" l="1"/>
  <c r="D814" i="2"/>
  <c r="E813" i="2"/>
  <c r="D816" i="2"/>
  <c r="E812" i="2"/>
  <c r="D815" i="2"/>
  <c r="E815" i="2" l="1"/>
  <c r="D818" i="2"/>
  <c r="E816" i="2"/>
  <c r="D819" i="2"/>
  <c r="E814" i="2"/>
  <c r="D817" i="2"/>
  <c r="E817" i="2" l="1"/>
  <c r="D820" i="2"/>
  <c r="E819" i="2"/>
  <c r="D822" i="2"/>
  <c r="D821" i="2"/>
  <c r="E818" i="2"/>
  <c r="E821" i="2" l="1"/>
  <c r="D824" i="2"/>
  <c r="D825" i="2"/>
  <c r="E822" i="2"/>
  <c r="E820" i="2"/>
  <c r="D823" i="2"/>
  <c r="E823" i="2" l="1"/>
  <c r="D826" i="2"/>
  <c r="E825" i="2"/>
  <c r="D828" i="2"/>
  <c r="E824" i="2"/>
  <c r="D827" i="2"/>
  <c r="E827" i="2" l="1"/>
  <c r="D830" i="2"/>
  <c r="E828" i="2"/>
  <c r="D831" i="2"/>
  <c r="D829" i="2"/>
  <c r="E826" i="2"/>
  <c r="E829" i="2" l="1"/>
  <c r="D832" i="2"/>
  <c r="E831" i="2"/>
  <c r="D834" i="2"/>
  <c r="E830" i="2"/>
  <c r="D833" i="2"/>
  <c r="E833" i="2" l="1"/>
  <c r="D836" i="2"/>
  <c r="D837" i="2"/>
  <c r="E834" i="2"/>
  <c r="E832" i="2"/>
  <c r="D835" i="2"/>
  <c r="E835" i="2" l="1"/>
  <c r="D838" i="2"/>
  <c r="E837" i="2"/>
  <c r="D840" i="2"/>
  <c r="E836" i="2"/>
  <c r="D839" i="2"/>
  <c r="E839" i="2" l="1"/>
  <c r="D842" i="2"/>
  <c r="E840" i="2"/>
  <c r="D843" i="2"/>
  <c r="D841" i="2"/>
  <c r="E838" i="2"/>
  <c r="E841" i="2" l="1"/>
  <c r="D844" i="2"/>
  <c r="E843" i="2"/>
  <c r="D846" i="2"/>
  <c r="D845" i="2"/>
  <c r="E842" i="2"/>
  <c r="E845" i="2" l="1"/>
  <c r="D848" i="2"/>
  <c r="E846" i="2"/>
  <c r="D849" i="2"/>
  <c r="E844" i="2"/>
  <c r="D847" i="2"/>
  <c r="E847" i="2" l="1"/>
  <c r="D850" i="2"/>
  <c r="E849" i="2"/>
  <c r="D852" i="2"/>
  <c r="E848" i="2"/>
  <c r="D851" i="2"/>
  <c r="E851" i="2" l="1"/>
  <c r="D854" i="2"/>
  <c r="E852" i="2"/>
  <c r="D855" i="2"/>
  <c r="D853" i="2"/>
  <c r="E850" i="2"/>
  <c r="E853" i="2" l="1"/>
  <c r="D856" i="2"/>
  <c r="E855" i="2"/>
  <c r="D858" i="2"/>
  <c r="D857" i="2"/>
  <c r="E854" i="2"/>
  <c r="E857" i="2" l="1"/>
  <c r="D860" i="2"/>
  <c r="D861" i="2"/>
  <c r="E858" i="2"/>
  <c r="E856" i="2"/>
  <c r="D859" i="2"/>
  <c r="E859" i="2" l="1"/>
  <c r="D862" i="2"/>
  <c r="E861" i="2"/>
  <c r="D864" i="2"/>
  <c r="E860" i="2"/>
  <c r="D863" i="2"/>
  <c r="E863" i="2" l="1"/>
  <c r="D866" i="2"/>
  <c r="E864" i="2"/>
  <c r="D867" i="2"/>
  <c r="E862" i="2"/>
  <c r="D865" i="2"/>
  <c r="E865" i="2" l="1"/>
  <c r="D868" i="2"/>
  <c r="E867" i="2"/>
  <c r="D870" i="2"/>
  <c r="D869" i="2"/>
  <c r="E866" i="2"/>
  <c r="E869" i="2" l="1"/>
  <c r="D872" i="2"/>
  <c r="D873" i="2"/>
  <c r="E870" i="2"/>
  <c r="E868" i="2"/>
  <c r="D871" i="2"/>
  <c r="E871" i="2" l="1"/>
  <c r="D874" i="2"/>
  <c r="E873" i="2"/>
  <c r="D876" i="2"/>
  <c r="E872" i="2"/>
  <c r="D875" i="2"/>
  <c r="E875" i="2" l="1"/>
  <c r="D878" i="2"/>
  <c r="E876" i="2"/>
  <c r="D879" i="2"/>
  <c r="D877" i="2"/>
  <c r="E874" i="2"/>
  <c r="E877" i="2" l="1"/>
  <c r="D880" i="2"/>
  <c r="E879" i="2"/>
  <c r="D882" i="2"/>
  <c r="E878" i="2"/>
  <c r="D881" i="2"/>
  <c r="E881" i="2" l="1"/>
  <c r="D884" i="2"/>
  <c r="D885" i="2"/>
  <c r="E882" i="2"/>
  <c r="E880" i="2"/>
  <c r="D883" i="2"/>
  <c r="E883" i="2" l="1"/>
  <c r="D886" i="2"/>
  <c r="E885" i="2"/>
  <c r="D888" i="2"/>
  <c r="E884" i="2"/>
  <c r="D887" i="2"/>
  <c r="E887" i="2" l="1"/>
  <c r="D890" i="2"/>
  <c r="E888" i="2"/>
  <c r="D891" i="2"/>
  <c r="D889" i="2"/>
  <c r="E886" i="2"/>
  <c r="E889" i="2" l="1"/>
  <c r="D892" i="2"/>
  <c r="E891" i="2"/>
  <c r="D894" i="2"/>
  <c r="D893" i="2"/>
  <c r="E890" i="2"/>
  <c r="E893" i="2" l="1"/>
  <c r="D896" i="2"/>
  <c r="E894" i="2"/>
  <c r="D897" i="2"/>
  <c r="E892" i="2"/>
  <c r="D895" i="2"/>
  <c r="E895" i="2" l="1"/>
  <c r="D898" i="2"/>
  <c r="E897" i="2"/>
  <c r="D900" i="2"/>
  <c r="E896" i="2"/>
  <c r="D899" i="2"/>
  <c r="E899" i="2" l="1"/>
  <c r="D902" i="2"/>
  <c r="E900" i="2"/>
  <c r="D903" i="2"/>
  <c r="D901" i="2"/>
  <c r="E898" i="2"/>
  <c r="E901" i="2" l="1"/>
  <c r="D904" i="2"/>
  <c r="E903" i="2"/>
  <c r="D906" i="2"/>
  <c r="D905" i="2"/>
  <c r="E902" i="2"/>
  <c r="E905" i="2" l="1"/>
  <c r="D908" i="2"/>
  <c r="D909" i="2"/>
  <c r="E906" i="2"/>
  <c r="E904" i="2"/>
  <c r="D907" i="2"/>
  <c r="E907" i="2" l="1"/>
  <c r="D910" i="2"/>
  <c r="E909" i="2"/>
  <c r="D912" i="2"/>
  <c r="E908" i="2"/>
  <c r="D911" i="2"/>
  <c r="E911" i="2" l="1"/>
  <c r="D914" i="2"/>
  <c r="E912" i="2"/>
  <c r="D915" i="2"/>
  <c r="E910" i="2"/>
  <c r="D913" i="2"/>
  <c r="E913" i="2" l="1"/>
  <c r="D916" i="2"/>
  <c r="E915" i="2"/>
  <c r="D918" i="2"/>
  <c r="D917" i="2"/>
  <c r="E914" i="2"/>
  <c r="E917" i="2" l="1"/>
  <c r="D920" i="2"/>
  <c r="D921" i="2"/>
  <c r="E918" i="2"/>
  <c r="E916" i="2"/>
  <c r="D919" i="2"/>
  <c r="E919" i="2" l="1"/>
  <c r="D922" i="2"/>
  <c r="E921" i="2"/>
  <c r="D924" i="2"/>
  <c r="E920" i="2"/>
  <c r="D923" i="2"/>
  <c r="E923" i="2" l="1"/>
  <c r="D926" i="2"/>
  <c r="E924" i="2"/>
  <c r="D927" i="2"/>
  <c r="D925" i="2"/>
  <c r="E922" i="2"/>
  <c r="E925" i="2" l="1"/>
  <c r="D928" i="2"/>
  <c r="E927" i="2"/>
  <c r="D930" i="2"/>
  <c r="E926" i="2"/>
  <c r="D929" i="2"/>
  <c r="E929" i="2" l="1"/>
  <c r="D932" i="2"/>
  <c r="D933" i="2"/>
  <c r="E930" i="2"/>
  <c r="E928" i="2"/>
  <c r="D931" i="2"/>
  <c r="E931" i="2" l="1"/>
  <c r="D934" i="2"/>
  <c r="E933" i="2"/>
  <c r="D936" i="2"/>
  <c r="E932" i="2"/>
  <c r="D935" i="2"/>
  <c r="E935" i="2" l="1"/>
  <c r="D938" i="2"/>
  <c r="E936" i="2"/>
  <c r="D939" i="2"/>
  <c r="D937" i="2"/>
  <c r="E934" i="2"/>
  <c r="E937" i="2" l="1"/>
  <c r="D940" i="2"/>
  <c r="E939" i="2"/>
  <c r="D942" i="2"/>
  <c r="D941" i="2"/>
  <c r="E938" i="2"/>
  <c r="E941" i="2" l="1"/>
  <c r="D944" i="2"/>
  <c r="E942" i="2"/>
  <c r="D945" i="2"/>
  <c r="E940" i="2"/>
  <c r="D943" i="2"/>
  <c r="E943" i="2" l="1"/>
  <c r="D946" i="2"/>
  <c r="E945" i="2"/>
  <c r="D948" i="2"/>
  <c r="E944" i="2"/>
  <c r="D947" i="2"/>
  <c r="E947" i="2" l="1"/>
  <c r="D950" i="2"/>
  <c r="E948" i="2"/>
  <c r="D951" i="2"/>
  <c r="D949" i="2"/>
  <c r="E946" i="2"/>
  <c r="E949" i="2" l="1"/>
  <c r="D952" i="2"/>
  <c r="E951" i="2"/>
  <c r="D954" i="2"/>
  <c r="D953" i="2"/>
  <c r="E950" i="2"/>
  <c r="E953" i="2" l="1"/>
  <c r="D956" i="2"/>
  <c r="D957" i="2"/>
  <c r="E954" i="2"/>
  <c r="E952" i="2"/>
  <c r="D955" i="2"/>
  <c r="E955" i="2" l="1"/>
  <c r="D958" i="2"/>
  <c r="E957" i="2"/>
  <c r="D960" i="2"/>
  <c r="E956" i="2"/>
  <c r="D959" i="2"/>
  <c r="E959" i="2" l="1"/>
  <c r="D962" i="2"/>
  <c r="E960" i="2"/>
  <c r="D963" i="2"/>
  <c r="E958" i="2"/>
  <c r="D961" i="2"/>
  <c r="E961" i="2" l="1"/>
  <c r="D964" i="2"/>
  <c r="E963" i="2"/>
  <c r="D966" i="2"/>
  <c r="D965" i="2"/>
  <c r="E962" i="2"/>
  <c r="E965" i="2" l="1"/>
  <c r="D968" i="2"/>
  <c r="D969" i="2"/>
  <c r="E966" i="2"/>
  <c r="E964" i="2"/>
  <c r="D967" i="2"/>
  <c r="E967" i="2" l="1"/>
  <c r="D970" i="2"/>
  <c r="E969" i="2"/>
  <c r="D972" i="2"/>
  <c r="E968" i="2"/>
  <c r="D971" i="2"/>
  <c r="E971" i="2" l="1"/>
  <c r="D974" i="2"/>
  <c r="E972" i="2"/>
  <c r="D975" i="2"/>
  <c r="D973" i="2"/>
  <c r="E970" i="2"/>
  <c r="D976" i="2" l="1"/>
  <c r="E973" i="2"/>
  <c r="E975" i="2"/>
  <c r="D978" i="2"/>
  <c r="D977" i="2"/>
  <c r="E974" i="2"/>
  <c r="D980" i="2" l="1"/>
  <c r="E977" i="2"/>
  <c r="D981" i="2"/>
  <c r="E978" i="2"/>
  <c r="E976" i="2"/>
  <c r="D979" i="2"/>
  <c r="E979" i="2" l="1"/>
  <c r="D982" i="2"/>
  <c r="D984" i="2"/>
  <c r="E981" i="2"/>
  <c r="E980" i="2"/>
  <c r="D983" i="2"/>
  <c r="E983" i="2" l="1"/>
  <c r="D986" i="2"/>
  <c r="E984" i="2"/>
  <c r="D987" i="2"/>
  <c r="D985" i="2"/>
  <c r="E982" i="2"/>
  <c r="D988" i="2" l="1"/>
  <c r="E985" i="2"/>
  <c r="E987" i="2"/>
  <c r="D990" i="2"/>
  <c r="D989" i="2"/>
  <c r="E986" i="2"/>
  <c r="D992" i="2" l="1"/>
  <c r="E989" i="2"/>
  <c r="D993" i="2"/>
  <c r="E990" i="2"/>
  <c r="E988" i="2"/>
  <c r="D991" i="2"/>
  <c r="E991" i="2" l="1"/>
  <c r="D994" i="2"/>
  <c r="D996" i="2"/>
  <c r="E993" i="2"/>
  <c r="E992" i="2"/>
  <c r="D995" i="2"/>
  <c r="E995" i="2" l="1"/>
  <c r="D998" i="2"/>
  <c r="E996" i="2"/>
  <c r="D999" i="2"/>
  <c r="D997" i="2"/>
  <c r="E994" i="2"/>
  <c r="D1000" i="2" l="1"/>
  <c r="E997" i="2"/>
  <c r="E999" i="2"/>
  <c r="D1002" i="2"/>
  <c r="D1001" i="2"/>
  <c r="E998" i="2"/>
  <c r="D1004" i="2" l="1"/>
  <c r="E1001" i="2"/>
  <c r="D1005" i="2"/>
  <c r="E1002" i="2"/>
  <c r="E1000" i="2"/>
  <c r="D1003" i="2"/>
  <c r="E1003" i="2" l="1"/>
  <c r="D1006" i="2"/>
  <c r="D1008" i="2"/>
  <c r="E1005" i="2"/>
  <c r="E1004" i="2"/>
  <c r="D1007" i="2"/>
  <c r="E1007" i="2" l="1"/>
  <c r="D1010" i="2"/>
  <c r="E1008" i="2"/>
  <c r="D1011" i="2"/>
  <c r="D1009" i="2"/>
  <c r="E1006" i="2"/>
  <c r="D1012" i="2" l="1"/>
  <c r="E1009" i="2"/>
  <c r="E1011" i="2"/>
  <c r="D1014" i="2"/>
  <c r="D1013" i="2"/>
  <c r="E1010" i="2"/>
  <c r="D1016" i="2" l="1"/>
  <c r="E1013" i="2"/>
  <c r="D1017" i="2"/>
  <c r="E1014" i="2"/>
  <c r="E1012" i="2"/>
  <c r="D1015" i="2"/>
  <c r="E1015" i="2" l="1"/>
  <c r="D1018" i="2"/>
  <c r="D1020" i="2"/>
  <c r="E1017" i="2"/>
  <c r="E1016" i="2"/>
  <c r="D1019" i="2"/>
  <c r="E1019" i="2" l="1"/>
  <c r="D1022" i="2"/>
  <c r="E1020" i="2"/>
  <c r="D1023" i="2"/>
  <c r="D1021" i="2"/>
  <c r="E1018" i="2"/>
  <c r="D1024" i="2" l="1"/>
  <c r="E1021" i="2"/>
  <c r="E1023" i="2"/>
  <c r="D1026" i="2"/>
  <c r="D1025" i="2"/>
  <c r="E1022" i="2"/>
  <c r="D1028" i="2" l="1"/>
  <c r="E1025" i="2"/>
  <c r="D1029" i="2"/>
  <c r="E1026" i="2"/>
  <c r="E1024" i="2"/>
  <c r="D1027" i="2"/>
  <c r="E1027" i="2" l="1"/>
  <c r="D1030" i="2"/>
  <c r="D1032" i="2"/>
  <c r="E1029" i="2"/>
  <c r="E1028" i="2"/>
  <c r="D1031" i="2"/>
  <c r="E1031" i="2" l="1"/>
  <c r="D1034" i="2"/>
  <c r="E1032" i="2"/>
  <c r="D1035" i="2"/>
  <c r="D1033" i="2"/>
  <c r="E1030" i="2"/>
  <c r="D1036" i="2" l="1"/>
  <c r="E1033" i="2"/>
  <c r="E1035" i="2"/>
  <c r="D1038" i="2"/>
  <c r="D1037" i="2"/>
  <c r="E1034" i="2"/>
  <c r="D1040" i="2" l="1"/>
  <c r="E1037" i="2"/>
  <c r="D1041" i="2"/>
  <c r="E1038" i="2"/>
  <c r="E1036" i="2"/>
  <c r="D1039" i="2"/>
  <c r="E1039" i="2" l="1"/>
  <c r="D1042" i="2"/>
  <c r="D1044" i="2"/>
  <c r="E1041" i="2"/>
  <c r="E1040" i="2"/>
  <c r="D1043" i="2"/>
  <c r="E1043" i="2" l="1"/>
  <c r="D1046" i="2"/>
  <c r="E1044" i="2"/>
  <c r="D1047" i="2"/>
  <c r="D1045" i="2"/>
  <c r="E1042" i="2"/>
  <c r="D1048" i="2" l="1"/>
  <c r="E1045" i="2"/>
  <c r="E1047" i="2"/>
  <c r="D1050" i="2"/>
  <c r="D1049" i="2"/>
  <c r="E1046" i="2"/>
  <c r="D1052" i="2" l="1"/>
  <c r="E1049" i="2"/>
  <c r="D1053" i="2"/>
  <c r="E1050" i="2"/>
  <c r="E1048" i="2"/>
  <c r="D1051" i="2"/>
  <c r="E1051" i="2" l="1"/>
  <c r="D1054" i="2"/>
  <c r="D1056" i="2"/>
  <c r="E1053" i="2"/>
  <c r="E1052" i="2"/>
  <c r="D1055" i="2"/>
  <c r="E1055" i="2" l="1"/>
  <c r="D1058" i="2"/>
  <c r="E1056" i="2"/>
  <c r="D1059" i="2"/>
  <c r="D1057" i="2"/>
  <c r="E1054" i="2"/>
  <c r="D1060" i="2" l="1"/>
  <c r="E1057" i="2"/>
  <c r="E1059" i="2"/>
  <c r="D1062" i="2"/>
  <c r="D1061" i="2"/>
  <c r="E1058" i="2"/>
  <c r="D1064" i="2" l="1"/>
  <c r="E1061" i="2"/>
  <c r="D1065" i="2"/>
  <c r="E1062" i="2"/>
  <c r="E1060" i="2"/>
  <c r="D1063" i="2"/>
  <c r="E1063" i="2" l="1"/>
  <c r="D1066" i="2"/>
  <c r="D1068" i="2"/>
  <c r="E1065" i="2"/>
  <c r="E1064" i="2"/>
  <c r="D1067" i="2"/>
  <c r="E1067" i="2" l="1"/>
  <c r="D1070" i="2"/>
  <c r="E1068" i="2"/>
  <c r="D1071" i="2"/>
  <c r="D1069" i="2"/>
  <c r="E1066" i="2"/>
  <c r="D1072" i="2" l="1"/>
  <c r="E1069" i="2"/>
  <c r="E1071" i="2"/>
  <c r="D1074" i="2"/>
  <c r="D1073" i="2"/>
  <c r="E1070" i="2"/>
  <c r="D1076" i="2" l="1"/>
  <c r="E1073" i="2"/>
  <c r="D1077" i="2"/>
  <c r="E1074" i="2"/>
  <c r="E1072" i="2"/>
  <c r="D1075" i="2"/>
  <c r="E1075" i="2" l="1"/>
  <c r="D1078" i="2"/>
  <c r="D1080" i="2"/>
  <c r="E1077" i="2"/>
  <c r="E1076" i="2"/>
  <c r="D1079" i="2"/>
  <c r="E1079" i="2" l="1"/>
  <c r="D1082" i="2"/>
  <c r="E1080" i="2"/>
  <c r="D1083" i="2"/>
  <c r="D1081" i="2"/>
  <c r="E1078" i="2"/>
  <c r="D1084" i="2" l="1"/>
  <c r="E1081" i="2"/>
  <c r="E1083" i="2"/>
  <c r="D1086" i="2"/>
  <c r="D1085" i="2"/>
  <c r="E1082" i="2"/>
  <c r="D1088" i="2" l="1"/>
  <c r="E1085" i="2"/>
  <c r="D1089" i="2"/>
  <c r="E1086" i="2"/>
  <c r="E1084" i="2"/>
  <c r="D1087" i="2"/>
  <c r="E1087" i="2" l="1"/>
  <c r="D1090" i="2"/>
  <c r="D1092" i="2"/>
  <c r="E1089" i="2"/>
  <c r="E1088" i="2"/>
  <c r="D1091" i="2"/>
  <c r="E1091" i="2" l="1"/>
  <c r="D1094" i="2"/>
  <c r="E1092" i="2"/>
  <c r="D1095" i="2"/>
  <c r="D1093" i="2"/>
  <c r="E1090" i="2"/>
  <c r="D1096" i="2" l="1"/>
  <c r="E1093" i="2"/>
  <c r="E1095" i="2"/>
  <c r="D1098" i="2"/>
  <c r="D1097" i="2"/>
  <c r="E1094" i="2"/>
  <c r="D1100" i="2" l="1"/>
  <c r="E1097" i="2"/>
  <c r="D1101" i="2"/>
  <c r="E1098" i="2"/>
  <c r="E1096" i="2"/>
  <c r="D1099" i="2"/>
  <c r="E1099" i="2" l="1"/>
  <c r="D1102" i="2"/>
  <c r="D1104" i="2"/>
  <c r="E1101" i="2"/>
  <c r="E1100" i="2"/>
  <c r="D1103" i="2"/>
  <c r="E1103" i="2" l="1"/>
  <c r="D1106" i="2"/>
  <c r="E1104" i="2"/>
  <c r="D1107" i="2"/>
  <c r="D1105" i="2"/>
  <c r="E1102" i="2"/>
  <c r="D1108" i="2" l="1"/>
  <c r="E1105" i="2"/>
  <c r="E1107" i="2"/>
  <c r="D1110" i="2"/>
  <c r="D1109" i="2"/>
  <c r="E1106" i="2"/>
  <c r="D1112" i="2" l="1"/>
  <c r="E1109" i="2"/>
  <c r="D1113" i="2"/>
  <c r="E1110" i="2"/>
  <c r="E1108" i="2"/>
  <c r="D1111" i="2"/>
  <c r="E1111" i="2" l="1"/>
  <c r="D1114" i="2"/>
  <c r="D1116" i="2"/>
  <c r="E1113" i="2"/>
  <c r="E1112" i="2"/>
  <c r="D1115" i="2"/>
  <c r="E1115" i="2" l="1"/>
  <c r="D1118" i="2"/>
  <c r="E1116" i="2"/>
  <c r="D1119" i="2"/>
  <c r="D1117" i="2"/>
  <c r="E1114" i="2"/>
  <c r="D1120" i="2" l="1"/>
  <c r="E1117" i="2"/>
  <c r="E1119" i="2"/>
  <c r="D1122" i="2"/>
  <c r="D1121" i="2"/>
  <c r="E1118" i="2"/>
  <c r="D1124" i="2" l="1"/>
  <c r="E1121" i="2"/>
  <c r="D1125" i="2"/>
  <c r="E1122" i="2"/>
  <c r="E1120" i="2"/>
  <c r="D1123" i="2"/>
  <c r="E1123" i="2" l="1"/>
  <c r="D1126" i="2"/>
  <c r="D1128" i="2"/>
  <c r="E1125" i="2"/>
  <c r="E1124" i="2"/>
  <c r="D1127" i="2"/>
  <c r="E1127" i="2" l="1"/>
  <c r="D1130" i="2"/>
  <c r="E1128" i="2"/>
  <c r="D1131" i="2"/>
  <c r="D1129" i="2"/>
  <c r="E1126" i="2"/>
  <c r="D1132" i="2" l="1"/>
  <c r="E1129" i="2"/>
  <c r="E1131" i="2"/>
  <c r="D1134" i="2"/>
  <c r="D1133" i="2"/>
  <c r="E1130" i="2"/>
  <c r="D1136" i="2" l="1"/>
  <c r="E1133" i="2"/>
  <c r="D1137" i="2"/>
  <c r="E1134" i="2"/>
  <c r="E1132" i="2"/>
  <c r="D1135" i="2"/>
  <c r="E1135" i="2" l="1"/>
  <c r="D1138" i="2"/>
  <c r="D1140" i="2"/>
  <c r="E1137" i="2"/>
  <c r="E1136" i="2"/>
  <c r="D1139" i="2"/>
  <c r="E1139" i="2" l="1"/>
  <c r="D1142" i="2"/>
  <c r="E1140" i="2"/>
  <c r="D1143" i="2"/>
  <c r="D1141" i="2"/>
  <c r="E1138" i="2"/>
  <c r="D1144" i="2" l="1"/>
  <c r="E1141" i="2"/>
  <c r="E1143" i="2"/>
  <c r="D1146" i="2"/>
  <c r="D1145" i="2"/>
  <c r="E1142" i="2"/>
  <c r="D1148" i="2" l="1"/>
  <c r="E1145" i="2"/>
  <c r="D1149" i="2"/>
  <c r="E1146" i="2"/>
  <c r="E1144" i="2"/>
  <c r="D1147" i="2"/>
  <c r="E1147" i="2" l="1"/>
  <c r="D1150" i="2"/>
  <c r="D1152" i="2"/>
  <c r="E1149" i="2"/>
  <c r="E1148" i="2"/>
  <c r="D1151" i="2"/>
  <c r="E1151" i="2" l="1"/>
  <c r="D1154" i="2"/>
  <c r="E1152" i="2"/>
  <c r="D1155" i="2"/>
  <c r="D1153" i="2"/>
  <c r="E1150" i="2"/>
  <c r="D1157" i="2" l="1"/>
  <c r="E1154" i="2"/>
  <c r="D1156" i="2"/>
  <c r="E1153" i="2"/>
  <c r="D1158" i="2"/>
  <c r="E1155" i="2"/>
  <c r="D1161" i="2" l="1"/>
  <c r="E1158" i="2"/>
  <c r="E1156" i="2"/>
  <c r="D1159" i="2"/>
  <c r="D1160" i="2"/>
  <c r="E1157" i="2"/>
  <c r="E1160" i="2" l="1"/>
  <c r="D1163" i="2"/>
  <c r="D1162" i="2"/>
  <c r="E1159" i="2"/>
  <c r="E1161" i="2"/>
  <c r="D1164" i="2"/>
  <c r="D1167" i="2" l="1"/>
  <c r="E1164" i="2"/>
  <c r="D1165" i="2"/>
  <c r="E1162" i="2"/>
  <c r="D1166" i="2"/>
  <c r="E1163" i="2"/>
  <c r="E1166" i="2" l="1"/>
  <c r="D1169" i="2"/>
  <c r="E1165" i="2"/>
  <c r="D1168" i="2"/>
  <c r="D1170" i="2"/>
  <c r="E1167" i="2"/>
  <c r="E1170" i="2" l="1"/>
  <c r="D1173" i="2"/>
  <c r="D1171" i="2"/>
  <c r="E1168" i="2"/>
  <c r="E1169" i="2"/>
  <c r="D1172" i="2"/>
  <c r="D1175" i="2" l="1"/>
  <c r="E1172" i="2"/>
  <c r="D1174" i="2"/>
  <c r="E1171" i="2"/>
  <c r="E1173" i="2"/>
  <c r="D1176" i="2"/>
  <c r="D1179" i="2" l="1"/>
  <c r="E1176" i="2"/>
  <c r="D1177" i="2"/>
  <c r="E1174" i="2"/>
  <c r="D1178" i="2"/>
  <c r="E1175" i="2"/>
  <c r="E1178" i="2" l="1"/>
  <c r="D1181" i="2"/>
  <c r="E1177" i="2"/>
  <c r="D1180" i="2"/>
  <c r="D1182" i="2"/>
  <c r="E1179" i="2"/>
  <c r="D1185" i="2" l="1"/>
  <c r="E1182" i="2"/>
  <c r="D1183" i="2"/>
  <c r="E1180" i="2"/>
  <c r="E1181" i="2"/>
  <c r="D1184" i="2"/>
  <c r="D1187" i="2" l="1"/>
  <c r="E1184" i="2"/>
  <c r="D1186" i="2"/>
  <c r="E1183" i="2"/>
  <c r="E1185" i="2"/>
  <c r="D1188" i="2"/>
  <c r="D1191" i="2" l="1"/>
  <c r="E1188" i="2"/>
  <c r="D1189" i="2"/>
  <c r="E1186" i="2"/>
  <c r="D1190" i="2"/>
  <c r="E1187" i="2"/>
  <c r="E1190" i="2" l="1"/>
  <c r="D1193" i="2"/>
  <c r="E1189" i="2"/>
  <c r="D1192" i="2"/>
  <c r="D1194" i="2"/>
  <c r="E1191" i="2"/>
  <c r="D1197" i="2" l="1"/>
  <c r="E1194" i="2"/>
  <c r="D1195" i="2"/>
  <c r="E1192" i="2"/>
  <c r="E1193" i="2"/>
  <c r="D1196" i="2"/>
  <c r="D1199" i="2" l="1"/>
  <c r="E1196" i="2"/>
  <c r="D1198" i="2"/>
  <c r="E1195" i="2"/>
  <c r="E1197" i="2"/>
  <c r="D1200" i="2"/>
  <c r="D1203" i="2" l="1"/>
  <c r="E1200" i="2"/>
  <c r="E1198" i="2"/>
  <c r="D1201" i="2"/>
  <c r="D1202" i="2"/>
  <c r="E1199" i="2"/>
  <c r="E1202" i="2" l="1"/>
  <c r="D1205" i="2"/>
  <c r="E1201" i="2"/>
  <c r="D1204" i="2"/>
  <c r="D1206" i="2"/>
  <c r="E1203" i="2"/>
  <c r="D1209" i="2" l="1"/>
  <c r="E1206" i="2"/>
  <c r="D1207" i="2"/>
  <c r="E1204" i="2"/>
  <c r="E1205" i="2"/>
  <c r="D1208" i="2"/>
  <c r="D1211" i="2" l="1"/>
  <c r="E1208" i="2"/>
  <c r="D1210" i="2"/>
  <c r="E1207" i="2"/>
  <c r="E1209" i="2"/>
  <c r="D1212" i="2"/>
  <c r="D1215" i="2" l="1"/>
  <c r="E1212" i="2"/>
  <c r="E1210" i="2"/>
  <c r="D1213" i="2"/>
  <c r="D1214" i="2"/>
  <c r="E1211" i="2"/>
  <c r="D1217" i="2" l="1"/>
  <c r="E1214" i="2"/>
  <c r="E1213" i="2"/>
  <c r="D1216" i="2"/>
  <c r="D1218" i="2"/>
  <c r="E1215" i="2"/>
  <c r="D1221" i="2" l="1"/>
  <c r="E1218" i="2"/>
  <c r="D1219" i="2"/>
  <c r="E1216" i="2"/>
  <c r="E1217" i="2"/>
  <c r="D1220" i="2"/>
  <c r="D1223" i="2" l="1"/>
  <c r="E1220" i="2"/>
  <c r="D1222" i="2"/>
  <c r="E1219" i="2"/>
  <c r="E1221" i="2"/>
  <c r="D1224" i="2"/>
  <c r="D1227" i="2" l="1"/>
  <c r="E1224" i="2"/>
  <c r="E1222" i="2"/>
  <c r="D1225" i="2"/>
  <c r="D1226" i="2"/>
  <c r="E1223" i="2"/>
  <c r="D1229" i="2" l="1"/>
  <c r="E1226" i="2"/>
  <c r="E1225" i="2"/>
  <c r="D1228" i="2"/>
  <c r="D1230" i="2"/>
  <c r="E1227" i="2"/>
  <c r="E1230" i="2" l="1"/>
  <c r="D1233" i="2"/>
  <c r="D1231" i="2"/>
  <c r="E1228" i="2"/>
  <c r="E1229" i="2"/>
  <c r="D1232" i="2"/>
  <c r="D1235" i="2" l="1"/>
  <c r="E1232" i="2"/>
  <c r="D1234" i="2"/>
  <c r="E1231" i="2"/>
  <c r="E1233" i="2"/>
  <c r="D1236" i="2"/>
  <c r="D1239" i="2" l="1"/>
  <c r="E1236" i="2"/>
  <c r="E1234" i="2"/>
  <c r="D1237" i="2"/>
  <c r="D1238" i="2"/>
  <c r="E1235" i="2"/>
  <c r="D1241" i="2" l="1"/>
  <c r="E1238" i="2"/>
  <c r="E1237" i="2"/>
  <c r="D1240" i="2"/>
  <c r="D1242" i="2"/>
  <c r="E1239" i="2"/>
  <c r="E1242" i="2" l="1"/>
  <c r="D1245" i="2"/>
  <c r="D1243" i="2"/>
  <c r="E1240" i="2"/>
  <c r="E1241" i="2"/>
  <c r="D1244" i="2"/>
  <c r="D1247" i="2" l="1"/>
  <c r="E1244" i="2"/>
  <c r="D1246" i="2"/>
  <c r="E1243" i="2"/>
  <c r="E1245" i="2"/>
  <c r="D1248" i="2"/>
  <c r="D1251" i="2" l="1"/>
  <c r="E1248" i="2"/>
  <c r="D1249" i="2"/>
  <c r="E1246" i="2"/>
  <c r="D1250" i="2"/>
  <c r="E1247" i="2"/>
  <c r="D1253" i="2" l="1"/>
  <c r="E1250" i="2"/>
  <c r="E1249" i="2"/>
  <c r="D1252" i="2"/>
  <c r="D1254" i="2"/>
  <c r="E1251" i="2"/>
  <c r="E1254" i="2" l="1"/>
  <c r="D1257" i="2"/>
  <c r="D1255" i="2"/>
  <c r="E1252" i="2"/>
  <c r="E1253" i="2"/>
  <c r="D1256" i="2"/>
  <c r="D1259" i="2" l="1"/>
  <c r="E1256" i="2"/>
  <c r="D1258" i="2"/>
  <c r="E1255" i="2"/>
  <c r="E1257" i="2"/>
  <c r="D1260" i="2"/>
  <c r="D1263" i="2" l="1"/>
  <c r="E1260" i="2"/>
  <c r="D1261" i="2"/>
  <c r="E1258" i="2"/>
  <c r="D1262" i="2"/>
  <c r="E1259" i="2"/>
  <c r="E1262" i="2" l="1"/>
  <c r="D1265" i="2"/>
  <c r="E1261" i="2"/>
  <c r="D1264" i="2"/>
  <c r="D1266" i="2"/>
  <c r="E1263" i="2"/>
  <c r="D1269" i="2" l="1"/>
  <c r="E1266" i="2"/>
  <c r="D1267" i="2"/>
  <c r="E1264" i="2"/>
  <c r="E1265" i="2"/>
  <c r="D1268" i="2"/>
  <c r="D1271" i="2" l="1"/>
  <c r="E1268" i="2"/>
  <c r="D1270" i="2"/>
  <c r="E1267" i="2"/>
  <c r="E1269" i="2"/>
  <c r="D1272" i="2"/>
  <c r="D1275" i="2" l="1"/>
  <c r="E1272" i="2"/>
  <c r="E1270" i="2"/>
  <c r="D1273" i="2"/>
  <c r="D1274" i="2"/>
  <c r="E1271" i="2"/>
  <c r="D1277" i="2" l="1"/>
  <c r="E1274" i="2"/>
  <c r="E1273" i="2"/>
  <c r="D1276" i="2"/>
  <c r="D1278" i="2"/>
  <c r="E1275" i="2"/>
  <c r="E1278" i="2" l="1"/>
  <c r="D1281" i="2"/>
  <c r="D1279" i="2"/>
  <c r="E1276" i="2"/>
  <c r="E1277" i="2"/>
  <c r="D1280" i="2"/>
  <c r="D1283" i="2" l="1"/>
  <c r="E1280" i="2"/>
  <c r="D1282" i="2"/>
  <c r="E1279" i="2"/>
  <c r="E1281" i="2"/>
  <c r="D1284" i="2"/>
  <c r="D1287" i="2" l="1"/>
  <c r="E1284" i="2"/>
  <c r="D1285" i="2"/>
  <c r="E1282" i="2"/>
  <c r="D1286" i="2"/>
  <c r="E1283" i="2"/>
  <c r="E1286" i="2" l="1"/>
  <c r="D1289" i="2"/>
  <c r="E1285" i="2"/>
  <c r="D1288" i="2"/>
  <c r="D1290" i="2"/>
  <c r="E1287" i="2"/>
  <c r="D1293" i="2" l="1"/>
  <c r="E1290" i="2"/>
  <c r="D1291" i="2"/>
  <c r="E1288" i="2"/>
  <c r="E1289" i="2"/>
  <c r="D1292" i="2"/>
  <c r="D1295" i="2" l="1"/>
  <c r="E1292" i="2"/>
  <c r="D1294" i="2"/>
  <c r="E1291" i="2"/>
  <c r="E1293" i="2"/>
  <c r="D1296" i="2"/>
  <c r="D1299" i="2" l="1"/>
  <c r="E1296" i="2"/>
  <c r="E1294" i="2"/>
  <c r="D1297" i="2"/>
  <c r="D1298" i="2"/>
  <c r="E1295" i="2"/>
  <c r="D1302" i="2" l="1"/>
  <c r="E1299" i="2"/>
  <c r="D1301" i="2"/>
  <c r="E1298" i="2"/>
  <c r="E1297" i="2"/>
  <c r="D1300" i="2"/>
  <c r="D1303" i="2" l="1"/>
  <c r="E1300" i="2"/>
  <c r="E1301" i="2"/>
  <c r="D1304" i="2"/>
  <c r="E1302" i="2"/>
  <c r="D1305" i="2"/>
  <c r="E1305" i="2" l="1"/>
  <c r="D1308" i="2"/>
  <c r="D1307" i="2"/>
  <c r="E1304" i="2"/>
  <c r="D1306" i="2"/>
  <c r="E1303" i="2"/>
  <c r="D1309" i="2" l="1"/>
  <c r="E1306" i="2"/>
  <c r="D1310" i="2"/>
  <c r="E1307" i="2"/>
  <c r="D1311" i="2"/>
  <c r="E1308" i="2"/>
  <c r="D1314" i="2" l="1"/>
  <c r="E1311" i="2"/>
  <c r="E1310" i="2"/>
  <c r="D1313" i="2"/>
  <c r="E1309" i="2"/>
  <c r="D1312" i="2"/>
  <c r="D1315" i="2" l="1"/>
  <c r="E1312" i="2"/>
  <c r="E1313" i="2"/>
  <c r="D1316" i="2"/>
  <c r="D1317" i="2"/>
  <c r="E1314" i="2"/>
  <c r="E1317" i="2" l="1"/>
  <c r="D1320" i="2"/>
  <c r="D1319" i="2"/>
  <c r="E1316" i="2"/>
  <c r="D1318" i="2"/>
  <c r="E1315" i="2"/>
  <c r="E1318" i="2" l="1"/>
  <c r="D1321" i="2"/>
  <c r="D1322" i="2"/>
  <c r="E1319" i="2"/>
  <c r="D1323" i="2"/>
  <c r="E1320" i="2"/>
  <c r="D1326" i="2" l="1"/>
  <c r="E1323" i="2"/>
  <c r="D1325" i="2"/>
  <c r="E1322" i="2"/>
  <c r="E1321" i="2"/>
  <c r="D1324" i="2"/>
  <c r="D1327" i="2" l="1"/>
  <c r="E1324" i="2"/>
  <c r="E1325" i="2"/>
  <c r="D1328" i="2"/>
  <c r="E1326" i="2"/>
  <c r="D1329" i="2"/>
  <c r="E1329" i="2" l="1"/>
  <c r="D1332" i="2"/>
  <c r="D1331" i="2"/>
  <c r="E1328" i="2"/>
  <c r="D1330" i="2"/>
  <c r="E1327" i="2"/>
  <c r="D1333" i="2" l="1"/>
  <c r="E1330" i="2"/>
  <c r="D1334" i="2"/>
  <c r="E1331" i="2"/>
  <c r="D1335" i="2"/>
  <c r="E1332" i="2"/>
  <c r="D1338" i="2" l="1"/>
  <c r="E1335" i="2"/>
  <c r="E1334" i="2"/>
  <c r="D1337" i="2"/>
  <c r="E1333" i="2"/>
  <c r="D1336" i="2"/>
  <c r="D1339" i="2" l="1"/>
  <c r="E1336" i="2"/>
  <c r="E1337" i="2"/>
  <c r="D1340" i="2"/>
  <c r="D1341" i="2"/>
  <c r="E1338" i="2"/>
  <c r="E1341" i="2" l="1"/>
  <c r="D1344" i="2"/>
  <c r="D1343" i="2"/>
  <c r="E1340" i="2"/>
  <c r="D1342" i="2"/>
  <c r="E1339" i="2"/>
  <c r="E1342" i="2" l="1"/>
  <c r="D1345" i="2"/>
  <c r="E1343" i="2"/>
  <c r="D1346" i="2"/>
  <c r="D1347" i="2"/>
  <c r="E1344" i="2"/>
  <c r="E1347" i="2" l="1"/>
  <c r="D1350" i="2"/>
  <c r="D1349" i="2"/>
  <c r="E1346" i="2"/>
  <c r="E1345" i="2"/>
  <c r="D1348" i="2"/>
  <c r="D1351" i="2" l="1"/>
  <c r="E1348" i="2"/>
  <c r="E1349" i="2"/>
  <c r="D1352" i="2"/>
  <c r="D1353" i="2"/>
  <c r="E1350" i="2"/>
  <c r="E1353" i="2" l="1"/>
  <c r="D1356" i="2"/>
  <c r="D1355" i="2"/>
  <c r="E1352" i="2"/>
  <c r="E1351" i="2"/>
  <c r="D1354" i="2"/>
  <c r="E1354" i="2" l="1"/>
  <c r="D1357" i="2"/>
  <c r="E1355" i="2"/>
  <c r="D1358" i="2"/>
  <c r="D1359" i="2"/>
  <c r="E1356" i="2"/>
  <c r="E1359" i="2" l="1"/>
  <c r="D1362" i="2"/>
  <c r="D1361" i="2"/>
  <c r="E1358" i="2"/>
  <c r="E1357" i="2"/>
  <c r="D1360" i="2"/>
  <c r="D1363" i="2" l="1"/>
  <c r="E1360" i="2"/>
  <c r="E1361" i="2"/>
  <c r="D1364" i="2"/>
  <c r="D1365" i="2"/>
  <c r="E1362" i="2"/>
  <c r="E1365" i="2" l="1"/>
  <c r="D1368" i="2"/>
  <c r="D1367" i="2"/>
  <c r="E1364" i="2"/>
  <c r="E1363" i="2"/>
  <c r="D1366" i="2"/>
  <c r="E1366" i="2" l="1"/>
  <c r="D1369" i="2"/>
  <c r="E1367" i="2"/>
  <c r="D1370" i="2"/>
  <c r="D1371" i="2"/>
  <c r="E1368" i="2"/>
  <c r="E1371" i="2" l="1"/>
  <c r="D1374" i="2"/>
  <c r="D1373" i="2"/>
  <c r="E1370" i="2"/>
  <c r="E1369" i="2"/>
  <c r="D1372" i="2"/>
  <c r="D1375" i="2" l="1"/>
  <c r="E1372" i="2"/>
  <c r="E1373" i="2"/>
  <c r="D1376" i="2"/>
  <c r="E1374" i="2"/>
  <c r="D1377" i="2"/>
  <c r="E1377" i="2" l="1"/>
  <c r="D1380" i="2"/>
  <c r="D1379" i="2"/>
  <c r="E1376" i="2"/>
  <c r="E1375" i="2"/>
  <c r="D1378" i="2"/>
  <c r="D1381" i="2" l="1"/>
  <c r="E1378" i="2"/>
  <c r="E1379" i="2"/>
  <c r="D1382" i="2"/>
  <c r="D1383" i="2"/>
  <c r="E1380" i="2"/>
  <c r="E1383" i="2" l="1"/>
  <c r="D1386" i="2"/>
  <c r="D1385" i="2"/>
  <c r="E1382" i="2"/>
  <c r="E1381" i="2"/>
  <c r="D1384" i="2"/>
  <c r="D1387" i="2" l="1"/>
  <c r="E1384" i="2"/>
  <c r="E1385" i="2"/>
  <c r="D1388" i="2"/>
  <c r="E1386" i="2"/>
  <c r="D1389" i="2"/>
  <c r="E1389" i="2" l="1"/>
  <c r="D1392" i="2"/>
  <c r="D1391" i="2"/>
  <c r="E1388" i="2"/>
  <c r="E1387" i="2"/>
  <c r="D1390" i="2"/>
  <c r="D1393" i="2" l="1"/>
  <c r="E1390" i="2"/>
  <c r="E1391" i="2"/>
  <c r="D1394" i="2"/>
  <c r="D1395" i="2"/>
  <c r="E1392" i="2"/>
  <c r="E1395" i="2" l="1"/>
  <c r="D1398" i="2"/>
  <c r="D1397" i="2"/>
  <c r="E1394" i="2"/>
  <c r="E1393" i="2"/>
  <c r="D1396" i="2"/>
  <c r="D1399" i="2" l="1"/>
  <c r="E1396" i="2"/>
  <c r="E1397" i="2"/>
  <c r="D1400" i="2"/>
  <c r="E1398" i="2"/>
  <c r="D1401" i="2"/>
  <c r="E1401" i="2" l="1"/>
  <c r="D1404" i="2"/>
  <c r="D1403" i="2"/>
  <c r="E1400" i="2"/>
  <c r="E1399" i="2"/>
  <c r="D1402" i="2"/>
  <c r="D1405" i="2" l="1"/>
  <c r="E1402" i="2"/>
  <c r="E1403" i="2"/>
  <c r="D1406" i="2"/>
  <c r="D1407" i="2"/>
  <c r="E1404" i="2"/>
  <c r="E1407" i="2" l="1"/>
  <c r="D1410" i="2"/>
  <c r="E1406" i="2"/>
  <c r="D1409" i="2"/>
  <c r="E1405" i="2"/>
  <c r="D1408" i="2"/>
  <c r="D1411" i="2" l="1"/>
  <c r="E1408" i="2"/>
  <c r="E1409" i="2"/>
  <c r="D1412" i="2"/>
  <c r="D1413" i="2"/>
  <c r="E1410" i="2"/>
  <c r="E1413" i="2" l="1"/>
  <c r="D1416" i="2"/>
  <c r="D1415" i="2"/>
  <c r="E1412" i="2"/>
  <c r="E1411" i="2"/>
  <c r="D1414" i="2"/>
  <c r="D1417" i="2" l="1"/>
  <c r="E1414" i="2"/>
  <c r="E1415" i="2"/>
  <c r="D1418" i="2"/>
  <c r="D1419" i="2"/>
  <c r="E1416" i="2"/>
  <c r="E1419" i="2" l="1"/>
  <c r="D1422" i="2"/>
  <c r="E1418" i="2"/>
  <c r="D1421" i="2"/>
  <c r="E1417" i="2"/>
  <c r="D1420" i="2"/>
  <c r="D1423" i="2" l="1"/>
  <c r="E1420" i="2"/>
  <c r="E1421" i="2"/>
  <c r="D1424" i="2"/>
  <c r="D1425" i="2"/>
  <c r="E1422" i="2"/>
  <c r="E1425" i="2" l="1"/>
  <c r="D1428" i="2"/>
  <c r="D1427" i="2"/>
  <c r="E1424" i="2"/>
  <c r="E1423" i="2"/>
  <c r="D1426" i="2"/>
  <c r="D1429" i="2" l="1"/>
  <c r="E1426" i="2"/>
  <c r="E1427" i="2"/>
  <c r="D1430" i="2"/>
  <c r="D1431" i="2"/>
  <c r="E1428" i="2"/>
  <c r="E1431" i="2" l="1"/>
  <c r="D1434" i="2"/>
  <c r="D1433" i="2"/>
  <c r="E1430" i="2"/>
  <c r="D1432" i="2"/>
  <c r="E1429" i="2"/>
  <c r="E1432" i="2" l="1"/>
  <c r="D1435" i="2"/>
  <c r="E1433" i="2"/>
  <c r="D1436" i="2"/>
  <c r="D1437" i="2"/>
  <c r="E1434" i="2"/>
  <c r="E1437" i="2" l="1"/>
  <c r="D1440" i="2"/>
  <c r="E1436" i="2"/>
  <c r="D1439" i="2"/>
  <c r="E1435" i="2"/>
  <c r="D1438" i="2"/>
  <c r="D1441" i="2" l="1"/>
  <c r="E1438" i="2"/>
  <c r="E1439" i="2"/>
  <c r="D1442" i="2"/>
  <c r="E1440" i="2"/>
  <c r="D1443" i="2"/>
  <c r="E1443" i="2" l="1"/>
  <c r="D1446" i="2"/>
  <c r="D1445" i="2"/>
  <c r="E1442" i="2"/>
  <c r="E1441" i="2"/>
  <c r="D1444" i="2"/>
  <c r="E1444" i="2" l="1"/>
  <c r="D1447" i="2"/>
  <c r="E1445" i="2"/>
  <c r="D1448" i="2"/>
  <c r="D1449" i="2"/>
  <c r="E1446" i="2"/>
  <c r="E1448" i="2" l="1"/>
  <c r="D1451" i="2"/>
  <c r="E1449" i="2"/>
  <c r="D1452" i="2"/>
  <c r="E1447" i="2"/>
  <c r="D1450" i="2"/>
  <c r="D1453" i="2" l="1"/>
  <c r="E1450" i="2"/>
  <c r="E1452" i="2"/>
  <c r="D1455" i="2"/>
  <c r="E1451" i="2"/>
  <c r="D1454" i="2"/>
  <c r="D1457" i="2" l="1"/>
  <c r="E1454" i="2"/>
  <c r="E1455" i="2"/>
  <c r="D1458" i="2"/>
  <c r="E1453" i="2"/>
  <c r="D1456" i="2"/>
  <c r="E1456" i="2" l="1"/>
  <c r="D1459" i="2"/>
  <c r="D1461" i="2"/>
  <c r="E1458" i="2"/>
  <c r="E1457" i="2"/>
  <c r="D1460" i="2"/>
  <c r="E1460" i="2" l="1"/>
  <c r="D1463" i="2"/>
  <c r="E1461" i="2"/>
  <c r="D1464" i="2"/>
  <c r="E1459" i="2"/>
  <c r="D1462" i="2"/>
  <c r="D1465" i="2" l="1"/>
  <c r="E1462" i="2"/>
  <c r="E1464" i="2"/>
  <c r="D1467" i="2"/>
  <c r="E1463" i="2"/>
  <c r="D1466" i="2"/>
  <c r="D1469" i="2" l="1"/>
  <c r="E1466" i="2"/>
  <c r="E1467" i="2"/>
  <c r="D1470" i="2"/>
  <c r="E1465" i="2"/>
  <c r="D1468" i="2"/>
  <c r="E1468" i="2" l="1"/>
  <c r="D1471" i="2"/>
  <c r="D1473" i="2"/>
  <c r="E1470" i="2"/>
  <c r="E1469" i="2"/>
  <c r="D1472" i="2"/>
  <c r="E1472" i="2" l="1"/>
  <c r="D1475" i="2"/>
  <c r="E1473" i="2"/>
  <c r="D1476" i="2"/>
  <c r="E1471" i="2"/>
  <c r="D1474" i="2"/>
  <c r="D1477" i="2" l="1"/>
  <c r="E1474" i="2"/>
  <c r="E1476" i="2"/>
  <c r="D1479" i="2"/>
  <c r="E1475" i="2"/>
  <c r="D1478" i="2"/>
  <c r="D1481" i="2" l="1"/>
  <c r="E1478" i="2"/>
  <c r="E1479" i="2"/>
  <c r="D1482" i="2"/>
  <c r="E1477" i="2"/>
  <c r="D1480" i="2"/>
  <c r="E1480" i="2" l="1"/>
  <c r="D1483" i="2"/>
  <c r="D1485" i="2"/>
  <c r="E1482" i="2"/>
  <c r="E1481" i="2"/>
  <c r="D1484" i="2"/>
  <c r="E1484" i="2" l="1"/>
  <c r="D1487" i="2"/>
  <c r="E1485" i="2"/>
  <c r="D1488" i="2"/>
  <c r="E1483" i="2"/>
  <c r="D1486" i="2"/>
  <c r="D1489" i="2" l="1"/>
  <c r="E1486" i="2"/>
  <c r="E1488" i="2"/>
  <c r="D1491" i="2"/>
  <c r="E1487" i="2"/>
  <c r="D1490" i="2"/>
  <c r="D1493" i="2" l="1"/>
  <c r="E1490" i="2"/>
  <c r="E1491" i="2"/>
  <c r="D1494" i="2"/>
  <c r="E1489" i="2"/>
  <c r="D1492" i="2"/>
  <c r="E1492" i="2" l="1"/>
  <c r="D1495" i="2"/>
  <c r="D1497" i="2"/>
  <c r="E1494" i="2"/>
  <c r="E1493" i="2"/>
  <c r="D1496" i="2"/>
  <c r="E1496" i="2" l="1"/>
  <c r="D1499" i="2"/>
  <c r="E1497" i="2"/>
  <c r="D1500" i="2"/>
  <c r="E1495" i="2"/>
  <c r="D1498" i="2"/>
  <c r="D1501" i="2" l="1"/>
  <c r="E1498" i="2"/>
  <c r="E1500" i="2"/>
  <c r="D1503" i="2"/>
  <c r="E1499" i="2"/>
  <c r="D1502" i="2"/>
  <c r="D1505" i="2" l="1"/>
  <c r="E1502" i="2"/>
  <c r="E1503" i="2"/>
  <c r="D1506" i="2"/>
  <c r="E1501" i="2"/>
  <c r="D1504" i="2"/>
  <c r="E1504" i="2" l="1"/>
  <c r="D1507" i="2"/>
  <c r="D1509" i="2"/>
  <c r="E1506" i="2"/>
  <c r="E1505" i="2"/>
  <c r="D1508" i="2"/>
  <c r="E1508" i="2" l="1"/>
  <c r="D1511" i="2"/>
  <c r="E1509" i="2"/>
  <c r="D1512" i="2"/>
  <c r="E1507" i="2"/>
  <c r="D1510" i="2"/>
  <c r="D1513" i="2" l="1"/>
  <c r="E1510" i="2"/>
  <c r="E1512" i="2"/>
  <c r="D1515" i="2"/>
  <c r="E1511" i="2"/>
  <c r="D1514" i="2"/>
  <c r="D1517" i="2" l="1"/>
  <c r="E1514" i="2"/>
  <c r="E1515" i="2"/>
  <c r="D1518" i="2"/>
  <c r="E1513" i="2"/>
  <c r="D1516" i="2"/>
  <c r="E1516" i="2" l="1"/>
  <c r="D1519" i="2"/>
  <c r="D1521" i="2"/>
  <c r="E1518" i="2"/>
  <c r="E1517" i="2"/>
  <c r="D1520" i="2"/>
  <c r="E1520" i="2" l="1"/>
  <c r="D1523" i="2"/>
  <c r="E1521" i="2"/>
  <c r="D1524" i="2"/>
  <c r="E1519" i="2"/>
  <c r="D1522" i="2"/>
  <c r="D1525" i="2" l="1"/>
  <c r="E1522" i="2"/>
  <c r="E1524" i="2"/>
  <c r="D1527" i="2"/>
  <c r="E1523" i="2"/>
  <c r="D1526" i="2"/>
  <c r="D1529" i="2" l="1"/>
  <c r="E1526" i="2"/>
  <c r="E1527" i="2"/>
  <c r="D1530" i="2"/>
  <c r="E1525" i="2"/>
  <c r="D1528" i="2"/>
  <c r="E1528" i="2" l="1"/>
  <c r="D1531" i="2"/>
  <c r="D1533" i="2"/>
  <c r="E1530" i="2"/>
  <c r="E1529" i="2"/>
  <c r="D1532" i="2"/>
  <c r="E1532" i="2" l="1"/>
  <c r="D1535" i="2"/>
  <c r="E1533" i="2"/>
  <c r="D1536" i="2"/>
  <c r="E1531" i="2"/>
  <c r="D1534" i="2"/>
  <c r="D1537" i="2" l="1"/>
  <c r="E1534" i="2"/>
  <c r="E1536" i="2"/>
  <c r="D1539" i="2"/>
  <c r="E1535" i="2"/>
  <c r="D1538" i="2"/>
  <c r="D1541" i="2" l="1"/>
  <c r="E1538" i="2"/>
  <c r="E1539" i="2"/>
  <c r="D1542" i="2"/>
  <c r="E1537" i="2"/>
  <c r="D1540" i="2"/>
  <c r="E1540" i="2" l="1"/>
  <c r="D1543" i="2"/>
  <c r="D1545" i="2"/>
  <c r="E1542" i="2"/>
  <c r="E1541" i="2"/>
  <c r="D1544" i="2"/>
  <c r="E1544" i="2" l="1"/>
  <c r="D1547" i="2"/>
  <c r="E1545" i="2"/>
  <c r="D1548" i="2"/>
  <c r="E1543" i="2"/>
  <c r="D1546" i="2"/>
  <c r="D1549" i="2" l="1"/>
  <c r="E1546" i="2"/>
  <c r="E1548" i="2"/>
  <c r="D1551" i="2"/>
  <c r="E1547" i="2"/>
  <c r="D1550" i="2"/>
  <c r="D1553" i="2" l="1"/>
  <c r="E1550" i="2"/>
  <c r="E1551" i="2"/>
  <c r="D1554" i="2"/>
  <c r="E1549" i="2"/>
  <c r="D1552" i="2"/>
  <c r="E1552" i="2" l="1"/>
  <c r="D1555" i="2"/>
  <c r="D1557" i="2"/>
  <c r="E1554" i="2"/>
  <c r="E1553" i="2"/>
  <c r="D1556" i="2"/>
  <c r="E1556" i="2" l="1"/>
  <c r="D1559" i="2"/>
  <c r="E1557" i="2"/>
  <c r="D1560" i="2"/>
  <c r="E1555" i="2"/>
  <c r="D1558" i="2"/>
  <c r="D1561" i="2" l="1"/>
  <c r="E1558" i="2"/>
  <c r="E1560" i="2"/>
  <c r="D1563" i="2"/>
  <c r="E1559" i="2"/>
  <c r="D1562" i="2"/>
  <c r="D1565" i="2" l="1"/>
  <c r="E1562" i="2"/>
  <c r="E1563" i="2"/>
  <c r="D1566" i="2"/>
  <c r="E1561" i="2"/>
  <c r="D1564" i="2"/>
  <c r="E1564" i="2" l="1"/>
  <c r="D1567" i="2"/>
  <c r="D1569" i="2"/>
  <c r="E1566" i="2"/>
  <c r="E1565" i="2"/>
  <c r="D1568" i="2"/>
  <c r="E1568" i="2" l="1"/>
  <c r="D1571" i="2"/>
  <c r="E1569" i="2"/>
  <c r="D1572" i="2"/>
  <c r="E1567" i="2"/>
  <c r="D1570" i="2"/>
  <c r="D1573" i="2" l="1"/>
  <c r="E1570" i="2"/>
  <c r="E1572" i="2"/>
  <c r="D1575" i="2"/>
  <c r="E1571" i="2"/>
  <c r="D1574" i="2"/>
  <c r="D1577" i="2" l="1"/>
  <c r="E1574" i="2"/>
  <c r="E1575" i="2"/>
  <c r="D1578" i="2"/>
  <c r="E1573" i="2"/>
  <c r="D1576" i="2"/>
  <c r="E1576" i="2" l="1"/>
  <c r="D1579" i="2"/>
  <c r="D1581" i="2"/>
  <c r="E1578" i="2"/>
  <c r="E1577" i="2"/>
  <c r="D1580" i="2"/>
  <c r="E1580" i="2" l="1"/>
  <c r="D1583" i="2"/>
  <c r="E1581" i="2"/>
  <c r="D1584" i="2"/>
  <c r="E1579" i="2"/>
  <c r="D1582" i="2"/>
  <c r="D1585" i="2" l="1"/>
  <c r="E1582" i="2"/>
  <c r="E1584" i="2"/>
  <c r="D1587" i="2"/>
  <c r="E1583" i="2"/>
  <c r="D1586" i="2"/>
  <c r="D1589" i="2" l="1"/>
  <c r="E1586" i="2"/>
  <c r="E1587" i="2"/>
  <c r="D1590" i="2"/>
  <c r="E1585" i="2"/>
  <c r="D1588" i="2"/>
  <c r="E1588" i="2" l="1"/>
  <c r="D1591" i="2"/>
  <c r="D1593" i="2"/>
  <c r="E1590" i="2"/>
  <c r="E1589" i="2"/>
  <c r="D1592" i="2"/>
  <c r="E1592" i="2" l="1"/>
  <c r="D1595" i="2"/>
  <c r="E1593" i="2"/>
  <c r="D1596" i="2"/>
  <c r="E1591" i="2"/>
  <c r="D1594" i="2"/>
  <c r="D1597" i="2" l="1"/>
  <c r="E1594" i="2"/>
  <c r="E1596" i="2"/>
  <c r="D1599" i="2"/>
  <c r="E1595" i="2"/>
  <c r="D1598" i="2"/>
  <c r="E1599" i="2" l="1"/>
  <c r="D1602" i="2"/>
  <c r="D1601" i="2"/>
  <c r="E1598" i="2"/>
  <c r="E1597" i="2"/>
  <c r="D1600" i="2"/>
  <c r="E1601" i="2" l="1"/>
  <c r="D1604" i="2"/>
  <c r="D1605" i="2"/>
  <c r="E1602" i="2"/>
  <c r="E1600" i="2"/>
  <c r="D1603" i="2"/>
  <c r="E1605" i="2" l="1"/>
  <c r="D1608" i="2"/>
  <c r="E1604" i="2"/>
  <c r="D1607" i="2"/>
  <c r="E1603" i="2"/>
  <c r="D1606" i="2"/>
  <c r="D1609" i="2" l="1"/>
  <c r="E1606" i="2"/>
  <c r="E1607" i="2"/>
  <c r="D1610" i="2"/>
  <c r="E1608" i="2"/>
  <c r="D1611" i="2"/>
  <c r="D1613" i="2" l="1"/>
  <c r="E1610" i="2"/>
  <c r="E1611" i="2"/>
  <c r="D1614" i="2"/>
  <c r="E1609" i="2"/>
  <c r="D1612" i="2"/>
  <c r="E1612" i="2" l="1"/>
  <c r="D1615" i="2"/>
  <c r="D1617" i="2"/>
  <c r="E1614" i="2"/>
  <c r="E1613" i="2"/>
  <c r="D1616" i="2"/>
  <c r="E1617" i="2" l="1"/>
  <c r="D1620" i="2"/>
  <c r="E1615" i="2"/>
  <c r="D1618" i="2"/>
  <c r="E1616" i="2"/>
  <c r="D1619" i="2"/>
  <c r="E1619" i="2" l="1"/>
  <c r="D1622" i="2"/>
  <c r="D1621" i="2"/>
  <c r="E1618" i="2"/>
  <c r="E1620" i="2"/>
  <c r="D1623" i="2"/>
  <c r="E1621" i="2" l="1"/>
  <c r="D1624" i="2"/>
  <c r="D1625" i="2"/>
  <c r="E1622" i="2"/>
  <c r="E1623" i="2"/>
  <c r="D1626" i="2"/>
  <c r="E1625" i="2" l="1"/>
  <c r="D1628" i="2"/>
  <c r="E1624" i="2"/>
  <c r="D1627" i="2"/>
  <c r="D1629" i="2"/>
  <c r="E1626" i="2"/>
  <c r="E1627" i="2" l="1"/>
  <c r="D1630" i="2"/>
  <c r="E1628" i="2"/>
  <c r="D1631" i="2"/>
  <c r="E1629" i="2"/>
  <c r="D1632" i="2"/>
  <c r="E1631" i="2" l="1"/>
  <c r="D1634" i="2"/>
  <c r="D1633" i="2"/>
  <c r="E1630" i="2"/>
  <c r="E1632" i="2"/>
  <c r="D1635" i="2"/>
  <c r="E1633" i="2" l="1"/>
  <c r="D1636" i="2"/>
  <c r="D1637" i="2"/>
  <c r="E1634" i="2"/>
  <c r="E1635" i="2"/>
  <c r="D1638" i="2"/>
  <c r="E1637" i="2" l="1"/>
  <c r="D1640" i="2"/>
  <c r="E1636" i="2"/>
  <c r="D1639" i="2"/>
  <c r="D1641" i="2"/>
  <c r="E1638" i="2"/>
  <c r="E1639" i="2" l="1"/>
  <c r="D1642" i="2"/>
  <c r="E1640" i="2"/>
  <c r="D1643" i="2"/>
  <c r="E1641" i="2"/>
  <c r="D1644" i="2"/>
  <c r="E1643" i="2" l="1"/>
  <c r="D1646" i="2"/>
  <c r="D1645" i="2"/>
  <c r="E1642" i="2"/>
  <c r="E1644" i="2"/>
  <c r="D1647" i="2"/>
  <c r="E1645" i="2" l="1"/>
  <c r="D1648" i="2"/>
  <c r="D1649" i="2"/>
  <c r="E1646" i="2"/>
  <c r="E1647" i="2"/>
  <c r="D1650" i="2"/>
  <c r="E1649" i="2" l="1"/>
  <c r="D1652" i="2"/>
  <c r="E1648" i="2"/>
  <c r="D1651" i="2"/>
  <c r="D1653" i="2"/>
  <c r="E1650" i="2"/>
  <c r="E1653" i="2" l="1"/>
  <c r="D1656" i="2"/>
  <c r="E1651" i="2"/>
  <c r="D1654" i="2"/>
  <c r="E1652" i="2"/>
  <c r="D1655" i="2"/>
  <c r="D1657" i="2" l="1"/>
  <c r="E1654" i="2"/>
  <c r="E1656" i="2"/>
  <c r="D1659" i="2"/>
  <c r="E1655" i="2"/>
  <c r="D1658" i="2"/>
  <c r="E1659" i="2" l="1"/>
  <c r="D1662" i="2"/>
  <c r="D1661" i="2"/>
  <c r="E1658" i="2"/>
  <c r="E1657" i="2"/>
  <c r="D1660" i="2"/>
  <c r="E1661" i="2" l="1"/>
  <c r="D1664" i="2"/>
  <c r="D1665" i="2"/>
  <c r="E1662" i="2"/>
  <c r="E1660" i="2"/>
  <c r="D1663" i="2"/>
  <c r="E1665" i="2" l="1"/>
  <c r="D1668" i="2"/>
  <c r="E1664" i="2"/>
  <c r="D1667" i="2"/>
  <c r="E1663" i="2"/>
  <c r="D1666" i="2"/>
  <c r="E1667" i="2" l="1"/>
  <c r="D1670" i="2"/>
  <c r="E1668" i="2"/>
  <c r="D1671" i="2"/>
  <c r="D1669" i="2"/>
  <c r="E1666" i="2"/>
  <c r="E1669" i="2" l="1"/>
  <c r="D1672" i="2"/>
  <c r="E1671" i="2"/>
  <c r="D1674" i="2"/>
  <c r="D1673" i="2"/>
  <c r="E1670" i="2"/>
  <c r="E1673" i="2" l="1"/>
  <c r="D1676" i="2"/>
  <c r="D1677" i="2"/>
  <c r="E1674" i="2"/>
  <c r="E1672" i="2"/>
  <c r="D1675" i="2"/>
  <c r="E1677" i="2" l="1"/>
  <c r="D1680" i="2"/>
  <c r="E1676" i="2"/>
  <c r="D1679" i="2"/>
  <c r="E1675" i="2"/>
  <c r="D1678" i="2"/>
  <c r="E1679" i="2" l="1"/>
  <c r="D1682" i="2"/>
  <c r="E1680" i="2"/>
  <c r="D1683" i="2"/>
  <c r="D1681" i="2"/>
  <c r="E1678" i="2"/>
  <c r="E1683" i="2" l="1"/>
  <c r="D1686" i="2"/>
  <c r="D1685" i="2"/>
  <c r="E1682" i="2"/>
  <c r="E1681" i="2"/>
  <c r="D1684" i="2"/>
  <c r="E1685" i="2" l="1"/>
  <c r="D1688" i="2"/>
  <c r="D1689" i="2"/>
  <c r="E1686" i="2"/>
  <c r="E1684" i="2"/>
  <c r="D1687" i="2"/>
  <c r="E1689" i="2" l="1"/>
  <c r="D1692" i="2"/>
  <c r="E1688" i="2"/>
  <c r="D1691" i="2"/>
  <c r="E1687" i="2"/>
  <c r="D1690" i="2"/>
  <c r="D1693" i="2" l="1"/>
  <c r="E1690" i="2"/>
  <c r="E1691" i="2"/>
  <c r="D1694" i="2"/>
  <c r="E1692" i="2"/>
  <c r="D1695" i="2"/>
  <c r="E1695" i="2" l="1"/>
  <c r="D1698" i="2"/>
  <c r="D1697" i="2"/>
  <c r="E1694" i="2"/>
  <c r="E1693" i="2"/>
  <c r="D1696" i="2"/>
  <c r="E1696" i="2" l="1"/>
  <c r="D1699" i="2"/>
  <c r="E1697" i="2"/>
  <c r="D1700" i="2"/>
  <c r="D1701" i="2"/>
  <c r="E1698" i="2"/>
  <c r="E1700" i="2" l="1"/>
  <c r="D1703" i="2"/>
  <c r="E1699" i="2"/>
  <c r="D1702" i="2"/>
  <c r="E1701" i="2"/>
  <c r="D1704" i="2"/>
  <c r="E1704" i="2" l="1"/>
  <c r="D1707" i="2"/>
  <c r="D1705" i="2"/>
  <c r="E1702" i="2"/>
  <c r="E1703" i="2"/>
  <c r="D1706" i="2"/>
  <c r="D1709" i="2" l="1"/>
  <c r="E1706" i="2"/>
  <c r="E1705" i="2"/>
  <c r="D1708" i="2"/>
  <c r="E1707" i="2"/>
  <c r="D1710" i="2"/>
  <c r="E1708" i="2" l="1"/>
  <c r="D1711" i="2"/>
  <c r="D1713" i="2"/>
  <c r="E1710" i="2"/>
  <c r="E1709" i="2"/>
  <c r="D1712" i="2"/>
  <c r="E1713" i="2" l="1"/>
  <c r="D1716" i="2"/>
  <c r="E1711" i="2"/>
  <c r="D1714" i="2"/>
  <c r="E1712" i="2"/>
  <c r="D1715" i="2"/>
  <c r="D1717" i="2" l="1"/>
  <c r="E1714" i="2"/>
  <c r="E1716" i="2"/>
  <c r="D1719" i="2"/>
  <c r="E1715" i="2"/>
  <c r="D1718" i="2"/>
  <c r="D1721" i="2" l="1"/>
  <c r="E1718" i="2"/>
  <c r="E1719" i="2"/>
  <c r="D1722" i="2"/>
  <c r="E1717" i="2"/>
  <c r="D1720" i="2"/>
  <c r="D1725" i="2" l="1"/>
  <c r="E1722" i="2"/>
  <c r="E1720" i="2"/>
  <c r="D1723" i="2"/>
  <c r="E1721" i="2"/>
  <c r="D1724" i="2"/>
  <c r="E1724" i="2" l="1"/>
  <c r="D1727" i="2"/>
  <c r="E1723" i="2"/>
  <c r="D1726" i="2"/>
  <c r="E1725" i="2"/>
  <c r="D1728" i="2"/>
  <c r="E1728" i="2" l="1"/>
  <c r="D1731" i="2"/>
  <c r="D1729" i="2"/>
  <c r="E1726" i="2"/>
  <c r="E1727" i="2"/>
  <c r="D1730" i="2"/>
  <c r="E1729" i="2" l="1"/>
  <c r="D1732" i="2"/>
  <c r="E1731" i="2"/>
  <c r="D1734" i="2"/>
  <c r="D1733" i="2"/>
  <c r="E1730" i="2"/>
  <c r="E1733" i="2" l="1"/>
  <c r="D1736" i="2"/>
  <c r="E1732" i="2"/>
  <c r="D1735" i="2"/>
  <c r="D1737" i="2"/>
  <c r="E1734" i="2"/>
  <c r="E1735" i="2" l="1"/>
  <c r="D1738" i="2"/>
  <c r="E1736" i="2"/>
  <c r="D1739" i="2"/>
  <c r="E1737" i="2"/>
  <c r="D1740" i="2"/>
  <c r="E1739" i="2" l="1"/>
  <c r="D1742" i="2"/>
  <c r="D1741" i="2"/>
  <c r="E1738" i="2"/>
  <c r="E1740" i="2"/>
  <c r="D1743" i="2"/>
  <c r="E1743" i="2" l="1"/>
  <c r="D1746" i="2"/>
  <c r="E1741" i="2"/>
  <c r="D1744" i="2"/>
  <c r="D1745" i="2"/>
  <c r="E1742" i="2"/>
  <c r="E1744" i="2" l="1"/>
  <c r="D1747" i="2"/>
  <c r="D1749" i="2"/>
  <c r="E1746" i="2"/>
  <c r="E1745" i="2"/>
  <c r="D1748" i="2"/>
  <c r="E1749" i="2" l="1"/>
  <c r="D1752" i="2"/>
  <c r="E1747" i="2"/>
  <c r="D1750" i="2"/>
  <c r="E1748" i="2"/>
  <c r="D1751" i="2"/>
  <c r="D1753" i="2" l="1"/>
  <c r="E1750" i="2"/>
  <c r="E1752" i="2"/>
  <c r="D1755" i="2"/>
  <c r="E1751" i="2"/>
  <c r="D1754" i="2"/>
  <c r="E1755" i="2" l="1"/>
  <c r="D1758" i="2"/>
  <c r="D1757" i="2"/>
  <c r="E1754" i="2"/>
  <c r="E1753" i="2"/>
  <c r="D1756" i="2"/>
  <c r="E1757" i="2" l="1"/>
  <c r="D1760" i="2"/>
  <c r="D1761" i="2"/>
  <c r="E1758" i="2"/>
  <c r="E1756" i="2"/>
  <c r="D1759" i="2"/>
  <c r="E1761" i="2" l="1"/>
  <c r="D1764" i="2"/>
  <c r="E1760" i="2"/>
  <c r="D1763" i="2"/>
  <c r="E1759" i="2"/>
  <c r="D1762" i="2"/>
  <c r="E1763" i="2" l="1"/>
  <c r="D1766" i="2"/>
  <c r="E1764" i="2"/>
  <c r="D1767" i="2"/>
  <c r="D1765" i="2"/>
  <c r="E1762" i="2"/>
  <c r="E1765" i="2" l="1"/>
  <c r="D1768" i="2"/>
  <c r="E1767" i="2"/>
  <c r="D1770" i="2"/>
  <c r="D1769" i="2"/>
  <c r="E1766" i="2"/>
  <c r="E1769" i="2" l="1"/>
  <c r="D1772" i="2"/>
  <c r="D1773" i="2"/>
  <c r="E1770" i="2"/>
  <c r="E1768" i="2"/>
  <c r="D1771" i="2"/>
  <c r="E1773" i="2" l="1"/>
  <c r="D1776" i="2"/>
  <c r="E1772" i="2"/>
  <c r="D1775" i="2"/>
  <c r="E1771" i="2"/>
  <c r="D1774" i="2"/>
  <c r="D1777" i="2" l="1"/>
  <c r="E1774" i="2"/>
  <c r="E1775" i="2"/>
  <c r="D1778" i="2"/>
  <c r="E1776" i="2"/>
  <c r="D1779" i="2"/>
  <c r="D1781" i="2" l="1"/>
  <c r="E1778" i="2"/>
  <c r="E1779" i="2"/>
  <c r="D1782" i="2"/>
  <c r="E1777" i="2"/>
  <c r="D1780" i="2"/>
  <c r="E1780" i="2" l="1"/>
  <c r="D1783" i="2"/>
  <c r="D1785" i="2"/>
  <c r="E1782" i="2"/>
  <c r="E1781" i="2"/>
  <c r="D1784" i="2"/>
  <c r="E1784" i="2" l="1"/>
  <c r="D1787" i="2"/>
  <c r="E1785" i="2"/>
  <c r="D1788" i="2"/>
  <c r="E1783" i="2"/>
  <c r="D1786" i="2"/>
  <c r="D1789" i="2" l="1"/>
  <c r="E1786" i="2"/>
  <c r="E1788" i="2"/>
  <c r="D1791" i="2"/>
  <c r="E1787" i="2"/>
  <c r="D1790" i="2"/>
  <c r="D1793" i="2" l="1"/>
  <c r="E1790" i="2"/>
  <c r="E1791" i="2"/>
  <c r="D1794" i="2"/>
  <c r="E1789" i="2"/>
  <c r="D1792" i="2"/>
  <c r="E1792" i="2" l="1"/>
  <c r="D1795" i="2"/>
  <c r="D1797" i="2"/>
  <c r="E1794" i="2"/>
  <c r="E1793" i="2"/>
  <c r="D1796" i="2"/>
  <c r="E1797" i="2" l="1"/>
  <c r="D1800" i="2"/>
  <c r="E1795" i="2"/>
  <c r="D1798" i="2"/>
  <c r="E1796" i="2"/>
  <c r="D1799" i="2"/>
  <c r="E1799" i="2" l="1"/>
  <c r="D1802" i="2"/>
  <c r="E1800" i="2"/>
  <c r="D1803" i="2"/>
  <c r="D1801" i="2"/>
  <c r="E1798" i="2"/>
  <c r="E1801" i="2" l="1"/>
  <c r="D1804" i="2"/>
  <c r="E1803" i="2"/>
  <c r="D1806" i="2"/>
  <c r="D1805" i="2"/>
  <c r="E1802" i="2"/>
  <c r="E1805" i="2" l="1"/>
  <c r="D1808" i="2"/>
  <c r="D1809" i="2"/>
  <c r="E1806" i="2"/>
  <c r="E1804" i="2"/>
  <c r="D1807" i="2"/>
  <c r="E1807" i="2" l="1"/>
  <c r="D1810" i="2"/>
  <c r="E1809" i="2"/>
  <c r="D1812" i="2"/>
  <c r="E1808" i="2"/>
  <c r="D1811" i="2"/>
  <c r="E1811" i="2" l="1"/>
  <c r="D1814" i="2"/>
  <c r="E1812" i="2"/>
  <c r="D1815" i="2"/>
  <c r="D1813" i="2"/>
  <c r="E1810" i="2"/>
  <c r="E1813" i="2" l="1"/>
  <c r="D1816" i="2"/>
  <c r="E1815" i="2"/>
  <c r="D1818" i="2"/>
  <c r="D1817" i="2"/>
  <c r="E1814" i="2"/>
  <c r="E1817" i="2" l="1"/>
  <c r="D1820" i="2"/>
  <c r="D1821" i="2"/>
  <c r="E1818" i="2"/>
  <c r="E1816" i="2"/>
  <c r="D1819" i="2"/>
  <c r="E1819" i="2" l="1"/>
  <c r="D1822" i="2"/>
  <c r="E1821" i="2"/>
  <c r="D1824" i="2"/>
  <c r="E1820" i="2"/>
  <c r="D1823" i="2"/>
  <c r="E1823" i="2" l="1"/>
  <c r="D1826" i="2"/>
  <c r="E1824" i="2"/>
  <c r="D1827" i="2"/>
  <c r="D1825" i="2"/>
  <c r="E1822" i="2"/>
  <c r="E1825" i="2" l="1"/>
  <c r="D1828" i="2"/>
  <c r="E1827" i="2"/>
  <c r="D1830" i="2"/>
  <c r="D1829" i="2"/>
  <c r="E1826" i="2"/>
  <c r="E1829" i="2" l="1"/>
  <c r="D1832" i="2"/>
  <c r="D1833" i="2"/>
  <c r="E1830" i="2"/>
  <c r="E1828" i="2"/>
  <c r="D1831" i="2"/>
  <c r="E1831" i="2" l="1"/>
  <c r="D1834" i="2"/>
  <c r="E1833" i="2"/>
  <c r="D1836" i="2"/>
  <c r="E1832" i="2"/>
  <c r="D1835" i="2"/>
  <c r="E1835" i="2" l="1"/>
  <c r="D1838" i="2"/>
  <c r="E1836" i="2"/>
  <c r="D1839" i="2"/>
  <c r="D1837" i="2"/>
  <c r="E1834" i="2"/>
  <c r="E1837" i="2" l="1"/>
  <c r="D1840" i="2"/>
  <c r="E1839" i="2"/>
  <c r="D1842" i="2"/>
  <c r="D1841" i="2"/>
  <c r="E1838" i="2"/>
  <c r="E1841" i="2" l="1"/>
  <c r="D1844" i="2"/>
  <c r="D1845" i="2"/>
  <c r="E1842" i="2"/>
  <c r="E1840" i="2"/>
  <c r="D1843" i="2"/>
  <c r="E1844" i="2" l="1"/>
  <c r="D1847" i="2"/>
  <c r="E1843" i="2"/>
  <c r="D1846" i="2"/>
  <c r="E1845" i="2"/>
  <c r="D1848" i="2"/>
  <c r="E1848" i="2" l="1"/>
  <c r="D1851" i="2"/>
  <c r="D1849" i="2"/>
  <c r="E1846" i="2"/>
  <c r="E1847" i="2"/>
  <c r="D1850" i="2"/>
  <c r="D1853" i="2" l="1"/>
  <c r="E1850" i="2"/>
  <c r="E1849" i="2"/>
  <c r="D1852" i="2"/>
  <c r="E1851" i="2"/>
  <c r="D1854" i="2"/>
  <c r="D1857" i="2" l="1"/>
  <c r="E1854" i="2"/>
  <c r="E1852" i="2"/>
  <c r="D1855" i="2"/>
  <c r="E1853" i="2"/>
  <c r="D1856" i="2"/>
  <c r="E1856" i="2" l="1"/>
  <c r="D1859" i="2"/>
  <c r="E1855" i="2"/>
  <c r="D1858" i="2"/>
  <c r="E1857" i="2"/>
  <c r="D1860" i="2"/>
  <c r="E1860" i="2" l="1"/>
  <c r="D1863" i="2"/>
  <c r="D1861" i="2"/>
  <c r="E1858" i="2"/>
  <c r="E1859" i="2"/>
  <c r="D1862" i="2"/>
  <c r="D1865" i="2" l="1"/>
  <c r="E1862" i="2"/>
  <c r="E1861" i="2"/>
  <c r="D1864" i="2"/>
  <c r="E1863" i="2"/>
  <c r="D1866" i="2"/>
  <c r="E1865" i="2" l="1"/>
  <c r="D1868" i="2"/>
  <c r="D1869" i="2"/>
  <c r="E1866" i="2"/>
  <c r="E1864" i="2"/>
  <c r="D1867" i="2"/>
  <c r="E1867" i="2" l="1"/>
  <c r="D1870" i="2"/>
  <c r="E1869" i="2"/>
  <c r="D1872" i="2"/>
  <c r="E1868" i="2"/>
  <c r="D1871" i="2"/>
  <c r="E1871" i="2" l="1"/>
  <c r="D1874" i="2"/>
  <c r="E1872" i="2"/>
  <c r="D1875" i="2"/>
  <c r="D1873" i="2"/>
  <c r="E1870" i="2"/>
  <c r="E1875" i="2" l="1"/>
  <c r="D1878" i="2"/>
  <c r="D1877" i="2"/>
  <c r="E1874" i="2"/>
  <c r="E1873" i="2"/>
  <c r="D1876" i="2"/>
  <c r="E1877" i="2" l="1"/>
  <c r="D1880" i="2"/>
  <c r="D1881" i="2"/>
  <c r="E1878" i="2"/>
  <c r="E1876" i="2"/>
  <c r="D1879" i="2"/>
  <c r="E1881" i="2" l="1"/>
  <c r="D1884" i="2"/>
  <c r="E1880" i="2"/>
  <c r="D1883" i="2"/>
  <c r="E1879" i="2"/>
  <c r="D1882" i="2"/>
  <c r="D1885" i="2" l="1"/>
  <c r="E1882" i="2"/>
  <c r="E1883" i="2"/>
  <c r="D1886" i="2"/>
  <c r="E1884" i="2"/>
  <c r="D1887" i="2"/>
  <c r="D1889" i="2" l="1"/>
  <c r="E1886" i="2"/>
  <c r="E1887" i="2"/>
  <c r="D1890" i="2"/>
  <c r="E1885" i="2"/>
  <c r="D1888" i="2"/>
  <c r="D1893" i="2" l="1"/>
  <c r="E1890" i="2"/>
  <c r="E1888" i="2"/>
  <c r="D1891" i="2"/>
  <c r="E1889" i="2"/>
  <c r="D1892" i="2"/>
  <c r="E1891" i="2" l="1"/>
  <c r="D1894" i="2"/>
  <c r="E1892" i="2"/>
  <c r="D1895" i="2"/>
  <c r="E1893" i="2"/>
  <c r="D1896" i="2"/>
  <c r="E1896" i="2" l="1"/>
  <c r="D1899" i="2"/>
  <c r="E1895" i="2"/>
  <c r="D1898" i="2"/>
  <c r="D1897" i="2"/>
  <c r="E1894" i="2"/>
  <c r="D1901" i="2" l="1"/>
  <c r="E1898" i="2"/>
  <c r="E1899" i="2"/>
  <c r="D1902" i="2"/>
  <c r="E1897" i="2"/>
  <c r="D1900" i="2"/>
  <c r="D1905" i="2" l="1"/>
  <c r="E1902" i="2"/>
  <c r="E1900" i="2"/>
  <c r="D1903" i="2"/>
  <c r="E1901" i="2"/>
  <c r="D1904" i="2"/>
  <c r="E1903" i="2" l="1"/>
  <c r="D1906" i="2"/>
  <c r="E1904" i="2"/>
  <c r="D1907" i="2"/>
  <c r="E1905" i="2"/>
  <c r="D1908" i="2"/>
  <c r="E1908" i="2" l="1"/>
  <c r="D1911" i="2"/>
  <c r="E1907" i="2"/>
  <c r="D1910" i="2"/>
  <c r="D1909" i="2"/>
  <c r="E1906" i="2"/>
  <c r="D1913" i="2" l="1"/>
  <c r="E1910" i="2"/>
  <c r="E1911" i="2"/>
  <c r="D1914" i="2"/>
  <c r="E1909" i="2"/>
  <c r="D1912" i="2"/>
  <c r="D1917" i="2" l="1"/>
  <c r="E1914" i="2"/>
  <c r="E1912" i="2"/>
  <c r="D1915" i="2"/>
  <c r="E1913" i="2"/>
  <c r="D1916" i="2"/>
  <c r="E1916" i="2" l="1"/>
  <c r="D1919" i="2"/>
  <c r="E1915" i="2"/>
  <c r="D1918" i="2"/>
  <c r="E1917" i="2"/>
  <c r="D1920" i="2"/>
  <c r="D1921" i="2" l="1"/>
  <c r="E1918" i="2"/>
  <c r="E1919" i="2"/>
  <c r="D1922" i="2"/>
  <c r="E1920" i="2"/>
  <c r="D1923" i="2"/>
  <c r="D1925" i="2" l="1"/>
  <c r="E1922" i="2"/>
  <c r="E1923" i="2"/>
  <c r="D1926" i="2"/>
  <c r="E1921" i="2"/>
  <c r="D1924" i="2"/>
  <c r="E1924" i="2" l="1"/>
  <c r="D1927" i="2"/>
  <c r="D1929" i="2"/>
  <c r="E1926" i="2"/>
  <c r="E1925" i="2"/>
  <c r="D1928" i="2"/>
  <c r="E1929" i="2" l="1"/>
  <c r="D1932" i="2"/>
  <c r="E1927" i="2"/>
  <c r="D1930" i="2"/>
  <c r="E1928" i="2"/>
  <c r="D1931" i="2"/>
  <c r="E1932" i="2" l="1"/>
  <c r="D1935" i="2"/>
  <c r="E1931" i="2"/>
  <c r="D1934" i="2"/>
  <c r="D1933" i="2"/>
  <c r="E1930" i="2"/>
  <c r="E1933" i="2" l="1"/>
  <c r="D1936" i="2"/>
  <c r="D1937" i="2"/>
  <c r="E1934" i="2"/>
  <c r="E1935" i="2"/>
  <c r="D1938" i="2"/>
  <c r="D1941" i="2" l="1"/>
  <c r="E1938" i="2"/>
  <c r="E1937" i="2"/>
  <c r="D1940" i="2"/>
  <c r="E1936" i="2"/>
  <c r="D1939" i="2"/>
  <c r="E1939" i="2" l="1"/>
  <c r="D1942" i="2"/>
  <c r="E1940" i="2"/>
  <c r="D1943" i="2"/>
  <c r="E1941" i="2"/>
  <c r="D1944" i="2"/>
  <c r="D1945" i="2" l="1"/>
  <c r="E1942" i="2"/>
  <c r="E1944" i="2"/>
  <c r="D1947" i="2"/>
  <c r="E1943" i="2"/>
  <c r="D1946" i="2"/>
  <c r="D1949" i="2" l="1"/>
  <c r="E1946" i="2"/>
  <c r="E1947" i="2"/>
  <c r="D1950" i="2"/>
  <c r="E1945" i="2"/>
  <c r="D1948" i="2"/>
  <c r="E1948" i="2" l="1"/>
  <c r="D1951" i="2"/>
  <c r="D1953" i="2"/>
  <c r="E1950" i="2"/>
  <c r="E1949" i="2"/>
  <c r="D1952" i="2"/>
  <c r="E1953" i="2" l="1"/>
  <c r="D1956" i="2"/>
  <c r="E1951" i="2"/>
  <c r="D1954" i="2"/>
  <c r="E1952" i="2"/>
  <c r="D1955" i="2"/>
  <c r="D1957" i="2" l="1"/>
  <c r="E1954" i="2"/>
  <c r="E1956" i="2"/>
  <c r="D1959" i="2"/>
  <c r="E1955" i="2"/>
  <c r="D1958" i="2"/>
  <c r="D1961" i="2" l="1"/>
  <c r="E1958" i="2"/>
  <c r="E1959" i="2"/>
  <c r="D1962" i="2"/>
  <c r="E1957" i="2"/>
  <c r="D1960" i="2"/>
  <c r="E1960" i="2" l="1"/>
  <c r="D1963" i="2"/>
  <c r="D1965" i="2"/>
  <c r="E1962" i="2"/>
  <c r="E1961" i="2"/>
  <c r="D1964" i="2"/>
  <c r="E1964" i="2" l="1"/>
  <c r="D1967" i="2"/>
  <c r="E1965" i="2"/>
  <c r="D1968" i="2"/>
  <c r="E1963" i="2"/>
  <c r="D1966" i="2"/>
  <c r="E1968" i="2" l="1"/>
  <c r="D1971" i="2"/>
  <c r="E1967" i="2"/>
  <c r="D1970" i="2"/>
  <c r="D1969" i="2"/>
  <c r="E1966" i="2"/>
  <c r="E1969" i="2" l="1"/>
  <c r="D1972" i="2"/>
  <c r="D1973" i="2"/>
  <c r="E1970" i="2"/>
  <c r="E1971" i="2"/>
  <c r="D1974" i="2"/>
  <c r="E1973" i="2" l="1"/>
  <c r="D1976" i="2"/>
  <c r="E1972" i="2"/>
  <c r="D1975" i="2"/>
  <c r="D1977" i="2"/>
  <c r="E1974" i="2"/>
  <c r="E1977" i="2" l="1"/>
  <c r="D1980" i="2"/>
  <c r="E1975" i="2"/>
  <c r="D1978" i="2"/>
  <c r="E1976" i="2"/>
  <c r="D1979" i="2"/>
  <c r="D1981" i="2" l="1"/>
  <c r="E1978" i="2"/>
  <c r="E1980" i="2"/>
  <c r="D1983" i="2"/>
  <c r="E1979" i="2"/>
  <c r="D1982" i="2"/>
  <c r="E1983" i="2" l="1"/>
  <c r="D1986" i="2"/>
  <c r="D1985" i="2"/>
  <c r="E1982" i="2"/>
  <c r="E1981" i="2"/>
  <c r="D1984" i="2"/>
  <c r="E1985" i="2" l="1"/>
  <c r="D1988" i="2"/>
  <c r="D1989" i="2"/>
  <c r="E1986" i="2"/>
  <c r="E1984" i="2"/>
  <c r="D1987" i="2"/>
  <c r="E1989" i="2" l="1"/>
  <c r="D1992" i="2"/>
  <c r="E1988" i="2"/>
  <c r="D1991" i="2"/>
  <c r="E1987" i="2"/>
  <c r="D1990" i="2"/>
  <c r="E1991" i="2" l="1"/>
  <c r="D1994" i="2"/>
  <c r="E1992" i="2"/>
  <c r="D1995" i="2"/>
  <c r="D1993" i="2"/>
  <c r="E1990" i="2"/>
  <c r="E1993" i="2" l="1"/>
  <c r="D1996" i="2"/>
  <c r="D1997" i="2"/>
  <c r="E1994" i="2"/>
  <c r="E1995" i="2"/>
  <c r="D1998" i="2"/>
  <c r="E1997" i="2" l="1"/>
  <c r="D2000" i="2"/>
  <c r="E1996" i="2"/>
  <c r="D1999" i="2"/>
  <c r="D2001" i="2"/>
  <c r="E1998" i="2"/>
  <c r="E2001" i="2" l="1"/>
  <c r="D2004" i="2"/>
  <c r="E1999" i="2"/>
  <c r="D2002" i="2"/>
  <c r="E2000" i="2"/>
  <c r="D2003" i="2"/>
  <c r="D2005" i="2" l="1"/>
  <c r="E2002" i="2"/>
  <c r="E2004" i="2"/>
  <c r="D2007" i="2"/>
  <c r="E2003" i="2"/>
  <c r="D2006" i="2"/>
  <c r="D2009" i="2" l="1"/>
  <c r="E2006" i="2"/>
  <c r="E2007" i="2"/>
  <c r="D2010" i="2"/>
  <c r="E2005" i="2"/>
  <c r="D2008" i="2"/>
  <c r="E2008" i="2" l="1"/>
  <c r="D2011" i="2"/>
  <c r="D2013" i="2"/>
  <c r="E2010" i="2"/>
  <c r="E2009" i="2"/>
  <c r="D2012" i="2"/>
  <c r="E2013" i="2" l="1"/>
  <c r="D2016" i="2"/>
  <c r="E2011" i="2"/>
  <c r="D2014" i="2"/>
  <c r="E2012" i="2"/>
  <c r="D2015" i="2"/>
  <c r="E2015" i="2" l="1"/>
  <c r="D2018" i="2"/>
  <c r="D2017" i="2"/>
  <c r="E2014" i="2"/>
  <c r="E2016" i="2"/>
  <c r="D2019" i="2"/>
  <c r="E2017" i="2" l="1"/>
  <c r="D2020" i="2"/>
  <c r="D2021" i="2"/>
  <c r="E2018" i="2"/>
  <c r="E2019" i="2"/>
  <c r="D2022" i="2"/>
  <c r="E2021" i="2" l="1"/>
  <c r="D2024" i="2"/>
  <c r="E2020" i="2"/>
  <c r="D2023" i="2"/>
  <c r="D2025" i="2"/>
  <c r="E2022" i="2"/>
  <c r="D2028" i="2" l="1"/>
  <c r="E2025" i="2"/>
  <c r="D2026" i="2"/>
  <c r="E2023" i="2"/>
  <c r="D2027" i="2"/>
  <c r="E2024" i="2"/>
  <c r="E2027" i="2" l="1"/>
  <c r="D2030" i="2"/>
  <c r="E2026" i="2"/>
  <c r="D2029" i="2"/>
  <c r="E2028" i="2"/>
  <c r="D2031" i="2"/>
  <c r="D2032" i="2" l="1"/>
  <c r="E2029" i="2"/>
  <c r="E2030" i="2"/>
  <c r="D2033" i="2"/>
  <c r="E2031" i="2"/>
  <c r="D2034" i="2"/>
  <c r="E2034" i="2" l="1"/>
  <c r="D2037" i="2"/>
  <c r="D2036" i="2"/>
  <c r="E2033" i="2"/>
  <c r="E2032" i="2"/>
  <c r="D2035" i="2"/>
  <c r="E2035" i="2" l="1"/>
  <c r="D2038" i="2"/>
  <c r="E2036" i="2"/>
  <c r="D2039" i="2"/>
  <c r="D2040" i="2"/>
  <c r="E2037" i="2"/>
  <c r="E2040" i="2" l="1"/>
  <c r="D2043" i="2"/>
  <c r="E2039" i="2"/>
  <c r="D2042" i="2"/>
  <c r="E2038" i="2"/>
  <c r="D2041" i="2"/>
  <c r="E2042" i="2" l="1"/>
  <c r="D2045" i="2"/>
  <c r="E2043" i="2"/>
  <c r="D2046" i="2"/>
  <c r="D2044" i="2"/>
  <c r="E2041" i="2"/>
  <c r="E2044" i="2" l="1"/>
  <c r="D2047" i="2"/>
  <c r="E2046" i="2"/>
  <c r="D2049" i="2"/>
  <c r="D2048" i="2"/>
  <c r="E2045" i="2"/>
  <c r="E2048" i="2" l="1"/>
  <c r="D2051" i="2"/>
  <c r="D2052" i="2"/>
  <c r="E2049" i="2"/>
  <c r="E2047" i="2"/>
  <c r="D2050" i="2"/>
  <c r="E2052" i="2" l="1"/>
  <c r="D2055" i="2"/>
  <c r="E2051" i="2"/>
  <c r="D2054" i="2"/>
  <c r="E2050" i="2"/>
  <c r="D2053" i="2"/>
  <c r="E2054" i="2" l="1"/>
  <c r="D2057" i="2"/>
  <c r="E2055" i="2"/>
  <c r="D2058" i="2"/>
  <c r="D2056" i="2"/>
  <c r="E2053" i="2"/>
  <c r="E2056" i="2" l="1"/>
  <c r="D2059" i="2"/>
  <c r="E2058" i="2"/>
  <c r="D2061" i="2"/>
  <c r="D2060" i="2"/>
  <c r="E2057" i="2"/>
  <c r="D2064" i="2" l="1"/>
  <c r="E2061" i="2"/>
  <c r="E2059" i="2"/>
  <c r="D2062" i="2"/>
  <c r="E2060" i="2"/>
  <c r="D2063" i="2"/>
  <c r="E2063" i="2" l="1"/>
  <c r="D2066" i="2"/>
  <c r="E2062" i="2"/>
  <c r="D2065" i="2"/>
  <c r="E2064" i="2"/>
  <c r="D2067" i="2"/>
  <c r="E2067" i="2" l="1"/>
  <c r="D2070" i="2"/>
  <c r="D2068" i="2"/>
  <c r="E2065" i="2"/>
  <c r="E2066" i="2"/>
  <c r="D2069" i="2"/>
  <c r="E2068" i="2" l="1"/>
  <c r="D2071" i="2"/>
  <c r="E2070" i="2"/>
  <c r="D2073" i="2"/>
  <c r="D2072" i="2"/>
  <c r="E2069" i="2"/>
  <c r="D2076" i="2" l="1"/>
  <c r="E2073" i="2"/>
  <c r="E2071" i="2"/>
  <c r="D2074" i="2"/>
  <c r="E2072" i="2"/>
  <c r="D2075" i="2"/>
  <c r="E2074" i="2" l="1"/>
  <c r="D2077" i="2"/>
  <c r="E2075" i="2"/>
  <c r="D2078" i="2"/>
  <c r="E2076" i="2"/>
  <c r="D2079" i="2"/>
  <c r="E2079" i="2" l="1"/>
  <c r="D2082" i="2"/>
  <c r="E2078" i="2"/>
  <c r="D2081" i="2"/>
  <c r="D2080" i="2"/>
  <c r="E2077" i="2"/>
  <c r="D2084" i="2" l="1"/>
  <c r="E2081" i="2"/>
  <c r="E2082" i="2"/>
  <c r="D2085" i="2"/>
  <c r="E2080" i="2"/>
  <c r="D2083" i="2"/>
  <c r="D2088" i="2" l="1"/>
  <c r="E2085" i="2"/>
  <c r="E2083" i="2"/>
  <c r="D2086" i="2"/>
  <c r="E2084" i="2"/>
  <c r="D2087" i="2"/>
  <c r="E2086" i="2" l="1"/>
  <c r="D2089" i="2"/>
  <c r="E2087" i="2"/>
  <c r="D2090" i="2"/>
  <c r="E2088" i="2"/>
  <c r="D2091" i="2"/>
  <c r="E2091" i="2" l="1"/>
  <c r="D2094" i="2"/>
  <c r="E2090" i="2"/>
  <c r="D2093" i="2"/>
  <c r="D2092" i="2"/>
  <c r="E2089" i="2"/>
  <c r="D2096" i="2" l="1"/>
  <c r="E2093" i="2"/>
  <c r="E2094" i="2"/>
  <c r="D2097" i="2"/>
  <c r="E2092" i="2"/>
  <c r="D2095" i="2"/>
  <c r="D2100" i="2" l="1"/>
  <c r="E2097" i="2"/>
  <c r="E2095" i="2"/>
  <c r="D2098" i="2"/>
  <c r="E2096" i="2"/>
  <c r="D2099" i="2"/>
  <c r="E2098" i="2" l="1"/>
  <c r="D2101" i="2"/>
  <c r="E2099" i="2"/>
  <c r="D2102" i="2"/>
  <c r="E2100" i="2"/>
  <c r="D2103" i="2"/>
  <c r="E2103" i="2" l="1"/>
  <c r="D2106" i="2"/>
  <c r="E2102" i="2"/>
  <c r="D2105" i="2"/>
  <c r="D2104" i="2"/>
  <c r="E2101" i="2"/>
  <c r="E2104" i="2" l="1"/>
  <c r="D2107" i="2"/>
  <c r="D2108" i="2"/>
  <c r="E2105" i="2"/>
  <c r="E2106" i="2"/>
  <c r="D2109" i="2"/>
  <c r="E2108" i="2" l="1"/>
  <c r="D2111" i="2"/>
  <c r="E2107" i="2"/>
  <c r="D2110" i="2"/>
  <c r="D2112" i="2"/>
  <c r="E2109" i="2"/>
  <c r="E2110" i="2" l="1"/>
  <c r="D2113" i="2"/>
  <c r="E2111" i="2"/>
  <c r="D2114" i="2"/>
  <c r="E2112" i="2"/>
  <c r="D2115" i="2"/>
  <c r="E2115" i="2" l="1"/>
  <c r="D2118" i="2"/>
  <c r="E2114" i="2"/>
  <c r="D2117" i="2"/>
  <c r="D2116" i="2"/>
  <c r="E2113" i="2"/>
  <c r="E2116" i="2" l="1"/>
  <c r="D2119" i="2"/>
  <c r="D2120" i="2"/>
  <c r="E2117" i="2"/>
  <c r="E2118" i="2"/>
  <c r="D2121" i="2"/>
  <c r="E2120" i="2" l="1"/>
  <c r="D2123" i="2"/>
  <c r="E2119" i="2"/>
  <c r="D2122" i="2"/>
  <c r="D2124" i="2"/>
  <c r="E2121" i="2"/>
  <c r="E2122" i="2" l="1"/>
  <c r="D2125" i="2"/>
  <c r="E2123" i="2"/>
  <c r="D2126" i="2"/>
  <c r="E2124" i="2"/>
  <c r="D2127" i="2"/>
  <c r="E2127" i="2" l="1"/>
  <c r="D2130" i="2"/>
  <c r="D2128" i="2"/>
  <c r="E2125" i="2"/>
  <c r="E2126" i="2"/>
  <c r="D2129" i="2"/>
  <c r="E2128" i="2" l="1"/>
  <c r="D2131" i="2"/>
  <c r="E2130" i="2"/>
  <c r="D2133" i="2"/>
  <c r="D2132" i="2"/>
  <c r="E2129" i="2"/>
  <c r="D2136" i="2" l="1"/>
  <c r="E2133" i="2"/>
  <c r="E2131" i="2"/>
  <c r="D2134" i="2"/>
  <c r="E2132" i="2"/>
  <c r="D2135" i="2"/>
  <c r="E2134" i="2" l="1"/>
  <c r="D2137" i="2"/>
  <c r="E2135" i="2"/>
  <c r="D2138" i="2"/>
  <c r="E2136" i="2"/>
  <c r="D2139" i="2"/>
  <c r="E2139" i="2" l="1"/>
  <c r="D2142" i="2"/>
  <c r="E2138" i="2"/>
  <c r="D2141" i="2"/>
  <c r="D2140" i="2"/>
  <c r="E2137" i="2"/>
  <c r="E2140" i="2" l="1"/>
  <c r="D2143" i="2"/>
  <c r="D2144" i="2"/>
  <c r="E2141" i="2"/>
  <c r="E2142" i="2"/>
  <c r="D2145" i="2"/>
  <c r="E2144" i="2" l="1"/>
  <c r="D2147" i="2"/>
  <c r="E2143" i="2"/>
  <c r="D2146" i="2"/>
  <c r="D2148" i="2"/>
  <c r="E2145" i="2"/>
  <c r="E2148" i="2" l="1"/>
  <c r="D2151" i="2"/>
  <c r="E2146" i="2"/>
  <c r="D2149" i="2"/>
  <c r="E2147" i="2"/>
  <c r="D2150" i="2"/>
  <c r="D2152" i="2" l="1"/>
  <c r="E2149" i="2"/>
  <c r="E2151" i="2"/>
  <c r="D2154" i="2"/>
  <c r="E2150" i="2"/>
  <c r="D2153" i="2"/>
  <c r="E2154" i="2" l="1"/>
  <c r="D2157" i="2"/>
  <c r="D2156" i="2"/>
  <c r="E2153" i="2"/>
  <c r="E2152" i="2"/>
  <c r="D2155" i="2"/>
  <c r="E2155" i="2" l="1"/>
  <c r="D2158" i="2"/>
  <c r="E2156" i="2"/>
  <c r="D2159" i="2"/>
  <c r="D2160" i="2"/>
  <c r="E2157" i="2"/>
  <c r="E2160" i="2" l="1"/>
  <c r="D2163" i="2"/>
  <c r="E2159" i="2"/>
  <c r="D2162" i="2"/>
  <c r="E2158" i="2"/>
  <c r="D2161" i="2"/>
  <c r="D2164" i="2" l="1"/>
  <c r="E2161" i="2"/>
  <c r="E2162" i="2"/>
  <c r="D2165" i="2"/>
  <c r="E2163" i="2"/>
  <c r="D2166" i="2"/>
  <c r="E2166" i="2" l="1"/>
  <c r="D2169" i="2"/>
  <c r="D2168" i="2"/>
  <c r="E2165" i="2"/>
  <c r="E2164" i="2"/>
  <c r="D2167" i="2"/>
  <c r="E2167" i="2" l="1"/>
  <c r="D2170" i="2"/>
  <c r="E2168" i="2"/>
  <c r="D2171" i="2"/>
  <c r="D2172" i="2"/>
  <c r="E2169" i="2"/>
  <c r="E2172" i="2" l="1"/>
  <c r="D2175" i="2"/>
  <c r="E2171" i="2"/>
  <c r="D2174" i="2"/>
  <c r="E2170" i="2"/>
  <c r="D2173" i="2"/>
  <c r="E2174" i="2" l="1"/>
  <c r="D2177" i="2"/>
  <c r="E2175" i="2"/>
  <c r="D2178" i="2"/>
  <c r="D2176" i="2"/>
  <c r="E2173" i="2"/>
  <c r="E2176" i="2" l="1"/>
  <c r="D2179" i="2"/>
  <c r="E2178" i="2"/>
  <c r="D2181" i="2"/>
  <c r="D2180" i="2"/>
  <c r="E2177" i="2"/>
  <c r="E2180" i="2" l="1"/>
  <c r="D2183" i="2"/>
  <c r="D2184" i="2"/>
  <c r="E2181" i="2"/>
  <c r="E2179" i="2"/>
  <c r="D2182" i="2"/>
  <c r="E2182" i="2" l="1"/>
  <c r="D2185" i="2"/>
  <c r="E2184" i="2"/>
  <c r="D2187" i="2"/>
  <c r="E2183" i="2"/>
  <c r="D2186" i="2"/>
  <c r="D2188" i="2" l="1"/>
  <c r="E2185" i="2"/>
  <c r="E2186" i="2"/>
  <c r="D2189" i="2"/>
  <c r="E2187" i="2"/>
  <c r="D2190" i="2"/>
  <c r="E2190" i="2" l="1"/>
  <c r="D2193" i="2"/>
  <c r="D2192" i="2"/>
  <c r="E2189" i="2"/>
  <c r="E2188" i="2"/>
  <c r="D2191" i="2"/>
  <c r="E2192" i="2" l="1"/>
  <c r="D2195" i="2"/>
  <c r="D2196" i="2"/>
  <c r="E2193" i="2"/>
  <c r="E2191" i="2"/>
  <c r="D2194" i="2"/>
  <c r="E2194" i="2" l="1"/>
  <c r="D2197" i="2"/>
  <c r="E2196" i="2"/>
  <c r="D2199" i="2"/>
  <c r="E2195" i="2"/>
  <c r="D2198" i="2"/>
  <c r="E2198" i="2" l="1"/>
  <c r="D2201" i="2"/>
  <c r="E2199" i="2"/>
  <c r="D2202" i="2"/>
  <c r="D2200" i="2"/>
  <c r="E2197" i="2"/>
  <c r="E2200" i="2" l="1"/>
  <c r="D2203" i="2"/>
  <c r="D2204" i="2"/>
  <c r="E2201" i="2"/>
  <c r="E2202" i="2"/>
  <c r="D2205" i="2"/>
  <c r="D2208" i="2" l="1"/>
  <c r="E2205" i="2"/>
  <c r="E2204" i="2"/>
  <c r="D2207" i="2"/>
  <c r="E2203" i="2"/>
  <c r="D2206" i="2"/>
  <c r="E2206" i="2" l="1"/>
  <c r="D2209" i="2"/>
  <c r="E2207" i="2"/>
  <c r="D2210" i="2"/>
  <c r="E2208" i="2"/>
  <c r="D2211" i="2"/>
  <c r="D2212" i="2" l="1"/>
  <c r="E2209" i="2"/>
  <c r="E2211" i="2"/>
  <c r="D2214" i="2"/>
  <c r="E2210" i="2"/>
  <c r="D2213" i="2"/>
  <c r="D2216" i="2" l="1"/>
  <c r="E2213" i="2"/>
  <c r="E2214" i="2"/>
  <c r="D2217" i="2"/>
  <c r="E2212" i="2"/>
  <c r="D2215" i="2"/>
  <c r="E2215" i="2" l="1"/>
  <c r="D2218" i="2"/>
  <c r="D2220" i="2"/>
  <c r="E2217" i="2"/>
  <c r="E2216" i="2"/>
  <c r="D2219" i="2"/>
  <c r="E2219" i="2" l="1"/>
  <c r="D2222" i="2"/>
  <c r="E2220" i="2"/>
  <c r="D2223" i="2"/>
  <c r="E2218" i="2"/>
  <c r="D2221" i="2"/>
  <c r="D2224" i="2" l="1"/>
  <c r="E2221" i="2"/>
  <c r="E2223" i="2"/>
  <c r="D2226" i="2"/>
  <c r="E2222" i="2"/>
  <c r="D2225" i="2"/>
  <c r="E2226" i="2" l="1"/>
  <c r="D2229" i="2"/>
  <c r="D2228" i="2"/>
  <c r="E2225" i="2"/>
  <c r="E2224" i="2"/>
  <c r="D2227" i="2"/>
  <c r="E2227" i="2" l="1"/>
  <c r="D2230" i="2"/>
  <c r="E2228" i="2"/>
  <c r="D2231" i="2"/>
  <c r="D2232" i="2"/>
  <c r="E2229" i="2"/>
  <c r="E2232" i="2" l="1"/>
  <c r="D2235" i="2"/>
  <c r="E2231" i="2"/>
  <c r="D2234" i="2"/>
  <c r="E2230" i="2"/>
  <c r="D2233" i="2"/>
  <c r="E2234" i="2" l="1"/>
  <c r="D2237" i="2"/>
  <c r="E2235" i="2"/>
  <c r="D2238" i="2"/>
  <c r="D2236" i="2"/>
  <c r="E2233" i="2"/>
  <c r="E2236" i="2" l="1"/>
  <c r="D2239" i="2"/>
  <c r="E2238" i="2"/>
  <c r="D2241" i="2"/>
  <c r="D2240" i="2"/>
  <c r="E2237" i="2"/>
  <c r="E2240" i="2" l="1"/>
  <c r="D2243" i="2"/>
  <c r="D2244" i="2"/>
  <c r="E2241" i="2"/>
  <c r="E2239" i="2"/>
  <c r="D2242" i="2"/>
  <c r="E2242" i="2" l="1"/>
  <c r="D2245" i="2"/>
  <c r="E2244" i="2"/>
  <c r="D2247" i="2"/>
  <c r="E2243" i="2"/>
  <c r="D2246" i="2"/>
  <c r="E2246" i="2" l="1"/>
  <c r="D2249" i="2"/>
  <c r="E2247" i="2"/>
  <c r="D2250" i="2"/>
  <c r="D2248" i="2"/>
  <c r="E2245" i="2"/>
  <c r="E2248" i="2" l="1"/>
  <c r="D2251" i="2"/>
  <c r="E2250" i="2"/>
  <c r="D2253" i="2"/>
  <c r="D2252" i="2"/>
  <c r="E2249" i="2"/>
  <c r="E2252" i="2" l="1"/>
  <c r="D2255" i="2"/>
  <c r="D2256" i="2"/>
  <c r="E2253" i="2"/>
  <c r="E2251" i="2"/>
  <c r="D2254" i="2"/>
  <c r="E2256" i="2" l="1"/>
  <c r="D2259" i="2"/>
  <c r="E2255" i="2"/>
  <c r="D2258" i="2"/>
  <c r="E2254" i="2"/>
  <c r="D2257" i="2"/>
  <c r="E2258" i="2" l="1"/>
  <c r="D2261" i="2"/>
  <c r="E2259" i="2"/>
  <c r="D2262" i="2"/>
  <c r="D2260" i="2"/>
  <c r="E2257" i="2"/>
  <c r="E2260" i="2" l="1"/>
  <c r="D2263" i="2"/>
  <c r="E2262" i="2"/>
  <c r="D2265" i="2"/>
  <c r="D2264" i="2"/>
  <c r="E2261" i="2"/>
  <c r="E2264" i="2" l="1"/>
  <c r="D2267" i="2"/>
  <c r="D2268" i="2"/>
  <c r="E2265" i="2"/>
  <c r="E2263" i="2"/>
  <c r="D2266" i="2"/>
  <c r="E2268" i="2" l="1"/>
  <c r="D2271" i="2"/>
  <c r="E2267" i="2"/>
  <c r="D2270" i="2"/>
  <c r="E2266" i="2"/>
  <c r="D2269" i="2"/>
  <c r="D2272" i="2" l="1"/>
  <c r="E2269" i="2"/>
  <c r="E2270" i="2"/>
  <c r="D2273" i="2"/>
  <c r="E2271" i="2"/>
  <c r="D2274" i="2"/>
  <c r="D2276" i="2" l="1"/>
  <c r="E2273" i="2"/>
  <c r="E2274" i="2"/>
  <c r="D2277" i="2"/>
  <c r="E2272" i="2"/>
  <c r="D2275" i="2"/>
  <c r="E2275" i="2" l="1"/>
  <c r="D2278" i="2"/>
  <c r="D2280" i="2"/>
  <c r="E2277" i="2"/>
  <c r="E2276" i="2"/>
  <c r="D2279" i="2"/>
  <c r="E2279" i="2" l="1"/>
  <c r="D2282" i="2"/>
  <c r="E2280" i="2"/>
  <c r="D2283" i="2"/>
  <c r="E2278" i="2"/>
  <c r="D2281" i="2"/>
  <c r="D2284" i="2" l="1"/>
  <c r="E2281" i="2"/>
  <c r="E2283" i="2"/>
  <c r="D2286" i="2"/>
  <c r="E2282" i="2"/>
  <c r="D2285" i="2"/>
  <c r="E2286" i="2" l="1"/>
  <c r="D2289" i="2"/>
  <c r="D2288" i="2"/>
  <c r="E2285" i="2"/>
  <c r="E2284" i="2"/>
  <c r="D2287" i="2"/>
  <c r="E2288" i="2" l="1"/>
  <c r="D2291" i="2"/>
  <c r="D2292" i="2"/>
  <c r="E2289" i="2"/>
  <c r="E2287" i="2"/>
  <c r="D2290" i="2"/>
  <c r="E2292" i="2" l="1"/>
  <c r="D2295" i="2"/>
  <c r="E2291" i="2"/>
  <c r="D2294" i="2"/>
  <c r="E2290" i="2"/>
  <c r="D2293" i="2"/>
  <c r="D2296" i="2" l="1"/>
  <c r="E2293" i="2"/>
  <c r="E2294" i="2"/>
  <c r="D2297" i="2"/>
  <c r="E2295" i="2"/>
  <c r="D2298" i="2"/>
  <c r="D2300" i="2" l="1"/>
  <c r="E2297" i="2"/>
  <c r="E2298" i="2"/>
  <c r="D2301" i="2"/>
  <c r="E2296" i="2"/>
  <c r="D2299" i="2"/>
  <c r="E2299" i="2" l="1"/>
  <c r="D2302" i="2"/>
  <c r="D2304" i="2"/>
  <c r="E2301" i="2"/>
  <c r="E2300" i="2"/>
  <c r="D2303" i="2"/>
  <c r="E2304" i="2" l="1"/>
  <c r="D2307" i="2"/>
  <c r="E2302" i="2"/>
  <c r="D2305" i="2"/>
  <c r="E2303" i="2"/>
  <c r="D2306" i="2"/>
  <c r="E2306" i="2" l="1"/>
  <c r="D2309" i="2"/>
  <c r="D2308" i="2"/>
  <c r="E2305" i="2"/>
  <c r="E2307" i="2"/>
  <c r="D2310" i="2"/>
  <c r="E2308" i="2" l="1"/>
  <c r="D2311" i="2"/>
  <c r="D2312" i="2"/>
  <c r="E2309" i="2"/>
  <c r="E2310" i="2"/>
  <c r="D2313" i="2"/>
  <c r="D2316" i="2" l="1"/>
  <c r="E2313" i="2"/>
  <c r="E2312" i="2"/>
  <c r="D2315" i="2"/>
  <c r="E2311" i="2"/>
  <c r="D2314" i="2"/>
  <c r="E2314" i="2" l="1"/>
  <c r="D2317" i="2"/>
  <c r="E2315" i="2"/>
  <c r="D2318" i="2"/>
  <c r="E2316" i="2"/>
  <c r="D2319" i="2"/>
  <c r="E2319" i="2" l="1"/>
  <c r="D2322" i="2"/>
  <c r="D2320" i="2"/>
  <c r="E2317" i="2"/>
  <c r="E2318" i="2"/>
  <c r="D2321" i="2"/>
  <c r="E2320" i="2" l="1"/>
  <c r="D2323" i="2"/>
  <c r="E2322" i="2"/>
  <c r="D2325" i="2"/>
  <c r="D2324" i="2"/>
  <c r="E2321" i="2"/>
  <c r="D2328" i="2" l="1"/>
  <c r="E2325" i="2"/>
  <c r="E2323" i="2"/>
  <c r="D2326" i="2"/>
  <c r="E2324" i="2"/>
  <c r="D2327" i="2"/>
  <c r="E2326" i="2" l="1"/>
  <c r="D2329" i="2"/>
  <c r="E2327" i="2"/>
  <c r="D2330" i="2"/>
  <c r="E2328" i="2"/>
  <c r="D2331" i="2"/>
  <c r="E2331" i="2" l="1"/>
  <c r="D2334" i="2"/>
  <c r="E2330" i="2"/>
  <c r="D2333" i="2"/>
  <c r="D2332" i="2"/>
  <c r="E2329" i="2"/>
  <c r="E2332" i="2" l="1"/>
  <c r="D2335" i="2"/>
  <c r="D2336" i="2"/>
  <c r="E2333" i="2"/>
  <c r="E2334" i="2"/>
  <c r="D2337" i="2"/>
  <c r="E2336" i="2" l="1"/>
  <c r="D2339" i="2"/>
  <c r="E2335" i="2"/>
  <c r="D2338" i="2"/>
  <c r="D2340" i="2"/>
  <c r="E2337" i="2"/>
  <c r="E2338" i="2" l="1"/>
  <c r="D2341" i="2"/>
  <c r="E2339" i="2"/>
  <c r="D2342" i="2"/>
  <c r="E2340" i="2"/>
  <c r="D2343" i="2"/>
  <c r="E2343" i="2" l="1"/>
  <c r="D2346" i="2"/>
  <c r="E2342" i="2"/>
  <c r="D2345" i="2"/>
  <c r="D2344" i="2"/>
  <c r="E2341" i="2"/>
  <c r="E2344" i="2" l="1"/>
  <c r="D2347" i="2"/>
  <c r="D2348" i="2"/>
  <c r="E2345" i="2"/>
  <c r="E2346" i="2"/>
  <c r="D2349" i="2"/>
  <c r="E2348" i="2" l="1"/>
  <c r="D2351" i="2"/>
  <c r="E2347" i="2"/>
  <c r="D2350" i="2"/>
  <c r="D2352" i="2"/>
  <c r="E2349" i="2"/>
  <c r="E2350" i="2" l="1"/>
  <c r="D2353" i="2"/>
  <c r="E2351" i="2"/>
  <c r="D2354" i="2"/>
  <c r="E2352" i="2"/>
  <c r="D2355" i="2"/>
  <c r="E2355" i="2" l="1"/>
  <c r="D2358" i="2"/>
  <c r="E2354" i="2"/>
  <c r="D2357" i="2"/>
  <c r="D2356" i="2"/>
  <c r="E2353" i="2"/>
  <c r="E2356" i="2" l="1"/>
  <c r="D2359" i="2"/>
  <c r="D2360" i="2"/>
  <c r="E2357" i="2"/>
  <c r="E2358" i="2"/>
  <c r="D2361" i="2"/>
  <c r="E2360" i="2" l="1"/>
  <c r="D2363" i="2"/>
  <c r="E2363" i="2" s="1"/>
  <c r="E2359" i="2"/>
  <c r="D2362" i="2"/>
  <c r="E2362" i="2" s="1"/>
  <c r="D2364" i="2"/>
  <c r="E2364" i="2" s="1"/>
  <c r="E2361" i="2"/>
</calcChain>
</file>

<file path=xl/sharedStrings.xml><?xml version="1.0" encoding="utf-8"?>
<sst xmlns="http://schemas.openxmlformats.org/spreadsheetml/2006/main" count="5789" uniqueCount="604">
  <si>
    <t>Subestaciones</t>
  </si>
  <si>
    <t>Año</t>
  </si>
  <si>
    <t>Cortocircuito
1F (kA)</t>
  </si>
  <si>
    <t>Cortocircuito
3F (kA)</t>
  </si>
  <si>
    <t>Capacidad
de
interrupción
(kA)</t>
  </si>
  <si>
    <t xml:space="preserve">Latitud </t>
  </si>
  <si>
    <t>Longitud</t>
  </si>
  <si>
    <t>Porcentaje Cortocircuito</t>
  </si>
  <si>
    <t>Estado porcentaje cortocircuito</t>
  </si>
  <si>
    <t>SCRIF</t>
  </si>
  <si>
    <t>Estado SCRIF</t>
  </si>
  <si>
    <t>Amaga 110</t>
  </si>
  <si>
    <t>1/01/2026</t>
  </si>
  <si>
    <t>&gt;5</t>
  </si>
  <si>
    <t>1/01/2030</t>
  </si>
  <si>
    <t>1/01/2037</t>
  </si>
  <si>
    <t>Amalfi 110</t>
  </si>
  <si>
    <t>Ancon EPM 110</t>
  </si>
  <si>
    <t>Ancon EPM 220</t>
  </si>
  <si>
    <t>Ancon ISA 220</t>
  </si>
  <si>
    <t>Antioquia 110</t>
  </si>
  <si>
    <t>Antioquia 500</t>
  </si>
  <si>
    <t>Ayura 110</t>
  </si>
  <si>
    <t>Barbosa 110</t>
  </si>
  <si>
    <t>Barbosa 220</t>
  </si>
  <si>
    <t>Barroso 110</t>
  </si>
  <si>
    <t>Belen (Antioquia) 110</t>
  </si>
  <si>
    <t>Bello 110</t>
  </si>
  <si>
    <t>Bello 220</t>
  </si>
  <si>
    <t>Bolombolo 110</t>
  </si>
  <si>
    <t>Cabañas 110</t>
  </si>
  <si>
    <t>Caldas 110</t>
  </si>
  <si>
    <t>Calderas 110</t>
  </si>
  <si>
    <t>Calizas 110</t>
  </si>
  <si>
    <t>Carrieles 110</t>
  </si>
  <si>
    <t>Carrieles 220</t>
  </si>
  <si>
    <t>Castilla 110</t>
  </si>
  <si>
    <t>Caucheras 110</t>
  </si>
  <si>
    <t>Central 110</t>
  </si>
  <si>
    <t>Certegui 115</t>
  </si>
  <si>
    <t>Chorodo 110</t>
  </si>
  <si>
    <t>Cocorna 110</t>
  </si>
  <si>
    <t>Colombia 110</t>
  </si>
  <si>
    <t>Cordova (Antioquia) 110</t>
  </si>
  <si>
    <t>Cruzada 110</t>
  </si>
  <si>
    <t>El Salto (EPM) 110</t>
  </si>
  <si>
    <t>El Salto 220</t>
  </si>
  <si>
    <t>El Siete 115</t>
  </si>
  <si>
    <t>El Tecal 110 kV</t>
  </si>
  <si>
    <t>Envigado 110</t>
  </si>
  <si>
    <t>Envigado 220</t>
  </si>
  <si>
    <t>Girardota 110</t>
  </si>
  <si>
    <t>Guadalupe 220</t>
  </si>
  <si>
    <t>Guatape 110</t>
  </si>
  <si>
    <t>Guatape 220</t>
  </si>
  <si>
    <t>Guayabal 110</t>
  </si>
  <si>
    <t>Guayabal 220</t>
  </si>
  <si>
    <t>Guárcama 110</t>
  </si>
  <si>
    <t>Heliconia 220</t>
  </si>
  <si>
    <t>Heliconia 500</t>
  </si>
  <si>
    <t>Hispania 110</t>
  </si>
  <si>
    <t>Horizonte 110</t>
  </si>
  <si>
    <t>Industriales 110</t>
  </si>
  <si>
    <t>Istmina 115</t>
  </si>
  <si>
    <t>Itagui 110</t>
  </si>
  <si>
    <t>Jaguas 220</t>
  </si>
  <si>
    <t>La Ceja 110</t>
  </si>
  <si>
    <t>La Sierra 110</t>
  </si>
  <si>
    <t>La Sierra 220</t>
  </si>
  <si>
    <t>La Tasajera 220</t>
  </si>
  <si>
    <t>Malena 220</t>
  </si>
  <si>
    <t>Miraflores 110</t>
  </si>
  <si>
    <t>Miraflores 220</t>
  </si>
  <si>
    <t>Moriche 110</t>
  </si>
  <si>
    <t>Nva SRosa 110</t>
  </si>
  <si>
    <t>Occidente 110</t>
  </si>
  <si>
    <t>Occidente 220</t>
  </si>
  <si>
    <t>Oriente 110</t>
  </si>
  <si>
    <t>Oriente 220</t>
  </si>
  <si>
    <t>P Blancas 110</t>
  </si>
  <si>
    <t>Playas 110</t>
  </si>
  <si>
    <t>Playas 220</t>
  </si>
  <si>
    <t>Poblado 110</t>
  </si>
  <si>
    <t>Porce 110</t>
  </si>
  <si>
    <t>Porce 220</t>
  </si>
  <si>
    <t>Porce III 500</t>
  </si>
  <si>
    <t>Primavera 220</t>
  </si>
  <si>
    <t>Primavera 500</t>
  </si>
  <si>
    <t>Pto Boyaca 110</t>
  </si>
  <si>
    <t>Pto Inmarco 110</t>
  </si>
  <si>
    <t>Pto Nare 110</t>
  </si>
  <si>
    <t>Purnio 220</t>
  </si>
  <si>
    <t>Quibdo 115</t>
  </si>
  <si>
    <t>Rio Claro 110</t>
  </si>
  <si>
    <t>Riogrande 110</t>
  </si>
  <si>
    <t>Rionegro 110</t>
  </si>
  <si>
    <t>Rodeo 110</t>
  </si>
  <si>
    <t>SE Lagunas 110</t>
  </si>
  <si>
    <t>San Carlos 220</t>
  </si>
  <si>
    <t>San Carlos 500</t>
  </si>
  <si>
    <t>San Diego 110</t>
  </si>
  <si>
    <t>San Jeronimo 110</t>
  </si>
  <si>
    <t>San Lorenzo 110</t>
  </si>
  <si>
    <t>San Lorenzo II 110</t>
  </si>
  <si>
    <t>Sonson 110</t>
  </si>
  <si>
    <t>Tigre 110</t>
  </si>
  <si>
    <t>Virginia 115</t>
  </si>
  <si>
    <t>Vila Hermosa 110</t>
  </si>
  <si>
    <t>Varumal 110</t>
  </si>
  <si>
    <t>Varumal II 110</t>
  </si>
  <si>
    <t>Zamora 110</t>
  </si>
  <si>
    <t>Banadia 115</t>
  </si>
  <si>
    <t>Banadia 220</t>
  </si>
  <si>
    <t>Caño Limon 220</t>
  </si>
  <si>
    <t>La Paz 115</t>
  </si>
  <si>
    <t>La Paz 220</t>
  </si>
  <si>
    <t>Playitas 115</t>
  </si>
  <si>
    <t>Samore 220</t>
  </si>
  <si>
    <t>Tame 115</t>
  </si>
  <si>
    <t>Toledo 220</t>
  </si>
  <si>
    <t>Caracoli 110</t>
  </si>
  <si>
    <t>Caracoli 220</t>
  </si>
  <si>
    <t>Centro 110</t>
  </si>
  <si>
    <t>Cordialidad 110</t>
  </si>
  <si>
    <t>El Rio 110</t>
  </si>
  <si>
    <t>El Rio 220</t>
  </si>
  <si>
    <t>Estadio 110</t>
  </si>
  <si>
    <t>Flores 220</t>
  </si>
  <si>
    <t>Galapa 110</t>
  </si>
  <si>
    <t>Juan Mina 110</t>
  </si>
  <si>
    <t>Las Flores 110</t>
  </si>
  <si>
    <t>Malambo 110</t>
  </si>
  <si>
    <t>Norte 110</t>
  </si>
  <si>
    <t>Nv Baranoa 110</t>
  </si>
  <si>
    <t>Nv Barranquilla 110</t>
  </si>
  <si>
    <t>Nv Barranquilla 220</t>
  </si>
  <si>
    <t>Nva Magdalena 110</t>
  </si>
  <si>
    <t>Oasis 110</t>
  </si>
  <si>
    <t>Palermo 110</t>
  </si>
  <si>
    <t>Sabanalarga 110</t>
  </si>
  <si>
    <t>Sabanalarga 220</t>
  </si>
  <si>
    <t>Sabanalarga 500</t>
  </si>
  <si>
    <t>Salamina EC 110</t>
  </si>
  <si>
    <t>Silencio 110</t>
  </si>
  <si>
    <t>Tebsa 110</t>
  </si>
  <si>
    <t>Tebsa 220</t>
  </si>
  <si>
    <t>Tebsa II 110</t>
  </si>
  <si>
    <t>Termoflores 110</t>
  </si>
  <si>
    <t>Union 110</t>
  </si>
  <si>
    <t>Veinte Julio 110</t>
  </si>
  <si>
    <t>Aranjuez 115</t>
  </si>
  <si>
    <t>Autopista 115</t>
  </si>
  <si>
    <t>Avenida Primera 115</t>
  </si>
  <si>
    <t>Bacata 115</t>
  </si>
  <si>
    <t>Bacata 220</t>
  </si>
  <si>
    <t>Bacata 500</t>
  </si>
  <si>
    <t>Balsillas 115</t>
  </si>
  <si>
    <t>Balsillas 220</t>
  </si>
  <si>
    <t>Barzalosa 115</t>
  </si>
  <si>
    <t>Bolivia 115</t>
  </si>
  <si>
    <t>Bosa 115</t>
  </si>
  <si>
    <t>Calera 115</t>
  </si>
  <si>
    <t>Calle 51 115</t>
  </si>
  <si>
    <t>Calle 67 115</t>
  </si>
  <si>
    <t>Canoas 115</t>
  </si>
  <si>
    <t>Caqueza 115</t>
  </si>
  <si>
    <t>Carrera 5 115</t>
  </si>
  <si>
    <t>Castellana 115</t>
  </si>
  <si>
    <t>Chia 115</t>
  </si>
  <si>
    <t>Chicala 115</t>
  </si>
  <si>
    <t>Chivor 115</t>
  </si>
  <si>
    <t>Chivor 220</t>
  </si>
  <si>
    <t>Chivor II 220</t>
  </si>
  <si>
    <t>Circo 115</t>
  </si>
  <si>
    <t>Circo 220</t>
  </si>
  <si>
    <t>Colegio 115</t>
  </si>
  <si>
    <t>Compartir 115</t>
  </si>
  <si>
    <t>Concordia 115</t>
  </si>
  <si>
    <t>Concordia 57.5</t>
  </si>
  <si>
    <t>Diaco COD 115</t>
  </si>
  <si>
    <t>El Rio (Bogota) 115</t>
  </si>
  <si>
    <t>El Sol 115</t>
  </si>
  <si>
    <t>Facatativa 115</t>
  </si>
  <si>
    <t>Florida COD 115</t>
  </si>
  <si>
    <t>Fontibon 115</t>
  </si>
  <si>
    <t>Gran Sabana 115</t>
  </si>
  <si>
    <t>Guaca 115</t>
  </si>
  <si>
    <t>Guaca 220</t>
  </si>
  <si>
    <t>Guateque 115</t>
  </si>
  <si>
    <t>Guavio 115</t>
  </si>
  <si>
    <t>Guavio 220</t>
  </si>
  <si>
    <t>Guavio Gen 220</t>
  </si>
  <si>
    <t>Indumil 115</t>
  </si>
  <si>
    <t>Laguneta 115</t>
  </si>
  <si>
    <t>Mambita 115</t>
  </si>
  <si>
    <t>Mesa 220</t>
  </si>
  <si>
    <t>Montevideo 115</t>
  </si>
  <si>
    <t>Morato 115</t>
  </si>
  <si>
    <t>Mosquera 115</t>
  </si>
  <si>
    <t>Muzu 115</t>
  </si>
  <si>
    <t>Muña 1 115</t>
  </si>
  <si>
    <t>Muña 3 115</t>
  </si>
  <si>
    <t>Noroeste 115</t>
  </si>
  <si>
    <t>Noroeste 220</t>
  </si>
  <si>
    <t>Norte 115</t>
  </si>
  <si>
    <t>Norte 220</t>
  </si>
  <si>
    <t>Norte 500</t>
  </si>
  <si>
    <t>Nva Esperanza 115</t>
  </si>
  <si>
    <t>Nva Esperanza 220</t>
  </si>
  <si>
    <t>Nva Esperanza 500</t>
  </si>
  <si>
    <t>Paraiso 220</t>
  </si>
  <si>
    <t>Peldar 115</t>
  </si>
  <si>
    <t>Portugal 115</t>
  </si>
  <si>
    <t>Porvenir 115</t>
  </si>
  <si>
    <t>Rubiales 220</t>
  </si>
  <si>
    <t>Salitre 115</t>
  </si>
  <si>
    <t>Salitre 57.5</t>
  </si>
  <si>
    <t>Salto I (Bogota) 115</t>
  </si>
  <si>
    <t>Salto II 115</t>
  </si>
  <si>
    <t>San Jose 115</t>
  </si>
  <si>
    <t>San Mateo (Bogota) 220</t>
  </si>
  <si>
    <t>Santa Maria 115</t>
  </si>
  <si>
    <t>Sauces 115</t>
  </si>
  <si>
    <t>Sesquile 115</t>
  </si>
  <si>
    <t>Simijaca 115</t>
  </si>
  <si>
    <t>Sn Carlos EEB 115</t>
  </si>
  <si>
    <t>Suba 115</t>
  </si>
  <si>
    <t>Techo 115</t>
  </si>
  <si>
    <t>Tenjo 115</t>
  </si>
  <si>
    <t>Terminal 115</t>
  </si>
  <si>
    <t>Termo Zipa 115</t>
  </si>
  <si>
    <t>Tibabuyes 115</t>
  </si>
  <si>
    <t>Torca 115</t>
  </si>
  <si>
    <t>Torca 220</t>
  </si>
  <si>
    <t>Tren Occ 115</t>
  </si>
  <si>
    <t>Tunal 115</t>
  </si>
  <si>
    <t>Tunal 220</t>
  </si>
  <si>
    <t>Tunjita 115</t>
  </si>
  <si>
    <t>Ubala 115</t>
  </si>
  <si>
    <t>Ubate 115</t>
  </si>
  <si>
    <t>Usaquen 115</t>
  </si>
  <si>
    <t>Usme 115</t>
  </si>
  <si>
    <t>Veraguas 115</t>
  </si>
  <si>
    <t>Veraguas 57.5</t>
  </si>
  <si>
    <t>Victoria EEB 115</t>
  </si>
  <si>
    <t>Villeta 115</t>
  </si>
  <si>
    <t>Zipaquira 115</t>
  </si>
  <si>
    <t>Argos 110</t>
  </si>
  <si>
    <t>Bayunca 66</t>
  </si>
  <si>
    <t>Byrande 66</t>
  </si>
  <si>
    <t>Bolivar 220</t>
  </si>
  <si>
    <t>Bolivar 500</t>
  </si>
  <si>
    <t>Bolivar 66</t>
  </si>
  <si>
    <t>Bosque 220</t>
  </si>
  <si>
    <t>Bosque 66</t>
  </si>
  <si>
    <t>Calamar 66</t>
  </si>
  <si>
    <t>Campestre 66</t>
  </si>
  <si>
    <t>Candelaria 110</t>
  </si>
  <si>
    <t>Candelaria 220</t>
  </si>
  <si>
    <t>Carreto 500</t>
  </si>
  <si>
    <t>Carreto 66</t>
  </si>
  <si>
    <t>Cartagena 220</t>
  </si>
  <si>
    <t>Cartagena 66</t>
  </si>
  <si>
    <t>Chambacu 66</t>
  </si>
  <si>
    <t>Cospique 66</t>
  </si>
  <si>
    <t>El Carmen 110</t>
  </si>
  <si>
    <t>El Carmen 66</t>
  </si>
  <si>
    <t>Gambote 66</t>
  </si>
  <si>
    <t>La Marina 66</t>
  </si>
  <si>
    <t>Mamonal 66</t>
  </si>
  <si>
    <t>Manzanillo 66</t>
  </si>
  <si>
    <t>Membrillal 66</t>
  </si>
  <si>
    <t>Nv Cospique 110</t>
  </si>
  <si>
    <t>Pasacaballos 110</t>
  </si>
  <si>
    <t>Pasacaballos 220</t>
  </si>
  <si>
    <t>Proelectrica 66</t>
  </si>
  <si>
    <t>San Jacinto 66</t>
  </si>
  <si>
    <t>Ternera 110</t>
  </si>
  <si>
    <t>Ternera 220</t>
  </si>
  <si>
    <t>Ternera 66</t>
  </si>
  <si>
    <t>Turbaco 110</t>
  </si>
  <si>
    <t>Villa Estrella 66</t>
  </si>
  <si>
    <t>Zambrano 66</t>
  </si>
  <si>
    <t>Zaragocilla 66</t>
  </si>
  <si>
    <t>Aguaclara 115</t>
  </si>
  <si>
    <t>Aguazul 115</t>
  </si>
  <si>
    <t>Alcaravan 115</t>
  </si>
  <si>
    <t>Alcaravan 220</t>
  </si>
  <si>
    <t>Alto Ricaurte 115</t>
  </si>
  <si>
    <t>Barbosa 115</t>
  </si>
  <si>
    <t>Bartolome 115</t>
  </si>
  <si>
    <t>Belencito 115</t>
  </si>
  <si>
    <t>Boavita 115</t>
  </si>
  <si>
    <t>Cabrera 115</t>
  </si>
  <si>
    <t>Cabrera 220</t>
  </si>
  <si>
    <t>Cementos Argos</t>
  </si>
  <si>
    <t>Chiquinquira 115</t>
  </si>
  <si>
    <t>Cimitarra 115</t>
  </si>
  <si>
    <t>Diaco 115</t>
  </si>
  <si>
    <t>Duitama 115</t>
  </si>
  <si>
    <t>El Huche 115</t>
  </si>
  <si>
    <t>Holcim 115 kV</t>
  </si>
  <si>
    <t>Jenesano 115</t>
  </si>
  <si>
    <t>Morro 115</t>
  </si>
  <si>
    <t>Muiscas 115</t>
  </si>
  <si>
    <t>Oiba 115</t>
  </si>
  <si>
    <t>Olibita 115</t>
  </si>
  <si>
    <t>Paipa 115</t>
  </si>
  <si>
    <t>Paipa 220</t>
  </si>
  <si>
    <t>Paz de Ariporo 115</t>
  </si>
  <si>
    <t>Ramada 115</t>
  </si>
  <si>
    <t>San Antonio (Boyacá) 115</t>
  </si>
  <si>
    <t>San Antonio 220</t>
  </si>
  <si>
    <t>San Luis 115</t>
  </si>
  <si>
    <t>San Pablo 115</t>
  </si>
  <si>
    <t>Santa Rosalía 115</t>
  </si>
  <si>
    <t>Sidenal 115</t>
  </si>
  <si>
    <t>Sochagota 115</t>
  </si>
  <si>
    <t>Sochagota 220</t>
  </si>
  <si>
    <t>Sta Rosa 115</t>
  </si>
  <si>
    <t>Suaita 115</t>
  </si>
  <si>
    <t>Suamox 115</t>
  </si>
  <si>
    <t>Termoyopal 115</t>
  </si>
  <si>
    <t>Toquilla 115</t>
  </si>
  <si>
    <t>Tunja 115</t>
  </si>
  <si>
    <t>Yopal 115</t>
  </si>
  <si>
    <t>Yopalosa 115</t>
  </si>
  <si>
    <t>Armenia 115</t>
  </si>
  <si>
    <t>Armenia 220</t>
  </si>
  <si>
    <t>Cuba 115</t>
  </si>
  <si>
    <t>Dorada 115</t>
  </si>
  <si>
    <t>Dosquebradas 115</t>
  </si>
  <si>
    <t>Enea 115</t>
  </si>
  <si>
    <t>Enea 220</t>
  </si>
  <si>
    <t>Esmeralda 220</t>
  </si>
  <si>
    <t>Esmeralda CQR 115</t>
  </si>
  <si>
    <t>Hermosa 115</t>
  </si>
  <si>
    <t>Hermosa 220</t>
  </si>
  <si>
    <t>Insula CQR 115</t>
  </si>
  <si>
    <t>Irra 115</t>
  </si>
  <si>
    <t>La Miel 220</t>
  </si>
  <si>
    <t>La Rosa 115</t>
  </si>
  <si>
    <t>Manizales 115</t>
  </si>
  <si>
    <t>Manzanares 115</t>
  </si>
  <si>
    <t>Molinos 115</t>
  </si>
  <si>
    <t>Papeles 115</t>
  </si>
  <si>
    <t>Pavas 115</t>
  </si>
  <si>
    <t>Peralonso 115</t>
  </si>
  <si>
    <t>Purnio 115</t>
  </si>
  <si>
    <t>Regivit 115</t>
  </si>
  <si>
    <t>Rio Sucio 115</t>
  </si>
  <si>
    <t>Salamina 115</t>
  </si>
  <si>
    <t>Salamina 220</t>
  </si>
  <si>
    <t>San Felipe 115</t>
  </si>
  <si>
    <t>San Felipe 220</t>
  </si>
  <si>
    <t>San Francisco 115</t>
  </si>
  <si>
    <t>San Lorenzo 220</t>
  </si>
  <si>
    <t>Victoria COR 115</t>
  </si>
  <si>
    <t>Virginia 220</t>
  </si>
  <si>
    <t>Virginia 500</t>
  </si>
  <si>
    <t>Viterbo 115</t>
  </si>
  <si>
    <t>Altamira 115</t>
  </si>
  <si>
    <t>Altamira 220</t>
  </si>
  <si>
    <t>Doncello 115</t>
  </si>
  <si>
    <t>Florencia 115</t>
  </si>
  <si>
    <t>Hobo 115</t>
  </si>
  <si>
    <t>Pitalito 115</t>
  </si>
  <si>
    <t>Segovianas 115</t>
  </si>
  <si>
    <t>Catambuco 115</t>
  </si>
  <si>
    <t>El Zaque 115</t>
  </si>
  <si>
    <t>Florida (Cauca) 115</t>
  </si>
  <si>
    <t>Guapi 115</t>
  </si>
  <si>
    <t>Jamondino 115</t>
  </si>
  <si>
    <t>Jamondino 220</t>
  </si>
  <si>
    <t>Jamundi 115</t>
  </si>
  <si>
    <t>Jardinera 115</t>
  </si>
  <si>
    <t>Junin 115</t>
  </si>
  <si>
    <t>Olaya 115</t>
  </si>
  <si>
    <t>Paez (Cabaña) 115</t>
  </si>
  <si>
    <t>Paez 220</t>
  </si>
  <si>
    <t>Panamericana 115</t>
  </si>
  <si>
    <t>Pasto 115</t>
  </si>
  <si>
    <t>Popayán 115</t>
  </si>
  <si>
    <t>Renacer 220</t>
  </si>
  <si>
    <t>Rio Mayo 115</t>
  </si>
  <si>
    <t>S Bernardino 220</t>
  </si>
  <si>
    <t>San Bernardino 115</t>
  </si>
  <si>
    <t>San Martín 115</t>
  </si>
  <si>
    <t>Santander 115</t>
  </si>
  <si>
    <t>Tesalia 220</t>
  </si>
  <si>
    <t>Tumaco 115</t>
  </si>
  <si>
    <t>Caucasia 110</t>
  </si>
  <si>
    <t>Cerromatoso 110</t>
  </si>
  <si>
    <t>Cerromatoso 500</t>
  </si>
  <si>
    <t>Gecelca 32 110</t>
  </si>
  <si>
    <t>Gecelca III 110</t>
  </si>
  <si>
    <t>Planeta 110</t>
  </si>
  <si>
    <t>Apartado 110</t>
  </si>
  <si>
    <t>Boston 110</t>
  </si>
  <si>
    <t>Cerete 110</t>
  </si>
  <si>
    <t>Cerromatoso 220</t>
  </si>
  <si>
    <t>Chinu 110</t>
  </si>
  <si>
    <t>Chinu 220</t>
  </si>
  <si>
    <t>Chinu 500</t>
  </si>
  <si>
    <t>Chinu Planta 110</t>
  </si>
  <si>
    <t>Coveñas 110</t>
  </si>
  <si>
    <t>La Mojana 110</t>
  </si>
  <si>
    <t>Magangué 110</t>
  </si>
  <si>
    <t>Magangué 500</t>
  </si>
  <si>
    <t>Mompox 110</t>
  </si>
  <si>
    <t>Montería 110</t>
  </si>
  <si>
    <t>Montería 220</t>
  </si>
  <si>
    <t>Nueva Lorica 110</t>
  </si>
  <si>
    <t>Nva Colonia 110</t>
  </si>
  <si>
    <t>Nva Montería 110</t>
  </si>
  <si>
    <t>Nva Toluviejo 110</t>
  </si>
  <si>
    <t>Rio Sinú 110</t>
  </si>
  <si>
    <t>Sahagún 500</t>
  </si>
  <si>
    <t>San Marcos 110</t>
  </si>
  <si>
    <t>Sierra Flor 110</t>
  </si>
  <si>
    <t>Since 110</t>
  </si>
  <si>
    <t>Tierra1ta 110</t>
  </si>
  <si>
    <t>Toluviejo 110</t>
  </si>
  <si>
    <t>Toluviejo 220</t>
  </si>
  <si>
    <t>Urabá 110</t>
  </si>
  <si>
    <t>Urabá 220</t>
  </si>
  <si>
    <t>Urra 110</t>
  </si>
  <si>
    <t>Urra 220</t>
  </si>
  <si>
    <t>Bureche 110</t>
  </si>
  <si>
    <t>Ciénaga 110</t>
  </si>
  <si>
    <t>Codazzi GCM 110</t>
  </si>
  <si>
    <t>Colectora 1 Eólica 500</t>
  </si>
  <si>
    <t>Copey 110</t>
  </si>
  <si>
    <t>Copey 220</t>
  </si>
  <si>
    <t>Cuestecita 220</t>
  </si>
  <si>
    <t>Cuestecita II 220</t>
  </si>
  <si>
    <t>Cuestecitas 110</t>
  </si>
  <si>
    <t>Cuestecitas 500(231)</t>
  </si>
  <si>
    <t>El Banco 110</t>
  </si>
  <si>
    <t>El Copey 500</t>
  </si>
  <si>
    <t>El Paso 110</t>
  </si>
  <si>
    <t>Fundación 110</t>
  </si>
  <si>
    <t>Fundación 220</t>
  </si>
  <si>
    <t>Gaira 110</t>
  </si>
  <si>
    <t>Guacamayal 110</t>
  </si>
  <si>
    <t>Guajira 220</t>
  </si>
  <si>
    <t>Guatapurí 110</t>
  </si>
  <si>
    <t>La Jagua 110</t>
  </si>
  <si>
    <t>La Loma 110</t>
  </si>
  <si>
    <t>La Loma 500</t>
  </si>
  <si>
    <t>Libertad 110</t>
  </si>
  <si>
    <t>Maicao 110</t>
  </si>
  <si>
    <t>Manzanares 110</t>
  </si>
  <si>
    <t>Nya San Juan 110</t>
  </si>
  <si>
    <t>Puerto Nuevo</t>
  </si>
  <si>
    <t>R Córdoba 220</t>
  </si>
  <si>
    <t>Rio Córdoba 110</t>
  </si>
  <si>
    <t>Riohacha 110</t>
  </si>
  <si>
    <t>San Juan 110</t>
  </si>
  <si>
    <t>San Juan 220</t>
  </si>
  <si>
    <t>Santa Marta 110</t>
  </si>
  <si>
    <t>Santa Marta 220</t>
  </si>
  <si>
    <t>Termocol 220</t>
  </si>
  <si>
    <t>Valledupar 110</t>
  </si>
  <si>
    <t>Valledupar 220</t>
  </si>
  <si>
    <t>Amoya 115</t>
  </si>
  <si>
    <t>Betania 115</t>
  </si>
  <si>
    <t>Betania 220</t>
  </si>
  <si>
    <t>Brisas 115</t>
  </si>
  <si>
    <t>Cucuana 115</t>
  </si>
  <si>
    <t>Diamante 115</t>
  </si>
  <si>
    <t>El Bote 115</t>
  </si>
  <si>
    <t>Flandes 115</t>
  </si>
  <si>
    <t>Gualanday 115</t>
  </si>
  <si>
    <t>Huila 115</t>
  </si>
  <si>
    <t>Huila 230</t>
  </si>
  <si>
    <t>Lanceros 115</t>
  </si>
  <si>
    <t>Mariquita 115</t>
  </si>
  <si>
    <t>Mirolindo 115</t>
  </si>
  <si>
    <t>Mirolindo 220</t>
  </si>
  <si>
    <t>Natagaima 115</t>
  </si>
  <si>
    <t>Nva Cajamarca 115</t>
  </si>
  <si>
    <t>Nva Espinal 115</t>
  </si>
  <si>
    <t>Oriente 115</t>
  </si>
  <si>
    <t>Papayo 115</t>
  </si>
  <si>
    <t>Picaleña (Escobal) 115</t>
  </si>
  <si>
    <t>Prado 115</t>
  </si>
  <si>
    <t>Seboruco 115</t>
  </si>
  <si>
    <t>Sur 115</t>
  </si>
  <si>
    <t>Tenay 115</t>
  </si>
  <si>
    <t>Tuluní 115</t>
  </si>
  <si>
    <t>Tuluní 220</t>
  </si>
  <si>
    <t>Barzal 115</t>
  </si>
  <si>
    <t>Campobonito 115</t>
  </si>
  <si>
    <t>Catama 115</t>
  </si>
  <si>
    <t>Granada 115</t>
  </si>
  <si>
    <t>Guamal 115</t>
  </si>
  <si>
    <t>Ocoa 115</t>
  </si>
  <si>
    <t>Puerto Gaitán 115</t>
  </si>
  <si>
    <t>Puerto López 115</t>
  </si>
  <si>
    <t>Reforma 115</t>
  </si>
  <si>
    <t>Reforma 220</t>
  </si>
  <si>
    <t>Santa Helena 115</t>
  </si>
  <si>
    <t>Sn José del Guaviare 115</t>
  </si>
  <si>
    <t>Suria (DelSur) 220</t>
  </si>
  <si>
    <t>Suria 115</t>
  </si>
  <si>
    <t>Ayacucho 115</t>
  </si>
  <si>
    <t>Belén 115</t>
  </si>
  <si>
    <t>Buturama 115</t>
  </si>
  <si>
    <t>Convención 115</t>
  </si>
  <si>
    <t>Cúcuta 220</t>
  </si>
  <si>
    <t>Don Juana 115</t>
  </si>
  <si>
    <t>Insula 115</t>
  </si>
  <si>
    <t>Ocaña 115</t>
  </si>
  <si>
    <t>Ocaña 220</t>
  </si>
  <si>
    <t>Ocaña 500</t>
  </si>
  <si>
    <t>San Mateo 115</t>
  </si>
  <si>
    <t>San Mateo 220</t>
  </si>
  <si>
    <t>Sevilla 115</t>
  </si>
  <si>
    <t>Tasajero 220</t>
  </si>
  <si>
    <t>Tibú 115</t>
  </si>
  <si>
    <t>Tonchalá 115</t>
  </si>
  <si>
    <t>Zulia 115</t>
  </si>
  <si>
    <t>Pto Caicedo 115</t>
  </si>
  <si>
    <t>Varumo 115</t>
  </si>
  <si>
    <t>Barranca 115</t>
  </si>
  <si>
    <t>Barranca 220</t>
  </si>
  <si>
    <t>Bmanga 115</t>
  </si>
  <si>
    <t>Bmanga 220</t>
  </si>
  <si>
    <t>Bosconia 115</t>
  </si>
  <si>
    <t>Buena Vista 115</t>
  </si>
  <si>
    <t>Ciralnfanta 220</t>
  </si>
  <si>
    <t>Comuneros 220</t>
  </si>
  <si>
    <t>Conuco 115</t>
  </si>
  <si>
    <t>Florida ESSA 115</t>
  </si>
  <si>
    <t>Guatiguará 220</t>
  </si>
  <si>
    <t>Lizama 115</t>
  </si>
  <si>
    <t>Mesa del Sol 115</t>
  </si>
  <si>
    <t>Palenque 115</t>
  </si>
  <si>
    <t>Palenque 220</t>
  </si>
  <si>
    <t>Palos 115</t>
  </si>
  <si>
    <t>Palos 220</t>
  </si>
  <si>
    <t>Piedecuesta 115</t>
  </si>
  <si>
    <t>Principal 115</t>
  </si>
  <si>
    <t>Realminas 115</t>
  </si>
  <si>
    <t>Rio Frío 115</t>
  </si>
  <si>
    <t>Sabana de Torres 115</t>
  </si>
  <si>
    <t>San Alberto 115</t>
  </si>
  <si>
    <t>San Gil 115</t>
  </si>
  <si>
    <t>Sn Silvestre 115</t>
  </si>
  <si>
    <t>Sogamoso 220</t>
  </si>
  <si>
    <t>Sogamoso 500</t>
  </si>
  <si>
    <t>Wilches 115</t>
  </si>
  <si>
    <t>Aguablanca 115</t>
  </si>
  <si>
    <t>Alférez 220</t>
  </si>
  <si>
    <t>Alférez 500</t>
  </si>
  <si>
    <t>Alférez I 115</t>
  </si>
  <si>
    <t>Alférez II 115</t>
  </si>
  <si>
    <t>Alto Anchicayá 220</t>
  </si>
  <si>
    <t>BMalaga 115</t>
  </si>
  <si>
    <t>Bajo Anchicayá 115</t>
  </si>
  <si>
    <t>Buga 115</t>
  </si>
  <si>
    <t>Calima 115</t>
  </si>
  <si>
    <t>Candelaria 115</t>
  </si>
  <si>
    <t>Cartago 115</t>
  </si>
  <si>
    <t>Cartago 220</t>
  </si>
  <si>
    <t>Cerrito 115</t>
  </si>
  <si>
    <t>Chipichape 115</t>
  </si>
  <si>
    <t>Codazzi 115</t>
  </si>
  <si>
    <t>Diesel II 115</t>
  </si>
  <si>
    <t>El Carmelo 115</t>
  </si>
  <si>
    <t>Estambul 115</t>
  </si>
  <si>
    <t>Estambul 230</t>
  </si>
  <si>
    <t>Guachal 115</t>
  </si>
  <si>
    <t>Juanchito 115</t>
  </si>
  <si>
    <t>Juanchito 220</t>
  </si>
  <si>
    <t>Juanchito 220 (115)</t>
  </si>
  <si>
    <t>La Campiña 115</t>
  </si>
  <si>
    <t>La Unión 115</t>
  </si>
  <si>
    <t>Ladera 115</t>
  </si>
  <si>
    <t>Mayagüez 115</t>
  </si>
  <si>
    <t>Meléndez 115</t>
  </si>
  <si>
    <t>Pacífico 115</t>
  </si>
  <si>
    <t>Pacífico 220</t>
  </si>
  <si>
    <t>Pailón 115</t>
  </si>
  <si>
    <t>Palmaseca 115</t>
  </si>
  <si>
    <t>Pance 115</t>
  </si>
  <si>
    <t>Pance 220</t>
  </si>
  <si>
    <t>Papel Cauca 115</t>
  </si>
  <si>
    <t>Salvajina 220</t>
  </si>
  <si>
    <t>San Antonio (Valle) 115</t>
  </si>
  <si>
    <t>San Marcos 115</t>
  </si>
  <si>
    <t>San Marcos 220</t>
  </si>
  <si>
    <t>San Marcos 500</t>
  </si>
  <si>
    <t>Santa Bárbara 115</t>
  </si>
  <si>
    <t>Succomiles 115</t>
  </si>
  <si>
    <t>Sur (Cali) 115</t>
  </si>
  <si>
    <t>Tabor (Buenaventura) 115</t>
  </si>
  <si>
    <t>Termovalle 115</t>
  </si>
  <si>
    <t>Termoyumbo 115</t>
  </si>
  <si>
    <t>Tuluá 115</t>
  </si>
  <si>
    <t>Vijes 115</t>
  </si>
  <si>
    <t>Yumbo 220</t>
  </si>
  <si>
    <t>Zarzal 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</si>
</sst>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3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2" fontId="1" fillId="0" borderId="0" xfId="0" applyNumberFormat="1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vertical="top"/>
    </xf>
    <xf numFmtId="10" fontId="1" fillId="0" borderId="0" xfId="1" applyNumberFormat="1" applyFont="1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74"/>
  <sheetViews>
    <sheetView tabSelected="1" zoomScale="70" zoomScaleNormal="70" workbookViewId="0">
      <selection activeCell="O6" sqref="O6"/>
    </sheetView>
  </sheetViews>
  <sheetFormatPr defaultColWidth="9.140625" defaultRowHeight="14.45"/>
  <cols>
    <col min="1" max="1" width="22" style="1" customWidth="1"/>
    <col min="2" max="2" width="13" style="7" customWidth="1"/>
    <col min="3" max="4" width="20" style="1" customWidth="1"/>
    <col min="5" max="5" width="27.5703125" style="1" bestFit="1" customWidth="1"/>
    <col min="6" max="6" width="15.7109375" style="4" customWidth="1"/>
    <col min="7" max="7" width="14.85546875" style="4" customWidth="1"/>
    <col min="8" max="8" width="23.7109375" style="1" customWidth="1"/>
    <col min="9" max="9" width="32" style="1" customWidth="1"/>
    <col min="10" max="10" width="9.140625" style="1"/>
    <col min="11" max="11" width="15.85546875" style="1" customWidth="1"/>
    <col min="12" max="16384" width="9.140625" style="1"/>
  </cols>
  <sheetData>
    <row r="1" spans="1:11">
      <c r="A1" s="1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10" t="s">
        <v>7</v>
      </c>
      <c r="I1" s="4" t="s">
        <v>8</v>
      </c>
      <c r="J1" s="1" t="s">
        <v>9</v>
      </c>
      <c r="K1" s="1" t="s">
        <v>10</v>
      </c>
    </row>
    <row r="2" spans="1:11">
      <c r="A2" s="1" t="s">
        <v>11</v>
      </c>
      <c r="B2" s="6" t="s">
        <v>12</v>
      </c>
      <c r="C2" s="3">
        <v>6.51</v>
      </c>
      <c r="D2" s="3">
        <v>9.1999999999999993</v>
      </c>
      <c r="E2" s="3">
        <v>40</v>
      </c>
      <c r="F2" s="4">
        <v>6.009207</v>
      </c>
      <c r="G2" s="4">
        <v>-75.692510999999996</v>
      </c>
      <c r="H2" s="9">
        <f>IF(C2&gt;D2,C2/E2,D2/E2)</f>
        <v>0.22999999999999998</v>
      </c>
      <c r="I2" s="4" t="str">
        <f>IF(H2&gt;100%,"Altamente critico &gt;100%",IF(H2&gt;95%,"Critico &gt;95%",IF(H2&gt;85%,"En riesgo &gt;85%","Sin riesgo &lt;85%")))</f>
        <v>Sin riesgo &lt;85%</v>
      </c>
      <c r="J2" s="1" t="s">
        <v>13</v>
      </c>
      <c r="K2" s="1" t="str">
        <f>IF(J2="&gt;5","Sin riesgo",IF(J2&gt;1.5,"Estado de alerta","Estado critico"))</f>
        <v>Sin riesgo</v>
      </c>
    </row>
    <row r="3" spans="1:11">
      <c r="A3" s="1" t="s">
        <v>11</v>
      </c>
      <c r="B3" s="6" t="s">
        <v>14</v>
      </c>
      <c r="C3" s="3">
        <v>6.77</v>
      </c>
      <c r="D3" s="3">
        <v>9.8000000000000007</v>
      </c>
      <c r="E3" s="3">
        <v>40</v>
      </c>
      <c r="F3" s="4">
        <v>6.009207</v>
      </c>
      <c r="G3" s="4">
        <v>-75.692510999999996</v>
      </c>
      <c r="H3" s="9">
        <f t="shared" ref="H3:H66" si="0">IF(C3&gt;D3,C3/E3,D3/E3)</f>
        <v>0.24500000000000002</v>
      </c>
      <c r="I3" s="4" t="str">
        <f t="shared" ref="I3:I66" si="1">IF(H3&gt;100%,"Altamente critico &gt;100%",IF(H3&gt;95%,"Critico &gt;95%",IF(H3&gt;85%,"En riesgo &gt;85%","Sin riesgo &lt;85%")))</f>
        <v>Sin riesgo &lt;85%</v>
      </c>
      <c r="J3" s="1" t="s">
        <v>13</v>
      </c>
      <c r="K3" s="1" t="str">
        <f t="shared" ref="K3:K66" si="2">IF(J3="&gt;5","Sin riesgo",IF(J3&gt;1.5,"Estado de alerta","Estado critico"))</f>
        <v>Sin riesgo</v>
      </c>
    </row>
    <row r="4" spans="1:11">
      <c r="A4" s="1" t="s">
        <v>11</v>
      </c>
      <c r="B4" s="6" t="s">
        <v>15</v>
      </c>
      <c r="C4" s="3">
        <v>6.77</v>
      </c>
      <c r="D4" s="3">
        <v>9.8000000000000007</v>
      </c>
      <c r="E4" s="3">
        <v>40</v>
      </c>
      <c r="F4" s="4">
        <v>6.009207</v>
      </c>
      <c r="G4" s="4">
        <v>-75.692510999999996</v>
      </c>
      <c r="H4" s="9">
        <f t="shared" si="0"/>
        <v>0.24500000000000002</v>
      </c>
      <c r="I4" s="4" t="str">
        <f t="shared" si="1"/>
        <v>Sin riesgo &lt;85%</v>
      </c>
      <c r="J4" s="1" t="s">
        <v>13</v>
      </c>
      <c r="K4" s="1" t="str">
        <f t="shared" si="2"/>
        <v>Sin riesgo</v>
      </c>
    </row>
    <row r="5" spans="1:11">
      <c r="A5" s="1" t="s">
        <v>16</v>
      </c>
      <c r="B5" s="6" t="s">
        <v>12</v>
      </c>
      <c r="C5" s="3">
        <v>6.68</v>
      </c>
      <c r="D5" s="3">
        <v>6.97</v>
      </c>
      <c r="E5" s="3">
        <v>31.5</v>
      </c>
      <c r="F5" s="5">
        <v>6.9127869999999998</v>
      </c>
      <c r="G5" s="5">
        <v>-75.085049999999995</v>
      </c>
      <c r="H5" s="9">
        <f t="shared" si="0"/>
        <v>0.22126984126984126</v>
      </c>
      <c r="I5" s="4" t="str">
        <f t="shared" si="1"/>
        <v>Sin riesgo &lt;85%</v>
      </c>
      <c r="J5" s="1" t="s">
        <v>13</v>
      </c>
      <c r="K5" s="1" t="str">
        <f t="shared" si="2"/>
        <v>Sin riesgo</v>
      </c>
    </row>
    <row r="6" spans="1:11">
      <c r="A6" s="1" t="s">
        <v>16</v>
      </c>
      <c r="B6" s="6" t="s">
        <v>14</v>
      </c>
      <c r="C6" s="3">
        <v>6.73</v>
      </c>
      <c r="D6" s="3">
        <v>7.03</v>
      </c>
      <c r="E6" s="3">
        <v>31.5</v>
      </c>
      <c r="F6" s="5">
        <v>6.9127869999999998</v>
      </c>
      <c r="G6" s="5">
        <v>-75.085049999999995</v>
      </c>
      <c r="H6" s="9">
        <f t="shared" si="0"/>
        <v>0.22317460317460319</v>
      </c>
      <c r="I6" s="4" t="str">
        <f t="shared" si="1"/>
        <v>Sin riesgo &lt;85%</v>
      </c>
      <c r="J6" s="1" t="s">
        <v>13</v>
      </c>
      <c r="K6" s="1" t="str">
        <f t="shared" si="2"/>
        <v>Sin riesgo</v>
      </c>
    </row>
    <row r="7" spans="1:11">
      <c r="A7" s="1" t="s">
        <v>16</v>
      </c>
      <c r="B7" s="6" t="s">
        <v>15</v>
      </c>
      <c r="C7" s="3">
        <v>6.73</v>
      </c>
      <c r="D7" s="3">
        <v>7.03</v>
      </c>
      <c r="E7" s="3">
        <v>31.5</v>
      </c>
      <c r="F7" s="5">
        <v>6.9127869999999998</v>
      </c>
      <c r="G7" s="5">
        <v>-75.085049999999995</v>
      </c>
      <c r="H7" s="9">
        <f t="shared" si="0"/>
        <v>0.22317460317460319</v>
      </c>
      <c r="I7" s="4" t="str">
        <f t="shared" si="1"/>
        <v>Sin riesgo &lt;85%</v>
      </c>
      <c r="J7" s="1" t="s">
        <v>13</v>
      </c>
      <c r="K7" s="1" t="str">
        <f t="shared" si="2"/>
        <v>Sin riesgo</v>
      </c>
    </row>
    <row r="8" spans="1:11">
      <c r="A8" s="1" t="s">
        <v>17</v>
      </c>
      <c r="B8" s="6" t="s">
        <v>12</v>
      </c>
      <c r="C8" s="3">
        <v>37.44</v>
      </c>
      <c r="D8" s="3">
        <v>36.81</v>
      </c>
      <c r="E8" s="3">
        <v>21</v>
      </c>
      <c r="F8" s="4">
        <v>6.1492509999999996</v>
      </c>
      <c r="G8" s="4">
        <v>-75.635272000000001</v>
      </c>
      <c r="H8" s="9">
        <f t="shared" si="0"/>
        <v>1.7828571428571427</v>
      </c>
      <c r="I8" s="4" t="str">
        <f t="shared" si="1"/>
        <v>Altamente critico &gt;100%</v>
      </c>
      <c r="J8" s="1" t="s">
        <v>13</v>
      </c>
      <c r="K8" s="1" t="str">
        <f t="shared" si="2"/>
        <v>Sin riesgo</v>
      </c>
    </row>
    <row r="9" spans="1:11">
      <c r="A9" s="1" t="s">
        <v>17</v>
      </c>
      <c r="B9" s="6" t="s">
        <v>14</v>
      </c>
      <c r="C9" s="3">
        <v>39.43</v>
      </c>
      <c r="D9" s="3">
        <v>39.049999999999997</v>
      </c>
      <c r="E9" s="3">
        <v>21</v>
      </c>
      <c r="F9" s="4">
        <v>6.1492509999999996</v>
      </c>
      <c r="G9" s="4">
        <v>-75.635272000000001</v>
      </c>
      <c r="H9" s="9">
        <f t="shared" si="0"/>
        <v>1.8776190476190475</v>
      </c>
      <c r="I9" s="4" t="str">
        <f t="shared" si="1"/>
        <v>Altamente critico &gt;100%</v>
      </c>
      <c r="J9" s="1" t="s">
        <v>13</v>
      </c>
      <c r="K9" s="1" t="str">
        <f t="shared" si="2"/>
        <v>Sin riesgo</v>
      </c>
    </row>
    <row r="10" spans="1:11">
      <c r="A10" s="1" t="s">
        <v>17</v>
      </c>
      <c r="B10" s="6" t="s">
        <v>15</v>
      </c>
      <c r="C10" s="3">
        <v>39.43</v>
      </c>
      <c r="D10" s="3">
        <v>39.049999999999997</v>
      </c>
      <c r="E10" s="3">
        <v>21</v>
      </c>
      <c r="F10" s="4">
        <v>6.1492509999999996</v>
      </c>
      <c r="G10" s="4">
        <v>-75.635272000000001</v>
      </c>
      <c r="H10" s="9">
        <f t="shared" si="0"/>
        <v>1.8776190476190475</v>
      </c>
      <c r="I10" s="4" t="str">
        <f t="shared" si="1"/>
        <v>Altamente critico &gt;100%</v>
      </c>
      <c r="J10" s="1" t="s">
        <v>13</v>
      </c>
      <c r="K10" s="1" t="str">
        <f t="shared" si="2"/>
        <v>Sin riesgo</v>
      </c>
    </row>
    <row r="11" spans="1:11">
      <c r="A11" s="1" t="s">
        <v>18</v>
      </c>
      <c r="B11" s="6" t="s">
        <v>12</v>
      </c>
      <c r="C11" s="3">
        <v>27.8</v>
      </c>
      <c r="D11" s="3">
        <v>30.64</v>
      </c>
      <c r="E11" s="3">
        <v>40</v>
      </c>
      <c r="F11" s="4">
        <v>6.1492509999999996</v>
      </c>
      <c r="G11" s="4">
        <v>-75.635272000000001</v>
      </c>
      <c r="H11" s="9">
        <f t="shared" si="0"/>
        <v>0.76600000000000001</v>
      </c>
      <c r="I11" s="4" t="str">
        <f t="shared" si="1"/>
        <v>Sin riesgo &lt;85%</v>
      </c>
      <c r="J11" s="1" t="s">
        <v>13</v>
      </c>
      <c r="K11" s="1" t="str">
        <f t="shared" si="2"/>
        <v>Sin riesgo</v>
      </c>
    </row>
    <row r="12" spans="1:11">
      <c r="A12" s="1" t="s">
        <v>18</v>
      </c>
      <c r="B12" s="6" t="s">
        <v>14</v>
      </c>
      <c r="C12" s="3">
        <v>28.15</v>
      </c>
      <c r="D12" s="3">
        <v>31.17</v>
      </c>
      <c r="E12" s="3">
        <v>40</v>
      </c>
      <c r="F12" s="4">
        <v>6.1492509999999996</v>
      </c>
      <c r="G12" s="4">
        <v>-75.635272000000001</v>
      </c>
      <c r="H12" s="9">
        <f t="shared" si="0"/>
        <v>0.77925</v>
      </c>
      <c r="I12" s="4" t="str">
        <f t="shared" si="1"/>
        <v>Sin riesgo &lt;85%</v>
      </c>
      <c r="J12" s="1" t="s">
        <v>13</v>
      </c>
      <c r="K12" s="1" t="str">
        <f t="shared" si="2"/>
        <v>Sin riesgo</v>
      </c>
    </row>
    <row r="13" spans="1:11">
      <c r="A13" s="1" t="s">
        <v>18</v>
      </c>
      <c r="B13" s="6" t="s">
        <v>15</v>
      </c>
      <c r="C13" s="3">
        <v>28.15</v>
      </c>
      <c r="D13" s="3">
        <v>31.17</v>
      </c>
      <c r="E13" s="3">
        <v>40</v>
      </c>
      <c r="F13" s="4">
        <v>6.1492509999999996</v>
      </c>
      <c r="G13" s="4">
        <v>-75.635272000000001</v>
      </c>
      <c r="H13" s="9">
        <f t="shared" si="0"/>
        <v>0.77925</v>
      </c>
      <c r="I13" s="4" t="str">
        <f t="shared" si="1"/>
        <v>Sin riesgo &lt;85%</v>
      </c>
      <c r="J13" s="1" t="s">
        <v>13</v>
      </c>
      <c r="K13" s="1" t="str">
        <f t="shared" si="2"/>
        <v>Sin riesgo</v>
      </c>
    </row>
    <row r="14" spans="1:11">
      <c r="A14" s="1" t="s">
        <v>19</v>
      </c>
      <c r="B14" s="6" t="s">
        <v>12</v>
      </c>
      <c r="C14" s="3">
        <v>27.42</v>
      </c>
      <c r="D14" s="3">
        <v>30.4</v>
      </c>
      <c r="E14" s="3">
        <v>40</v>
      </c>
      <c r="F14" s="4">
        <v>6.1492509999999996</v>
      </c>
      <c r="G14" s="4">
        <v>-75.635272000000001</v>
      </c>
      <c r="H14" s="9">
        <f t="shared" si="0"/>
        <v>0.76</v>
      </c>
      <c r="I14" s="4" t="str">
        <f t="shared" si="1"/>
        <v>Sin riesgo &lt;85%</v>
      </c>
      <c r="J14" s="1" t="s">
        <v>13</v>
      </c>
      <c r="K14" s="1" t="str">
        <f t="shared" si="2"/>
        <v>Sin riesgo</v>
      </c>
    </row>
    <row r="15" spans="1:11">
      <c r="A15" s="1" t="s">
        <v>19</v>
      </c>
      <c r="B15" s="6" t="s">
        <v>14</v>
      </c>
      <c r="C15" s="3">
        <v>27.76</v>
      </c>
      <c r="D15" s="3">
        <v>30.92</v>
      </c>
      <c r="E15" s="3">
        <v>40</v>
      </c>
      <c r="F15" s="4">
        <v>6.1492509999999996</v>
      </c>
      <c r="G15" s="4">
        <v>-75.635272000000001</v>
      </c>
      <c r="H15" s="9">
        <f t="shared" si="0"/>
        <v>0.77300000000000002</v>
      </c>
      <c r="I15" s="4" t="str">
        <f t="shared" si="1"/>
        <v>Sin riesgo &lt;85%</v>
      </c>
      <c r="J15" s="1" t="s">
        <v>13</v>
      </c>
      <c r="K15" s="1" t="str">
        <f t="shared" si="2"/>
        <v>Sin riesgo</v>
      </c>
    </row>
    <row r="16" spans="1:11">
      <c r="A16" s="1" t="s">
        <v>19</v>
      </c>
      <c r="B16" s="6" t="s">
        <v>15</v>
      </c>
      <c r="C16" s="3">
        <v>27.76</v>
      </c>
      <c r="D16" s="3">
        <v>30.92</v>
      </c>
      <c r="E16" s="3">
        <v>40</v>
      </c>
      <c r="F16" s="4">
        <v>6.1492509999999996</v>
      </c>
      <c r="G16" s="4">
        <v>-75.635272000000001</v>
      </c>
      <c r="H16" s="9">
        <f t="shared" si="0"/>
        <v>0.77300000000000002</v>
      </c>
      <c r="I16" s="4" t="str">
        <f t="shared" si="1"/>
        <v>Sin riesgo &lt;85%</v>
      </c>
      <c r="J16" s="1" t="s">
        <v>13</v>
      </c>
      <c r="K16" s="1" t="str">
        <f t="shared" si="2"/>
        <v>Sin riesgo</v>
      </c>
    </row>
    <row r="17" spans="1:11">
      <c r="A17" s="1" t="s">
        <v>20</v>
      </c>
      <c r="B17" s="6" t="s">
        <v>12</v>
      </c>
      <c r="C17" s="3">
        <v>5.95</v>
      </c>
      <c r="D17" s="3">
        <v>6.74</v>
      </c>
      <c r="E17" s="3">
        <v>40</v>
      </c>
      <c r="F17" s="4">
        <v>6.9034913205617396</v>
      </c>
      <c r="G17" s="4">
        <v>-75.749710559149506</v>
      </c>
      <c r="H17" s="9">
        <f t="shared" si="0"/>
        <v>0.16850000000000001</v>
      </c>
      <c r="I17" s="4" t="str">
        <f t="shared" si="1"/>
        <v>Sin riesgo &lt;85%</v>
      </c>
      <c r="J17" s="1" t="s">
        <v>13</v>
      </c>
      <c r="K17" s="1" t="str">
        <f t="shared" si="2"/>
        <v>Sin riesgo</v>
      </c>
    </row>
    <row r="18" spans="1:11">
      <c r="A18" s="1" t="s">
        <v>20</v>
      </c>
      <c r="B18" s="6" t="s">
        <v>14</v>
      </c>
      <c r="C18" s="3">
        <v>5.95</v>
      </c>
      <c r="D18" s="3">
        <v>6.75</v>
      </c>
      <c r="E18" s="3">
        <v>40</v>
      </c>
      <c r="F18" s="4">
        <v>6.9034913205617396</v>
      </c>
      <c r="G18" s="4">
        <v>-75.749710559149506</v>
      </c>
      <c r="H18" s="9">
        <f t="shared" si="0"/>
        <v>0.16875000000000001</v>
      </c>
      <c r="I18" s="4" t="str">
        <f t="shared" si="1"/>
        <v>Sin riesgo &lt;85%</v>
      </c>
      <c r="J18" s="1" t="s">
        <v>13</v>
      </c>
      <c r="K18" s="1" t="str">
        <f t="shared" si="2"/>
        <v>Sin riesgo</v>
      </c>
    </row>
    <row r="19" spans="1:11">
      <c r="A19" s="1" t="s">
        <v>20</v>
      </c>
      <c r="B19" s="6" t="s">
        <v>15</v>
      </c>
      <c r="C19" s="3">
        <v>5.95</v>
      </c>
      <c r="D19" s="3">
        <v>6.75</v>
      </c>
      <c r="E19" s="3">
        <v>40</v>
      </c>
      <c r="F19" s="4">
        <v>6.9034913205617396</v>
      </c>
      <c r="G19" s="4">
        <v>-75.749710559149506</v>
      </c>
      <c r="H19" s="9">
        <f t="shared" si="0"/>
        <v>0.16875000000000001</v>
      </c>
      <c r="I19" s="4" t="str">
        <f t="shared" si="1"/>
        <v>Sin riesgo &lt;85%</v>
      </c>
      <c r="J19" s="1" t="s">
        <v>13</v>
      </c>
      <c r="K19" s="1" t="str">
        <f t="shared" si="2"/>
        <v>Sin riesgo</v>
      </c>
    </row>
    <row r="20" spans="1:11">
      <c r="A20" s="1" t="s">
        <v>21</v>
      </c>
      <c r="B20" s="6" t="s">
        <v>12</v>
      </c>
      <c r="C20" s="3">
        <v>24.54</v>
      </c>
      <c r="D20" s="3">
        <v>25.84</v>
      </c>
      <c r="E20" s="3">
        <v>40</v>
      </c>
      <c r="F20" s="4">
        <v>6.9034913205617396</v>
      </c>
      <c r="G20" s="4">
        <v>-75.749710559149506</v>
      </c>
      <c r="H20" s="9">
        <f t="shared" si="0"/>
        <v>0.64600000000000002</v>
      </c>
      <c r="I20" s="4" t="str">
        <f t="shared" si="1"/>
        <v>Sin riesgo &lt;85%</v>
      </c>
      <c r="J20" s="1" t="s">
        <v>13</v>
      </c>
      <c r="K20" s="1" t="str">
        <f t="shared" si="2"/>
        <v>Sin riesgo</v>
      </c>
    </row>
    <row r="21" spans="1:11">
      <c r="A21" s="1" t="s">
        <v>21</v>
      </c>
      <c r="B21" s="6" t="s">
        <v>14</v>
      </c>
      <c r="C21" s="3">
        <v>32.07</v>
      </c>
      <c r="D21" s="3">
        <v>31.51</v>
      </c>
      <c r="E21" s="3">
        <v>40</v>
      </c>
      <c r="F21" s="4">
        <v>6.9034913205617396</v>
      </c>
      <c r="G21" s="4">
        <v>-75.749710559149506</v>
      </c>
      <c r="H21" s="9">
        <f t="shared" si="0"/>
        <v>0.80174999999999996</v>
      </c>
      <c r="I21" s="4" t="str">
        <f t="shared" si="1"/>
        <v>Sin riesgo &lt;85%</v>
      </c>
      <c r="J21" s="1" t="s">
        <v>13</v>
      </c>
      <c r="K21" s="1" t="str">
        <f t="shared" si="2"/>
        <v>Sin riesgo</v>
      </c>
    </row>
    <row r="22" spans="1:11">
      <c r="A22" s="1" t="s">
        <v>21</v>
      </c>
      <c r="B22" s="6" t="s">
        <v>15</v>
      </c>
      <c r="C22" s="3">
        <v>32.06</v>
      </c>
      <c r="D22" s="3">
        <v>31.51</v>
      </c>
      <c r="E22" s="3">
        <v>40</v>
      </c>
      <c r="F22" s="4">
        <v>6.9034913205617396</v>
      </c>
      <c r="G22" s="4">
        <v>-75.749710559149506</v>
      </c>
      <c r="H22" s="9">
        <f t="shared" si="0"/>
        <v>0.8015000000000001</v>
      </c>
      <c r="I22" s="4" t="str">
        <f t="shared" si="1"/>
        <v>Sin riesgo &lt;85%</v>
      </c>
      <c r="J22" s="1" t="s">
        <v>13</v>
      </c>
      <c r="K22" s="1" t="str">
        <f t="shared" si="2"/>
        <v>Sin riesgo</v>
      </c>
    </row>
    <row r="23" spans="1:11">
      <c r="A23" s="1" t="s">
        <v>22</v>
      </c>
      <c r="B23" s="6" t="s">
        <v>12</v>
      </c>
      <c r="C23" s="3">
        <v>0</v>
      </c>
      <c r="D23" s="3">
        <v>0</v>
      </c>
      <c r="E23" s="3">
        <v>40</v>
      </c>
      <c r="F23" s="4">
        <v>6.1830384707933099</v>
      </c>
      <c r="G23" s="4">
        <v>-75.5665071047396</v>
      </c>
      <c r="H23" s="9">
        <f t="shared" si="0"/>
        <v>0</v>
      </c>
      <c r="I23" s="4" t="str">
        <f t="shared" si="1"/>
        <v>Sin riesgo &lt;85%</v>
      </c>
      <c r="J23" s="1" t="s">
        <v>13</v>
      </c>
      <c r="K23" s="1" t="str">
        <f t="shared" si="2"/>
        <v>Sin riesgo</v>
      </c>
    </row>
    <row r="24" spans="1:11">
      <c r="A24" s="1" t="s">
        <v>22</v>
      </c>
      <c r="B24" s="6" t="s">
        <v>14</v>
      </c>
      <c r="C24" s="3">
        <v>12.9</v>
      </c>
      <c r="D24" s="3">
        <v>18.86</v>
      </c>
      <c r="E24" s="3">
        <v>40</v>
      </c>
      <c r="F24" s="4">
        <v>6.1830384707933099</v>
      </c>
      <c r="G24" s="4">
        <v>-75.5665071047396</v>
      </c>
      <c r="H24" s="9">
        <f t="shared" si="0"/>
        <v>0.47149999999999997</v>
      </c>
      <c r="I24" s="4" t="str">
        <f t="shared" si="1"/>
        <v>Sin riesgo &lt;85%</v>
      </c>
      <c r="J24" s="1" t="s">
        <v>13</v>
      </c>
      <c r="K24" s="1" t="str">
        <f t="shared" si="2"/>
        <v>Sin riesgo</v>
      </c>
    </row>
    <row r="25" spans="1:11">
      <c r="A25" s="1" t="s">
        <v>22</v>
      </c>
      <c r="B25" s="6" t="s">
        <v>15</v>
      </c>
      <c r="C25" s="3">
        <v>12.9</v>
      </c>
      <c r="D25" s="3">
        <v>18.86</v>
      </c>
      <c r="E25" s="3">
        <v>40</v>
      </c>
      <c r="F25" s="4">
        <v>6.1830384707933099</v>
      </c>
      <c r="G25" s="4">
        <v>-75.5665071047396</v>
      </c>
      <c r="H25" s="9">
        <f t="shared" si="0"/>
        <v>0.47149999999999997</v>
      </c>
      <c r="I25" s="4" t="str">
        <f t="shared" si="1"/>
        <v>Sin riesgo &lt;85%</v>
      </c>
      <c r="J25" s="1" t="s">
        <v>13</v>
      </c>
      <c r="K25" s="1" t="str">
        <f t="shared" si="2"/>
        <v>Sin riesgo</v>
      </c>
    </row>
    <row r="26" spans="1:11">
      <c r="A26" s="1" t="s">
        <v>23</v>
      </c>
      <c r="B26" s="6" t="s">
        <v>12</v>
      </c>
      <c r="C26" s="3">
        <v>17.170000000000002</v>
      </c>
      <c r="D26" s="3">
        <v>16.940000000000001</v>
      </c>
      <c r="E26" s="3">
        <v>40</v>
      </c>
      <c r="F26" s="4">
        <v>6.4432939999999999</v>
      </c>
      <c r="G26" s="4">
        <v>-75.330532000000005</v>
      </c>
      <c r="H26" s="9">
        <f t="shared" si="0"/>
        <v>0.42925000000000002</v>
      </c>
      <c r="I26" s="4" t="str">
        <f t="shared" si="1"/>
        <v>Sin riesgo &lt;85%</v>
      </c>
      <c r="J26" s="1" t="s">
        <v>13</v>
      </c>
      <c r="K26" s="1" t="str">
        <f t="shared" si="2"/>
        <v>Sin riesgo</v>
      </c>
    </row>
    <row r="27" spans="1:11">
      <c r="A27" s="1" t="s">
        <v>23</v>
      </c>
      <c r="B27" s="6" t="s">
        <v>14</v>
      </c>
      <c r="C27" s="3">
        <v>18.12</v>
      </c>
      <c r="D27" s="3">
        <v>17.59</v>
      </c>
      <c r="E27" s="3">
        <v>40</v>
      </c>
      <c r="F27" s="4">
        <v>6.4432939999999999</v>
      </c>
      <c r="G27" s="4">
        <v>-75.330532000000005</v>
      </c>
      <c r="H27" s="9">
        <f t="shared" si="0"/>
        <v>0.45300000000000001</v>
      </c>
      <c r="I27" s="4" t="str">
        <f t="shared" si="1"/>
        <v>Sin riesgo &lt;85%</v>
      </c>
      <c r="J27" s="1" t="s">
        <v>13</v>
      </c>
      <c r="K27" s="1" t="str">
        <f t="shared" si="2"/>
        <v>Sin riesgo</v>
      </c>
    </row>
    <row r="28" spans="1:11">
      <c r="A28" s="1" t="s">
        <v>23</v>
      </c>
      <c r="B28" s="6" t="s">
        <v>15</v>
      </c>
      <c r="C28" s="3">
        <v>18.12</v>
      </c>
      <c r="D28" s="3">
        <v>17.59</v>
      </c>
      <c r="E28" s="3">
        <v>40</v>
      </c>
      <c r="F28" s="4">
        <v>6.4432939999999999</v>
      </c>
      <c r="G28" s="4">
        <v>-75.330532000000005</v>
      </c>
      <c r="H28" s="9">
        <f t="shared" si="0"/>
        <v>0.45300000000000001</v>
      </c>
      <c r="I28" s="4" t="str">
        <f t="shared" si="1"/>
        <v>Sin riesgo &lt;85%</v>
      </c>
      <c r="J28" s="1" t="s">
        <v>13</v>
      </c>
      <c r="K28" s="1" t="str">
        <f t="shared" si="2"/>
        <v>Sin riesgo</v>
      </c>
    </row>
    <row r="29" spans="1:11">
      <c r="A29" s="1" t="s">
        <v>24</v>
      </c>
      <c r="B29" s="6" t="s">
        <v>12</v>
      </c>
      <c r="C29" s="3">
        <v>20.95</v>
      </c>
      <c r="D29" s="3">
        <v>24.79</v>
      </c>
      <c r="E29" s="3">
        <v>31.5</v>
      </c>
      <c r="F29" s="4">
        <v>6.4432939999999999</v>
      </c>
      <c r="G29" s="4">
        <v>-75.330532000000005</v>
      </c>
      <c r="H29" s="9">
        <f t="shared" si="0"/>
        <v>0.78698412698412701</v>
      </c>
      <c r="I29" s="4" t="str">
        <f t="shared" si="1"/>
        <v>Sin riesgo &lt;85%</v>
      </c>
      <c r="J29" s="1" t="s">
        <v>13</v>
      </c>
      <c r="K29" s="1" t="str">
        <f t="shared" si="2"/>
        <v>Sin riesgo</v>
      </c>
    </row>
    <row r="30" spans="1:11">
      <c r="A30" s="1" t="s">
        <v>24</v>
      </c>
      <c r="B30" s="6" t="s">
        <v>14</v>
      </c>
      <c r="C30" s="3">
        <v>21.31</v>
      </c>
      <c r="D30" s="3">
        <v>25.19</v>
      </c>
      <c r="E30" s="3">
        <v>31.5</v>
      </c>
      <c r="F30" s="4">
        <v>6.4432939999999999</v>
      </c>
      <c r="G30" s="4">
        <v>-75.330532000000005</v>
      </c>
      <c r="H30" s="9">
        <f t="shared" si="0"/>
        <v>0.79968253968253977</v>
      </c>
      <c r="I30" s="4" t="str">
        <f t="shared" si="1"/>
        <v>Sin riesgo &lt;85%</v>
      </c>
      <c r="J30" s="1" t="s">
        <v>13</v>
      </c>
      <c r="K30" s="1" t="str">
        <f t="shared" si="2"/>
        <v>Sin riesgo</v>
      </c>
    </row>
    <row r="31" spans="1:11">
      <c r="A31" s="1" t="s">
        <v>24</v>
      </c>
      <c r="B31" s="6" t="s">
        <v>15</v>
      </c>
      <c r="C31" s="3">
        <v>21.31</v>
      </c>
      <c r="D31" s="3">
        <v>25.18</v>
      </c>
      <c r="E31" s="3">
        <v>31.5</v>
      </c>
      <c r="F31" s="4">
        <v>6.4432939999999999</v>
      </c>
      <c r="G31" s="4">
        <v>-75.330532000000005</v>
      </c>
      <c r="H31" s="9">
        <f t="shared" si="0"/>
        <v>0.79936507936507939</v>
      </c>
      <c r="I31" s="4" t="str">
        <f t="shared" si="1"/>
        <v>Sin riesgo &lt;85%</v>
      </c>
      <c r="J31" s="1" t="s">
        <v>13</v>
      </c>
      <c r="K31" s="1" t="str">
        <f t="shared" si="2"/>
        <v>Sin riesgo</v>
      </c>
    </row>
    <row r="32" spans="1:11">
      <c r="A32" s="1" t="s">
        <v>25</v>
      </c>
      <c r="B32" s="6" t="s">
        <v>12</v>
      </c>
      <c r="C32" s="3">
        <v>5.45</v>
      </c>
      <c r="D32" s="3">
        <v>6.1</v>
      </c>
      <c r="E32" s="3">
        <v>40</v>
      </c>
      <c r="F32" s="4">
        <v>5.9255631789308598</v>
      </c>
      <c r="G32" s="4">
        <v>-75.888099160662804</v>
      </c>
      <c r="H32" s="9">
        <f t="shared" si="0"/>
        <v>0.1525</v>
      </c>
      <c r="I32" s="4" t="str">
        <f t="shared" si="1"/>
        <v>Sin riesgo &lt;85%</v>
      </c>
      <c r="J32" s="1" t="s">
        <v>13</v>
      </c>
      <c r="K32" s="1" t="str">
        <f t="shared" si="2"/>
        <v>Sin riesgo</v>
      </c>
    </row>
    <row r="33" spans="1:11">
      <c r="A33" s="1" t="s">
        <v>25</v>
      </c>
      <c r="B33" s="6" t="s">
        <v>14</v>
      </c>
      <c r="C33" s="3">
        <v>5.88</v>
      </c>
      <c r="D33" s="3">
        <v>6.81</v>
      </c>
      <c r="E33" s="3">
        <v>40</v>
      </c>
      <c r="F33" s="4">
        <v>5.9255631789308598</v>
      </c>
      <c r="G33" s="4">
        <v>-75.888099160662804</v>
      </c>
      <c r="H33" s="9">
        <f t="shared" si="0"/>
        <v>0.17024999999999998</v>
      </c>
      <c r="I33" s="4" t="str">
        <f t="shared" si="1"/>
        <v>Sin riesgo &lt;85%</v>
      </c>
      <c r="J33" s="1" t="s">
        <v>13</v>
      </c>
      <c r="K33" s="1" t="str">
        <f t="shared" si="2"/>
        <v>Sin riesgo</v>
      </c>
    </row>
    <row r="34" spans="1:11">
      <c r="A34" s="1" t="s">
        <v>25</v>
      </c>
      <c r="B34" s="6" t="s">
        <v>15</v>
      </c>
      <c r="C34" s="3">
        <v>5.88</v>
      </c>
      <c r="D34" s="3">
        <v>6.8</v>
      </c>
      <c r="E34" s="3">
        <v>40</v>
      </c>
      <c r="F34" s="4">
        <v>5.9255631789308598</v>
      </c>
      <c r="G34" s="4">
        <v>-75.888099160662804</v>
      </c>
      <c r="H34" s="9">
        <f t="shared" si="0"/>
        <v>0.16999999999999998</v>
      </c>
      <c r="I34" s="4" t="str">
        <f t="shared" si="1"/>
        <v>Sin riesgo &lt;85%</v>
      </c>
      <c r="J34" s="1" t="s">
        <v>13</v>
      </c>
      <c r="K34" s="1" t="str">
        <f t="shared" si="2"/>
        <v>Sin riesgo</v>
      </c>
    </row>
    <row r="35" spans="1:11">
      <c r="A35" s="1" t="s">
        <v>26</v>
      </c>
      <c r="B35" s="6" t="s">
        <v>12</v>
      </c>
      <c r="C35" s="3">
        <v>19.41</v>
      </c>
      <c r="D35" s="3">
        <v>26.13</v>
      </c>
      <c r="E35" s="3">
        <v>21</v>
      </c>
      <c r="F35" s="4">
        <v>6.2331940000000001</v>
      </c>
      <c r="G35" s="4">
        <v>-75.609012000000007</v>
      </c>
      <c r="H35" s="9">
        <f t="shared" si="0"/>
        <v>1.2442857142857142</v>
      </c>
      <c r="I35" s="4" t="str">
        <f t="shared" si="1"/>
        <v>Altamente critico &gt;100%</v>
      </c>
      <c r="J35" s="1" t="s">
        <v>13</v>
      </c>
      <c r="K35" s="1" t="str">
        <f t="shared" si="2"/>
        <v>Sin riesgo</v>
      </c>
    </row>
    <row r="36" spans="1:11">
      <c r="A36" s="1" t="s">
        <v>26</v>
      </c>
      <c r="B36" s="6" t="s">
        <v>14</v>
      </c>
      <c r="C36" s="3">
        <v>19.5</v>
      </c>
      <c r="D36" s="3">
        <v>26.36</v>
      </c>
      <c r="E36" s="3">
        <v>21</v>
      </c>
      <c r="F36" s="4">
        <v>6.2331940000000001</v>
      </c>
      <c r="G36" s="4">
        <v>-75.609012000000007</v>
      </c>
      <c r="H36" s="9">
        <f t="shared" si="0"/>
        <v>1.2552380952380953</v>
      </c>
      <c r="I36" s="4" t="str">
        <f t="shared" si="1"/>
        <v>Altamente critico &gt;100%</v>
      </c>
      <c r="J36" s="1" t="s">
        <v>13</v>
      </c>
      <c r="K36" s="1" t="str">
        <f t="shared" si="2"/>
        <v>Sin riesgo</v>
      </c>
    </row>
    <row r="37" spans="1:11">
      <c r="A37" s="1" t="s">
        <v>26</v>
      </c>
      <c r="B37" s="6" t="s">
        <v>15</v>
      </c>
      <c r="C37" s="3">
        <v>19.5</v>
      </c>
      <c r="D37" s="3">
        <v>26.36</v>
      </c>
      <c r="E37" s="3">
        <v>21</v>
      </c>
      <c r="F37" s="4">
        <v>6.2331940000000001</v>
      </c>
      <c r="G37" s="4">
        <v>-75.609012000000007</v>
      </c>
      <c r="H37" s="9">
        <f t="shared" si="0"/>
        <v>1.2552380952380953</v>
      </c>
      <c r="I37" s="4" t="str">
        <f t="shared" si="1"/>
        <v>Altamente critico &gt;100%</v>
      </c>
      <c r="J37" s="1" t="s">
        <v>13</v>
      </c>
      <c r="K37" s="1" t="str">
        <f t="shared" si="2"/>
        <v>Sin riesgo</v>
      </c>
    </row>
    <row r="38" spans="1:11">
      <c r="A38" s="1" t="s">
        <v>27</v>
      </c>
      <c r="B38" s="6" t="s">
        <v>12</v>
      </c>
      <c r="C38" s="3">
        <v>32.43</v>
      </c>
      <c r="D38" s="3">
        <v>33.020000000000003</v>
      </c>
      <c r="E38" s="3">
        <v>40</v>
      </c>
      <c r="F38" s="4">
        <v>6.3389160000000002</v>
      </c>
      <c r="G38" s="4">
        <v>-75.537574000000006</v>
      </c>
      <c r="H38" s="9">
        <f t="shared" si="0"/>
        <v>0.82550000000000012</v>
      </c>
      <c r="I38" s="4" t="str">
        <f t="shared" si="1"/>
        <v>Sin riesgo &lt;85%</v>
      </c>
      <c r="J38" s="1" t="s">
        <v>13</v>
      </c>
      <c r="K38" s="1" t="str">
        <f t="shared" si="2"/>
        <v>Sin riesgo</v>
      </c>
    </row>
    <row r="39" spans="1:11">
      <c r="A39" s="1" t="s">
        <v>27</v>
      </c>
      <c r="B39" s="6" t="s">
        <v>14</v>
      </c>
      <c r="C39" s="3">
        <v>32.69</v>
      </c>
      <c r="D39" s="3">
        <v>33.39</v>
      </c>
      <c r="E39" s="3">
        <v>40</v>
      </c>
      <c r="F39" s="4">
        <v>6.3389160000000002</v>
      </c>
      <c r="G39" s="4">
        <v>-75.537574000000006</v>
      </c>
      <c r="H39" s="9">
        <f t="shared" si="0"/>
        <v>0.83474999999999999</v>
      </c>
      <c r="I39" s="4" t="str">
        <f t="shared" si="1"/>
        <v>Sin riesgo &lt;85%</v>
      </c>
      <c r="J39" s="1" t="s">
        <v>13</v>
      </c>
      <c r="K39" s="1" t="str">
        <f t="shared" si="2"/>
        <v>Sin riesgo</v>
      </c>
    </row>
    <row r="40" spans="1:11">
      <c r="A40" s="1" t="s">
        <v>27</v>
      </c>
      <c r="B40" s="6" t="s">
        <v>15</v>
      </c>
      <c r="C40" s="3">
        <v>32.69</v>
      </c>
      <c r="D40" s="3">
        <v>33.39</v>
      </c>
      <c r="E40" s="3">
        <v>40</v>
      </c>
      <c r="F40" s="4">
        <v>6.3389160000000002</v>
      </c>
      <c r="G40" s="4">
        <v>-75.537574000000006</v>
      </c>
      <c r="H40" s="9">
        <f t="shared" si="0"/>
        <v>0.83474999999999999</v>
      </c>
      <c r="I40" s="4" t="str">
        <f t="shared" si="1"/>
        <v>Sin riesgo &lt;85%</v>
      </c>
      <c r="J40" s="1" t="s">
        <v>13</v>
      </c>
      <c r="K40" s="1" t="str">
        <f t="shared" si="2"/>
        <v>Sin riesgo</v>
      </c>
    </row>
    <row r="41" spans="1:11">
      <c r="A41" s="1" t="s">
        <v>28</v>
      </c>
      <c r="B41" s="6" t="s">
        <v>12</v>
      </c>
      <c r="C41" s="3">
        <v>16.989999999999998</v>
      </c>
      <c r="D41" s="3">
        <v>19.79</v>
      </c>
      <c r="E41" s="3">
        <v>31.5</v>
      </c>
      <c r="F41" s="4">
        <v>6.3389160000000002</v>
      </c>
      <c r="G41" s="4">
        <v>-75.537574000000006</v>
      </c>
      <c r="H41" s="9">
        <f t="shared" si="0"/>
        <v>0.62825396825396818</v>
      </c>
      <c r="I41" s="4" t="str">
        <f t="shared" si="1"/>
        <v>Sin riesgo &lt;85%</v>
      </c>
      <c r="J41" s="1" t="s">
        <v>13</v>
      </c>
      <c r="K41" s="1" t="str">
        <f t="shared" si="2"/>
        <v>Sin riesgo</v>
      </c>
    </row>
    <row r="42" spans="1:11">
      <c r="A42" s="1" t="s">
        <v>28</v>
      </c>
      <c r="B42" s="6" t="s">
        <v>14</v>
      </c>
      <c r="C42" s="3">
        <v>17.100000000000001</v>
      </c>
      <c r="D42" s="3">
        <v>19.98</v>
      </c>
      <c r="E42" s="3">
        <v>31.5</v>
      </c>
      <c r="F42" s="4">
        <v>6.3389160000000002</v>
      </c>
      <c r="G42" s="4">
        <v>-75.537574000000006</v>
      </c>
      <c r="H42" s="9">
        <f t="shared" si="0"/>
        <v>0.63428571428571434</v>
      </c>
      <c r="I42" s="4" t="str">
        <f t="shared" si="1"/>
        <v>Sin riesgo &lt;85%</v>
      </c>
      <c r="J42" s="1" t="s">
        <v>13</v>
      </c>
      <c r="K42" s="1" t="str">
        <f t="shared" si="2"/>
        <v>Sin riesgo</v>
      </c>
    </row>
    <row r="43" spans="1:11">
      <c r="A43" s="1" t="s">
        <v>28</v>
      </c>
      <c r="B43" s="6" t="s">
        <v>15</v>
      </c>
      <c r="C43" s="3">
        <v>17.100000000000001</v>
      </c>
      <c r="D43" s="3">
        <v>19.98</v>
      </c>
      <c r="E43" s="3">
        <v>31.5</v>
      </c>
      <c r="F43" s="4">
        <v>6.3389160000000002</v>
      </c>
      <c r="G43" s="4">
        <v>-75.537574000000006</v>
      </c>
      <c r="H43" s="9">
        <f t="shared" si="0"/>
        <v>0.63428571428571434</v>
      </c>
      <c r="I43" s="4" t="str">
        <f t="shared" si="1"/>
        <v>Sin riesgo &lt;85%</v>
      </c>
      <c r="J43" s="1" t="s">
        <v>13</v>
      </c>
      <c r="K43" s="1" t="str">
        <f t="shared" si="2"/>
        <v>Sin riesgo</v>
      </c>
    </row>
    <row r="44" spans="1:11">
      <c r="A44" s="1" t="s">
        <v>29</v>
      </c>
      <c r="B44" s="6" t="s">
        <v>12</v>
      </c>
      <c r="C44" s="3">
        <v>8.7799999999999994</v>
      </c>
      <c r="D44" s="3">
        <v>9.08</v>
      </c>
      <c r="E44" s="3">
        <v>25</v>
      </c>
      <c r="F44" s="4">
        <v>5.9732459999999996</v>
      </c>
      <c r="G44" s="4">
        <v>-75.835392999999996</v>
      </c>
      <c r="H44" s="9">
        <f t="shared" si="0"/>
        <v>0.36320000000000002</v>
      </c>
      <c r="I44" s="4" t="str">
        <f t="shared" si="1"/>
        <v>Sin riesgo &lt;85%</v>
      </c>
      <c r="J44" s="1" t="s">
        <v>13</v>
      </c>
      <c r="K44" s="1" t="str">
        <f t="shared" si="2"/>
        <v>Sin riesgo</v>
      </c>
    </row>
    <row r="45" spans="1:11">
      <c r="A45" s="1" t="s">
        <v>29</v>
      </c>
      <c r="B45" s="6" t="s">
        <v>14</v>
      </c>
      <c r="C45" s="3">
        <v>10.24</v>
      </c>
      <c r="D45" s="3">
        <v>11.01</v>
      </c>
      <c r="E45" s="3">
        <v>25</v>
      </c>
      <c r="F45" s="4">
        <v>5.9732459999999996</v>
      </c>
      <c r="G45" s="4">
        <v>-75.835392999999996</v>
      </c>
      <c r="H45" s="9">
        <f t="shared" si="0"/>
        <v>0.44040000000000001</v>
      </c>
      <c r="I45" s="4" t="str">
        <f t="shared" si="1"/>
        <v>Sin riesgo &lt;85%</v>
      </c>
      <c r="J45" s="1" t="s">
        <v>13</v>
      </c>
      <c r="K45" s="1" t="str">
        <f t="shared" si="2"/>
        <v>Sin riesgo</v>
      </c>
    </row>
    <row r="46" spans="1:11">
      <c r="A46" s="1" t="s">
        <v>29</v>
      </c>
      <c r="B46" s="6" t="s">
        <v>15</v>
      </c>
      <c r="C46" s="3">
        <v>10.24</v>
      </c>
      <c r="D46" s="3">
        <v>11.01</v>
      </c>
      <c r="E46" s="3">
        <v>25</v>
      </c>
      <c r="F46" s="4">
        <v>5.9732459999999996</v>
      </c>
      <c r="G46" s="4">
        <v>-75.835392999999996</v>
      </c>
      <c r="H46" s="9">
        <f t="shared" si="0"/>
        <v>0.44040000000000001</v>
      </c>
      <c r="I46" s="4" t="str">
        <f t="shared" si="1"/>
        <v>Sin riesgo &lt;85%</v>
      </c>
      <c r="J46" s="1" t="s">
        <v>13</v>
      </c>
      <c r="K46" s="1" t="str">
        <f t="shared" si="2"/>
        <v>Sin riesgo</v>
      </c>
    </row>
    <row r="47" spans="1:11">
      <c r="A47" s="1" t="s">
        <v>30</v>
      </c>
      <c r="B47" s="6" t="s">
        <v>12</v>
      </c>
      <c r="C47" s="3">
        <v>12.3</v>
      </c>
      <c r="D47" s="3">
        <v>17.329999999999998</v>
      </c>
      <c r="E47" s="3">
        <v>40</v>
      </c>
      <c r="F47" s="4">
        <v>6.3119040000000002</v>
      </c>
      <c r="G47" s="4">
        <v>-75.585241999999994</v>
      </c>
      <c r="H47" s="9">
        <f t="shared" si="0"/>
        <v>0.43324999999999997</v>
      </c>
      <c r="I47" s="4" t="str">
        <f t="shared" si="1"/>
        <v>Sin riesgo &lt;85%</v>
      </c>
      <c r="J47" s="1" t="s">
        <v>13</v>
      </c>
      <c r="K47" s="1" t="str">
        <f t="shared" si="2"/>
        <v>Sin riesgo</v>
      </c>
    </row>
    <row r="48" spans="1:11">
      <c r="A48" s="1" t="s">
        <v>30</v>
      </c>
      <c r="B48" s="6" t="s">
        <v>14</v>
      </c>
      <c r="C48" s="3">
        <v>12.32</v>
      </c>
      <c r="D48" s="3">
        <v>17.41</v>
      </c>
      <c r="E48" s="3">
        <v>40</v>
      </c>
      <c r="F48" s="4">
        <v>6.3119040000000002</v>
      </c>
      <c r="G48" s="4">
        <v>-75.585241999999994</v>
      </c>
      <c r="H48" s="9">
        <f t="shared" si="0"/>
        <v>0.43525000000000003</v>
      </c>
      <c r="I48" s="4" t="str">
        <f t="shared" si="1"/>
        <v>Sin riesgo &lt;85%</v>
      </c>
      <c r="J48" s="1" t="s">
        <v>13</v>
      </c>
      <c r="K48" s="1" t="str">
        <f t="shared" si="2"/>
        <v>Sin riesgo</v>
      </c>
    </row>
    <row r="49" spans="1:11">
      <c r="A49" s="1" t="s">
        <v>30</v>
      </c>
      <c r="B49" s="6" t="s">
        <v>15</v>
      </c>
      <c r="C49" s="3">
        <v>12.32</v>
      </c>
      <c r="D49" s="3">
        <v>17.41</v>
      </c>
      <c r="E49" s="3">
        <v>40</v>
      </c>
      <c r="F49" s="4">
        <v>6.3119040000000002</v>
      </c>
      <c r="G49" s="4">
        <v>-75.585241999999994</v>
      </c>
      <c r="H49" s="9">
        <f t="shared" si="0"/>
        <v>0.43525000000000003</v>
      </c>
      <c r="I49" s="4" t="str">
        <f t="shared" si="1"/>
        <v>Sin riesgo &lt;85%</v>
      </c>
      <c r="J49" s="1" t="s">
        <v>13</v>
      </c>
      <c r="K49" s="1" t="str">
        <f t="shared" si="2"/>
        <v>Sin riesgo</v>
      </c>
    </row>
    <row r="50" spans="1:11">
      <c r="A50" s="1" t="s">
        <v>31</v>
      </c>
      <c r="B50" s="6" t="s">
        <v>12</v>
      </c>
      <c r="C50" s="3">
        <v>10.68</v>
      </c>
      <c r="D50" s="3">
        <v>15.29</v>
      </c>
      <c r="E50" s="3">
        <v>40</v>
      </c>
      <c r="F50" s="4">
        <v>6.0944260000000003</v>
      </c>
      <c r="G50" s="4">
        <v>-75.632177999999996</v>
      </c>
      <c r="H50" s="9">
        <f t="shared" si="0"/>
        <v>0.38224999999999998</v>
      </c>
      <c r="I50" s="4" t="str">
        <f t="shared" si="1"/>
        <v>Sin riesgo &lt;85%</v>
      </c>
      <c r="J50" s="1" t="s">
        <v>13</v>
      </c>
      <c r="K50" s="1" t="str">
        <f t="shared" si="2"/>
        <v>Sin riesgo</v>
      </c>
    </row>
    <row r="51" spans="1:11">
      <c r="A51" s="1" t="s">
        <v>31</v>
      </c>
      <c r="B51" s="6" t="s">
        <v>14</v>
      </c>
      <c r="C51" s="3">
        <v>10.92</v>
      </c>
      <c r="D51" s="3">
        <v>15.87</v>
      </c>
      <c r="E51" s="3">
        <v>40</v>
      </c>
      <c r="F51" s="4">
        <v>6.0944260000000003</v>
      </c>
      <c r="G51" s="4">
        <v>-75.632177999999996</v>
      </c>
      <c r="H51" s="9">
        <f t="shared" si="0"/>
        <v>0.39674999999999999</v>
      </c>
      <c r="I51" s="4" t="str">
        <f t="shared" si="1"/>
        <v>Sin riesgo &lt;85%</v>
      </c>
      <c r="J51" s="1" t="s">
        <v>13</v>
      </c>
      <c r="K51" s="1" t="str">
        <f t="shared" si="2"/>
        <v>Sin riesgo</v>
      </c>
    </row>
    <row r="52" spans="1:11">
      <c r="A52" s="1" t="s">
        <v>31</v>
      </c>
      <c r="B52" s="6" t="s">
        <v>15</v>
      </c>
      <c r="C52" s="3">
        <v>10.92</v>
      </c>
      <c r="D52" s="3">
        <v>15.87</v>
      </c>
      <c r="E52" s="3">
        <v>40</v>
      </c>
      <c r="F52" s="4">
        <v>6.0944260000000003</v>
      </c>
      <c r="G52" s="4">
        <v>-75.632177999999996</v>
      </c>
      <c r="H52" s="9">
        <f t="shared" si="0"/>
        <v>0.39674999999999999</v>
      </c>
      <c r="I52" s="4" t="str">
        <f t="shared" si="1"/>
        <v>Sin riesgo &lt;85%</v>
      </c>
      <c r="J52" s="1" t="s">
        <v>13</v>
      </c>
      <c r="K52" s="1" t="str">
        <f t="shared" si="2"/>
        <v>Sin riesgo</v>
      </c>
    </row>
    <row r="53" spans="1:11">
      <c r="A53" s="1" t="s">
        <v>32</v>
      </c>
      <c r="B53" s="6" t="s">
        <v>12</v>
      </c>
      <c r="C53" s="3">
        <v>7.55</v>
      </c>
      <c r="D53" s="3">
        <v>8.91</v>
      </c>
      <c r="E53" s="3">
        <v>31.5</v>
      </c>
      <c r="F53" s="4">
        <v>6.1590780000000001</v>
      </c>
      <c r="G53" s="4">
        <v>-75.040302999999994</v>
      </c>
      <c r="H53" s="9">
        <f t="shared" si="0"/>
        <v>0.28285714285714286</v>
      </c>
      <c r="I53" s="4" t="str">
        <f t="shared" si="1"/>
        <v>Sin riesgo &lt;85%</v>
      </c>
      <c r="J53" s="1" t="s">
        <v>13</v>
      </c>
      <c r="K53" s="1" t="str">
        <f t="shared" si="2"/>
        <v>Sin riesgo</v>
      </c>
    </row>
    <row r="54" spans="1:11">
      <c r="A54" s="1" t="s">
        <v>32</v>
      </c>
      <c r="B54" s="6" t="s">
        <v>14</v>
      </c>
      <c r="C54" s="3">
        <v>8.6300000000000008</v>
      </c>
      <c r="D54" s="3">
        <v>10.76</v>
      </c>
      <c r="E54" s="3">
        <v>31.5</v>
      </c>
      <c r="F54" s="4">
        <v>6.1590780000000001</v>
      </c>
      <c r="G54" s="4">
        <v>-75.040302999999994</v>
      </c>
      <c r="H54" s="9">
        <f t="shared" si="0"/>
        <v>0.34158730158730161</v>
      </c>
      <c r="I54" s="4" t="str">
        <f t="shared" si="1"/>
        <v>Sin riesgo &lt;85%</v>
      </c>
      <c r="J54" s="1" t="s">
        <v>13</v>
      </c>
      <c r="K54" s="1" t="str">
        <f t="shared" si="2"/>
        <v>Sin riesgo</v>
      </c>
    </row>
    <row r="55" spans="1:11">
      <c r="A55" s="1" t="s">
        <v>32</v>
      </c>
      <c r="B55" s="6" t="s">
        <v>15</v>
      </c>
      <c r="C55" s="3">
        <v>8.6300000000000008</v>
      </c>
      <c r="D55" s="3">
        <v>10.76</v>
      </c>
      <c r="E55" s="3">
        <v>31.5</v>
      </c>
      <c r="F55" s="4">
        <v>6.1590780000000001</v>
      </c>
      <c r="G55" s="4">
        <v>-75.040302999999994</v>
      </c>
      <c r="H55" s="9">
        <f t="shared" si="0"/>
        <v>0.34158730158730161</v>
      </c>
      <c r="I55" s="4" t="str">
        <f t="shared" si="1"/>
        <v>Sin riesgo &lt;85%</v>
      </c>
      <c r="J55" s="1" t="s">
        <v>13</v>
      </c>
      <c r="K55" s="1" t="str">
        <f t="shared" si="2"/>
        <v>Sin riesgo</v>
      </c>
    </row>
    <row r="56" spans="1:11">
      <c r="A56" s="1" t="s">
        <v>33</v>
      </c>
      <c r="B56" s="6" t="s">
        <v>12</v>
      </c>
      <c r="C56" s="3">
        <v>4.1399999999999997</v>
      </c>
      <c r="D56" s="3">
        <v>5.85</v>
      </c>
      <c r="E56" s="3">
        <v>40</v>
      </c>
      <c r="F56" s="4">
        <v>5.9077809999999999</v>
      </c>
      <c r="G56" s="4">
        <v>-74.848476000000005</v>
      </c>
      <c r="H56" s="9">
        <f t="shared" si="0"/>
        <v>0.14624999999999999</v>
      </c>
      <c r="I56" s="4" t="str">
        <f t="shared" si="1"/>
        <v>Sin riesgo &lt;85%</v>
      </c>
      <c r="J56" s="1" t="s">
        <v>13</v>
      </c>
      <c r="K56" s="1" t="str">
        <f t="shared" si="2"/>
        <v>Sin riesgo</v>
      </c>
    </row>
    <row r="57" spans="1:11">
      <c r="A57" s="1" t="s">
        <v>33</v>
      </c>
      <c r="B57" s="6" t="s">
        <v>14</v>
      </c>
      <c r="C57" s="3">
        <v>4.8499999999999996</v>
      </c>
      <c r="D57" s="3">
        <v>7.15</v>
      </c>
      <c r="E57" s="3">
        <v>40</v>
      </c>
      <c r="F57" s="4">
        <v>5.9077809999999999</v>
      </c>
      <c r="G57" s="4">
        <v>-74.848476000000005</v>
      </c>
      <c r="H57" s="9">
        <f t="shared" si="0"/>
        <v>0.17875000000000002</v>
      </c>
      <c r="I57" s="4" t="str">
        <f t="shared" si="1"/>
        <v>Sin riesgo &lt;85%</v>
      </c>
      <c r="J57" s="1" t="s">
        <v>13</v>
      </c>
      <c r="K57" s="1" t="str">
        <f t="shared" si="2"/>
        <v>Sin riesgo</v>
      </c>
    </row>
    <row r="58" spans="1:11">
      <c r="A58" s="1" t="s">
        <v>33</v>
      </c>
      <c r="B58" s="6" t="s">
        <v>15</v>
      </c>
      <c r="C58" s="3">
        <v>4.8499999999999996</v>
      </c>
      <c r="D58" s="3">
        <v>7.15</v>
      </c>
      <c r="E58" s="3">
        <v>40</v>
      </c>
      <c r="F58" s="4">
        <v>5.9077809999999999</v>
      </c>
      <c r="G58" s="4">
        <v>-74.848476000000005</v>
      </c>
      <c r="H58" s="9">
        <f t="shared" si="0"/>
        <v>0.17875000000000002</v>
      </c>
      <c r="I58" s="4" t="str">
        <f t="shared" si="1"/>
        <v>Sin riesgo &lt;85%</v>
      </c>
      <c r="J58" s="1" t="s">
        <v>13</v>
      </c>
      <c r="K58" s="1" t="str">
        <f t="shared" si="2"/>
        <v>Sin riesgo</v>
      </c>
    </row>
    <row r="59" spans="1:11">
      <c r="A59" s="1" t="s">
        <v>34</v>
      </c>
      <c r="B59" s="6" t="s">
        <v>12</v>
      </c>
      <c r="C59" s="3">
        <v>0</v>
      </c>
      <c r="D59" s="3">
        <v>8.06</v>
      </c>
      <c r="E59" s="3">
        <v>40</v>
      </c>
      <c r="F59" s="4">
        <v>5.8146875987184696</v>
      </c>
      <c r="G59" s="4">
        <v>-75.684904776760305</v>
      </c>
      <c r="H59" s="9">
        <f t="shared" si="0"/>
        <v>0.20150000000000001</v>
      </c>
      <c r="I59" s="4" t="str">
        <f t="shared" si="1"/>
        <v>Sin riesgo &lt;85%</v>
      </c>
      <c r="J59" s="1" t="s">
        <v>13</v>
      </c>
      <c r="K59" s="1" t="str">
        <f t="shared" si="2"/>
        <v>Sin riesgo</v>
      </c>
    </row>
    <row r="60" spans="1:11">
      <c r="A60" s="1" t="s">
        <v>34</v>
      </c>
      <c r="B60" s="6" t="s">
        <v>14</v>
      </c>
      <c r="C60" s="3">
        <v>0</v>
      </c>
      <c r="D60" s="3">
        <v>8.2799999999999994</v>
      </c>
      <c r="E60" s="3">
        <v>40</v>
      </c>
      <c r="F60" s="4">
        <v>5.8146875987184696</v>
      </c>
      <c r="G60" s="4">
        <v>-75.684904776760305</v>
      </c>
      <c r="H60" s="9">
        <f t="shared" si="0"/>
        <v>0.20699999999999999</v>
      </c>
      <c r="I60" s="4" t="str">
        <f t="shared" si="1"/>
        <v>Sin riesgo &lt;85%</v>
      </c>
      <c r="J60" s="1" t="s">
        <v>13</v>
      </c>
      <c r="K60" s="1" t="str">
        <f t="shared" si="2"/>
        <v>Sin riesgo</v>
      </c>
    </row>
    <row r="61" spans="1:11">
      <c r="A61" s="1" t="s">
        <v>34</v>
      </c>
      <c r="B61" s="6" t="s">
        <v>15</v>
      </c>
      <c r="C61" s="3">
        <v>0</v>
      </c>
      <c r="D61" s="3">
        <v>8.2799999999999994</v>
      </c>
      <c r="E61" s="3">
        <v>40</v>
      </c>
      <c r="F61" s="4">
        <v>5.8146875987184696</v>
      </c>
      <c r="G61" s="4">
        <v>-75.684904776760305</v>
      </c>
      <c r="H61" s="9">
        <f t="shared" si="0"/>
        <v>0.20699999999999999</v>
      </c>
      <c r="I61" s="4" t="str">
        <f t="shared" si="1"/>
        <v>Sin riesgo &lt;85%</v>
      </c>
      <c r="J61" s="1" t="s">
        <v>13</v>
      </c>
      <c r="K61" s="1" t="str">
        <f t="shared" si="2"/>
        <v>Sin riesgo</v>
      </c>
    </row>
    <row r="62" spans="1:11">
      <c r="A62" s="1" t="s">
        <v>35</v>
      </c>
      <c r="B62" s="6" t="s">
        <v>12</v>
      </c>
      <c r="C62" s="3">
        <v>8.8699999999999992</v>
      </c>
      <c r="D62" s="3">
        <v>9.7899999999999991</v>
      </c>
      <c r="E62" s="3">
        <v>40</v>
      </c>
      <c r="F62" s="4">
        <v>5.8146875987184696</v>
      </c>
      <c r="G62" s="4">
        <v>-75.684904776760305</v>
      </c>
      <c r="H62" s="9">
        <f t="shared" si="0"/>
        <v>0.24474999999999997</v>
      </c>
      <c r="I62" s="4" t="str">
        <f t="shared" si="1"/>
        <v>Sin riesgo &lt;85%</v>
      </c>
      <c r="J62" s="1" t="s">
        <v>13</v>
      </c>
      <c r="K62" s="1" t="str">
        <f t="shared" si="2"/>
        <v>Sin riesgo</v>
      </c>
    </row>
    <row r="63" spans="1:11">
      <c r="A63" s="1" t="s">
        <v>35</v>
      </c>
      <c r="B63" s="6" t="s">
        <v>14</v>
      </c>
      <c r="C63" s="3">
        <v>9.31</v>
      </c>
      <c r="D63" s="3">
        <v>10.4</v>
      </c>
      <c r="E63" s="3">
        <v>40</v>
      </c>
      <c r="F63" s="4">
        <v>5.8146875987184696</v>
      </c>
      <c r="G63" s="4">
        <v>-75.684904776760305</v>
      </c>
      <c r="H63" s="9">
        <f t="shared" si="0"/>
        <v>0.26</v>
      </c>
      <c r="I63" s="4" t="str">
        <f t="shared" si="1"/>
        <v>Sin riesgo &lt;85%</v>
      </c>
      <c r="J63" s="1" t="s">
        <v>13</v>
      </c>
      <c r="K63" s="1" t="str">
        <f t="shared" si="2"/>
        <v>Sin riesgo</v>
      </c>
    </row>
    <row r="64" spans="1:11">
      <c r="A64" s="1" t="s">
        <v>35</v>
      </c>
      <c r="B64" s="6" t="s">
        <v>15</v>
      </c>
      <c r="C64" s="3">
        <v>9.31</v>
      </c>
      <c r="D64" s="3">
        <v>10.4</v>
      </c>
      <c r="E64" s="3">
        <v>40</v>
      </c>
      <c r="F64" s="4">
        <v>5.8146875987184696</v>
      </c>
      <c r="G64" s="4">
        <v>-75.684904776760305</v>
      </c>
      <c r="H64" s="9">
        <f t="shared" si="0"/>
        <v>0.26</v>
      </c>
      <c r="I64" s="4" t="str">
        <f t="shared" si="1"/>
        <v>Sin riesgo &lt;85%</v>
      </c>
      <c r="J64" s="1" t="s">
        <v>13</v>
      </c>
      <c r="K64" s="1" t="str">
        <f t="shared" si="2"/>
        <v>Sin riesgo</v>
      </c>
    </row>
    <row r="65" spans="1:11">
      <c r="A65" s="1" t="s">
        <v>36</v>
      </c>
      <c r="B65" s="6" t="s">
        <v>12</v>
      </c>
      <c r="C65" s="3">
        <v>21.74</v>
      </c>
      <c r="D65" s="3">
        <v>27.11</v>
      </c>
      <c r="E65" s="3">
        <v>40</v>
      </c>
      <c r="F65" s="4">
        <v>3.8697716503596502</v>
      </c>
      <c r="G65" s="4">
        <v>-75.074310501590006</v>
      </c>
      <c r="H65" s="9">
        <f t="shared" si="0"/>
        <v>0.67774999999999996</v>
      </c>
      <c r="I65" s="4" t="str">
        <f t="shared" si="1"/>
        <v>Sin riesgo &lt;85%</v>
      </c>
      <c r="J65" s="1" t="s">
        <v>13</v>
      </c>
      <c r="K65" s="1" t="str">
        <f t="shared" si="2"/>
        <v>Sin riesgo</v>
      </c>
    </row>
    <row r="66" spans="1:11">
      <c r="A66" s="1" t="s">
        <v>36</v>
      </c>
      <c r="B66" s="6" t="s">
        <v>14</v>
      </c>
      <c r="C66" s="3">
        <v>21.85</v>
      </c>
      <c r="D66" s="3">
        <v>27.33</v>
      </c>
      <c r="E66" s="3">
        <v>40</v>
      </c>
      <c r="F66" s="4">
        <v>3.8697716503596502</v>
      </c>
      <c r="G66" s="4">
        <v>-75.074310501590006</v>
      </c>
      <c r="H66" s="9">
        <f t="shared" si="0"/>
        <v>0.68324999999999991</v>
      </c>
      <c r="I66" s="4" t="str">
        <f t="shared" si="1"/>
        <v>Sin riesgo &lt;85%</v>
      </c>
      <c r="J66" s="1" t="s">
        <v>13</v>
      </c>
      <c r="K66" s="1" t="str">
        <f t="shared" si="2"/>
        <v>Sin riesgo</v>
      </c>
    </row>
    <row r="67" spans="1:11">
      <c r="A67" s="1" t="s">
        <v>36</v>
      </c>
      <c r="B67" s="6" t="s">
        <v>15</v>
      </c>
      <c r="C67" s="3">
        <v>21.85</v>
      </c>
      <c r="D67" s="3">
        <v>27.33</v>
      </c>
      <c r="E67" s="3">
        <v>40</v>
      </c>
      <c r="F67" s="4">
        <v>3.8697716503596502</v>
      </c>
      <c r="G67" s="4">
        <v>-75.074310501590006</v>
      </c>
      <c r="H67" s="9">
        <f t="shared" ref="H67:H130" si="3">IF(C67&gt;D67,C67/E67,D67/E67)</f>
        <v>0.68324999999999991</v>
      </c>
      <c r="I67" s="4" t="str">
        <f t="shared" ref="I67:I130" si="4">IF(H67&gt;100%,"Altamente critico &gt;100%",IF(H67&gt;95%,"Critico &gt;95%",IF(H67&gt;85%,"En riesgo &gt;85%","Sin riesgo &lt;85%")))</f>
        <v>Sin riesgo &lt;85%</v>
      </c>
      <c r="J67" s="1" t="s">
        <v>13</v>
      </c>
      <c r="K67" s="1" t="str">
        <f t="shared" ref="K67:K130" si="5">IF(J67="&gt;5","Sin riesgo",IF(J67&gt;1.5,"Estado de alerta","Estado critico"))</f>
        <v>Sin riesgo</v>
      </c>
    </row>
    <row r="68" spans="1:11">
      <c r="A68" s="1" t="s">
        <v>37</v>
      </c>
      <c r="B68" s="6" t="s">
        <v>12</v>
      </c>
      <c r="C68" s="3">
        <v>0.81</v>
      </c>
      <c r="D68" s="3">
        <v>1.22</v>
      </c>
      <c r="E68" s="3">
        <v>31.5</v>
      </c>
      <c r="F68" s="4">
        <v>7.3340040000000002</v>
      </c>
      <c r="G68" s="4">
        <v>-76.484757999999999</v>
      </c>
      <c r="H68" s="9">
        <f t="shared" si="3"/>
        <v>3.8730158730158733E-2</v>
      </c>
      <c r="I68" s="4" t="str">
        <f t="shared" si="4"/>
        <v>Sin riesgo &lt;85%</v>
      </c>
      <c r="J68" s="1" t="s">
        <v>13</v>
      </c>
      <c r="K68" s="1" t="str">
        <f t="shared" si="5"/>
        <v>Sin riesgo</v>
      </c>
    </row>
    <row r="69" spans="1:11">
      <c r="A69" s="1" t="s">
        <v>37</v>
      </c>
      <c r="B69" s="6" t="s">
        <v>14</v>
      </c>
      <c r="C69" s="3">
        <v>0.81</v>
      </c>
      <c r="D69" s="3">
        <v>1.22</v>
      </c>
      <c r="E69" s="3">
        <v>31.5</v>
      </c>
      <c r="F69" s="4">
        <v>7.3340040000000002</v>
      </c>
      <c r="G69" s="4">
        <v>-76.484757999999999</v>
      </c>
      <c r="H69" s="9">
        <f t="shared" si="3"/>
        <v>3.8730158730158733E-2</v>
      </c>
      <c r="I69" s="4" t="str">
        <f t="shared" si="4"/>
        <v>Sin riesgo &lt;85%</v>
      </c>
      <c r="J69" s="1" t="s">
        <v>13</v>
      </c>
      <c r="K69" s="1" t="str">
        <f t="shared" si="5"/>
        <v>Sin riesgo</v>
      </c>
    </row>
    <row r="70" spans="1:11">
      <c r="A70" s="1" t="s">
        <v>37</v>
      </c>
      <c r="B70" s="6" t="s">
        <v>15</v>
      </c>
      <c r="C70" s="3">
        <v>0.81</v>
      </c>
      <c r="D70" s="3">
        <v>1.22</v>
      </c>
      <c r="E70" s="3">
        <v>31.5</v>
      </c>
      <c r="F70" s="4">
        <v>7.3340040000000002</v>
      </c>
      <c r="G70" s="4">
        <v>-76.484757999999999</v>
      </c>
      <c r="H70" s="9">
        <f t="shared" si="3"/>
        <v>3.8730158730158733E-2</v>
      </c>
      <c r="I70" s="4" t="str">
        <f t="shared" si="4"/>
        <v>Sin riesgo &lt;85%</v>
      </c>
      <c r="J70" s="1" t="s">
        <v>13</v>
      </c>
      <c r="K70" s="1" t="str">
        <f t="shared" si="5"/>
        <v>Sin riesgo</v>
      </c>
    </row>
    <row r="71" spans="1:11">
      <c r="A71" s="1" t="s">
        <v>38</v>
      </c>
      <c r="B71" s="6" t="s">
        <v>12</v>
      </c>
      <c r="C71" s="3">
        <v>27.68</v>
      </c>
      <c r="D71" s="3">
        <v>32.700000000000003</v>
      </c>
      <c r="E71" s="3">
        <v>31.5</v>
      </c>
      <c r="F71" s="4">
        <v>6.2526539999999997</v>
      </c>
      <c r="G71" s="4">
        <v>-75.579640999999995</v>
      </c>
      <c r="H71" s="9">
        <f t="shared" si="3"/>
        <v>1.0380952380952382</v>
      </c>
      <c r="I71" s="4" t="str">
        <f t="shared" si="4"/>
        <v>Altamente critico &gt;100%</v>
      </c>
      <c r="J71" s="1" t="s">
        <v>13</v>
      </c>
      <c r="K71" s="1" t="str">
        <f t="shared" si="5"/>
        <v>Sin riesgo</v>
      </c>
    </row>
    <row r="72" spans="1:11">
      <c r="A72" s="1" t="s">
        <v>38</v>
      </c>
      <c r="B72" s="6" t="s">
        <v>14</v>
      </c>
      <c r="C72" s="3">
        <v>27.84</v>
      </c>
      <c r="D72" s="3">
        <v>33</v>
      </c>
      <c r="E72" s="3">
        <v>31.5</v>
      </c>
      <c r="F72" s="4">
        <v>6.2526539999999997</v>
      </c>
      <c r="G72" s="4">
        <v>-75.579640999999995</v>
      </c>
      <c r="H72" s="9">
        <f t="shared" si="3"/>
        <v>1.0476190476190477</v>
      </c>
      <c r="I72" s="4" t="str">
        <f t="shared" si="4"/>
        <v>Altamente critico &gt;100%</v>
      </c>
      <c r="J72" s="1" t="s">
        <v>13</v>
      </c>
      <c r="K72" s="1" t="str">
        <f t="shared" si="5"/>
        <v>Sin riesgo</v>
      </c>
    </row>
    <row r="73" spans="1:11">
      <c r="A73" s="1" t="s">
        <v>38</v>
      </c>
      <c r="B73" s="6" t="s">
        <v>15</v>
      </c>
      <c r="C73" s="3">
        <v>27.84</v>
      </c>
      <c r="D73" s="3">
        <v>33</v>
      </c>
      <c r="E73" s="3">
        <v>31.5</v>
      </c>
      <c r="F73" s="4">
        <v>6.2526539999999997</v>
      </c>
      <c r="G73" s="4">
        <v>-75.579640999999995</v>
      </c>
      <c r="H73" s="9">
        <f t="shared" si="3"/>
        <v>1.0476190476190477</v>
      </c>
      <c r="I73" s="4" t="str">
        <f t="shared" si="4"/>
        <v>Altamente critico &gt;100%</v>
      </c>
      <c r="J73" s="1" t="s">
        <v>13</v>
      </c>
      <c r="K73" s="1" t="str">
        <f t="shared" si="5"/>
        <v>Sin riesgo</v>
      </c>
    </row>
    <row r="74" spans="1:11">
      <c r="A74" s="1" t="s">
        <v>39</v>
      </c>
      <c r="B74" s="6" t="s">
        <v>12</v>
      </c>
      <c r="C74" s="3">
        <v>1.17</v>
      </c>
      <c r="D74" s="3">
        <v>1.92</v>
      </c>
      <c r="E74" s="3">
        <v>31.5</v>
      </c>
      <c r="F74" s="11"/>
      <c r="G74" s="11"/>
      <c r="H74" s="9">
        <f t="shared" si="3"/>
        <v>6.0952380952380952E-2</v>
      </c>
      <c r="I74" s="4" t="str">
        <f t="shared" si="4"/>
        <v>Sin riesgo &lt;85%</v>
      </c>
      <c r="J74" s="1" t="s">
        <v>13</v>
      </c>
      <c r="K74" s="1" t="str">
        <f t="shared" si="5"/>
        <v>Sin riesgo</v>
      </c>
    </row>
    <row r="75" spans="1:11">
      <c r="A75" s="1" t="s">
        <v>39</v>
      </c>
      <c r="B75" s="6" t="s">
        <v>14</v>
      </c>
      <c r="C75" s="3">
        <v>1.18</v>
      </c>
      <c r="D75" s="3">
        <v>1.95</v>
      </c>
      <c r="E75" s="3">
        <v>31.5</v>
      </c>
      <c r="F75" s="11"/>
      <c r="G75" s="11"/>
      <c r="H75" s="9">
        <f t="shared" si="3"/>
        <v>6.19047619047619E-2</v>
      </c>
      <c r="I75" s="4" t="str">
        <f t="shared" si="4"/>
        <v>Sin riesgo &lt;85%</v>
      </c>
      <c r="J75" s="1" t="s">
        <v>13</v>
      </c>
      <c r="K75" s="1" t="str">
        <f t="shared" si="5"/>
        <v>Sin riesgo</v>
      </c>
    </row>
    <row r="76" spans="1:11">
      <c r="A76" s="1" t="s">
        <v>39</v>
      </c>
      <c r="B76" s="6" t="s">
        <v>15</v>
      </c>
      <c r="C76" s="3">
        <v>1.18</v>
      </c>
      <c r="D76" s="3">
        <v>1.95</v>
      </c>
      <c r="E76" s="3">
        <v>31.5</v>
      </c>
      <c r="F76" s="11"/>
      <c r="G76" s="11"/>
      <c r="H76" s="9">
        <f t="shared" si="3"/>
        <v>6.19047619047619E-2</v>
      </c>
      <c r="I76" s="4" t="str">
        <f t="shared" si="4"/>
        <v>Sin riesgo &lt;85%</v>
      </c>
      <c r="J76" s="1" t="s">
        <v>13</v>
      </c>
      <c r="K76" s="1" t="str">
        <f t="shared" si="5"/>
        <v>Sin riesgo</v>
      </c>
    </row>
    <row r="77" spans="1:11">
      <c r="A77" s="1" t="s">
        <v>40</v>
      </c>
      <c r="B77" s="6" t="s">
        <v>12</v>
      </c>
      <c r="C77" s="3">
        <v>3.41</v>
      </c>
      <c r="D77" s="3">
        <v>3.33</v>
      </c>
      <c r="E77" s="3">
        <v>40</v>
      </c>
      <c r="F77" s="4">
        <v>6.8362670000000003</v>
      </c>
      <c r="G77" s="4">
        <v>-76.123743000000005</v>
      </c>
      <c r="H77" s="9">
        <f t="shared" si="3"/>
        <v>8.5250000000000006E-2</v>
      </c>
      <c r="I77" s="4" t="str">
        <f t="shared" si="4"/>
        <v>Sin riesgo &lt;85%</v>
      </c>
      <c r="J77" s="1" t="s">
        <v>13</v>
      </c>
      <c r="K77" s="1" t="str">
        <f t="shared" si="5"/>
        <v>Sin riesgo</v>
      </c>
    </row>
    <row r="78" spans="1:11">
      <c r="A78" s="1" t="s">
        <v>40</v>
      </c>
      <c r="B78" s="6" t="s">
        <v>14</v>
      </c>
      <c r="C78" s="3">
        <v>3.41</v>
      </c>
      <c r="D78" s="3">
        <v>3.33</v>
      </c>
      <c r="E78" s="3">
        <v>40</v>
      </c>
      <c r="F78" s="4">
        <v>6.8362670000000003</v>
      </c>
      <c r="G78" s="4">
        <v>-76.123743000000005</v>
      </c>
      <c r="H78" s="9">
        <f t="shared" si="3"/>
        <v>8.5250000000000006E-2</v>
      </c>
      <c r="I78" s="4" t="str">
        <f t="shared" si="4"/>
        <v>Sin riesgo &lt;85%</v>
      </c>
      <c r="J78" s="1" t="s">
        <v>13</v>
      </c>
      <c r="K78" s="1" t="str">
        <f t="shared" si="5"/>
        <v>Sin riesgo</v>
      </c>
    </row>
    <row r="79" spans="1:11">
      <c r="A79" s="1" t="s">
        <v>40</v>
      </c>
      <c r="B79" s="6" t="s">
        <v>15</v>
      </c>
      <c r="C79" s="3">
        <v>3.41</v>
      </c>
      <c r="D79" s="3">
        <v>3.33</v>
      </c>
      <c r="E79" s="3">
        <v>40</v>
      </c>
      <c r="F79" s="4">
        <v>6.8362670000000003</v>
      </c>
      <c r="G79" s="4">
        <v>-76.123743000000005</v>
      </c>
      <c r="H79" s="9">
        <f t="shared" si="3"/>
        <v>8.5250000000000006E-2</v>
      </c>
      <c r="I79" s="4" t="str">
        <f t="shared" si="4"/>
        <v>Sin riesgo &lt;85%</v>
      </c>
      <c r="J79" s="1" t="s">
        <v>13</v>
      </c>
      <c r="K79" s="1" t="str">
        <f t="shared" si="5"/>
        <v>Sin riesgo</v>
      </c>
    </row>
    <row r="80" spans="1:11">
      <c r="A80" s="1" t="s">
        <v>41</v>
      </c>
      <c r="B80" s="6" t="s">
        <v>12</v>
      </c>
      <c r="C80" s="3">
        <v>6.02</v>
      </c>
      <c r="D80" s="3">
        <v>7.21</v>
      </c>
      <c r="E80" s="3">
        <v>31.5</v>
      </c>
      <c r="F80" s="4">
        <v>4.5968255500000001</v>
      </c>
      <c r="G80" s="4">
        <v>-74.068783449999998</v>
      </c>
      <c r="H80" s="9">
        <f t="shared" si="3"/>
        <v>0.22888888888888889</v>
      </c>
      <c r="I80" s="4" t="str">
        <f t="shared" si="4"/>
        <v>Sin riesgo &lt;85%</v>
      </c>
      <c r="J80" s="1" t="s">
        <v>13</v>
      </c>
      <c r="K80" s="1" t="str">
        <f t="shared" si="5"/>
        <v>Sin riesgo</v>
      </c>
    </row>
    <row r="81" spans="1:11">
      <c r="A81" s="1" t="s">
        <v>41</v>
      </c>
      <c r="B81" s="6" t="s">
        <v>14</v>
      </c>
      <c r="C81" s="3">
        <v>7.84</v>
      </c>
      <c r="D81" s="3">
        <v>8.0299999999999994</v>
      </c>
      <c r="E81" s="3">
        <v>31.5</v>
      </c>
      <c r="F81" s="4">
        <v>4.5968255500000001</v>
      </c>
      <c r="G81" s="4">
        <v>-74.068783449999998</v>
      </c>
      <c r="H81" s="9">
        <f t="shared" si="3"/>
        <v>0.25492063492063488</v>
      </c>
      <c r="I81" s="4" t="str">
        <f t="shared" si="4"/>
        <v>Sin riesgo &lt;85%</v>
      </c>
      <c r="J81" s="1" t="s">
        <v>13</v>
      </c>
      <c r="K81" s="1" t="str">
        <f t="shared" si="5"/>
        <v>Sin riesgo</v>
      </c>
    </row>
    <row r="82" spans="1:11">
      <c r="A82" s="1" t="s">
        <v>41</v>
      </c>
      <c r="B82" s="6" t="s">
        <v>15</v>
      </c>
      <c r="C82" s="3">
        <v>7.84</v>
      </c>
      <c r="D82" s="3">
        <v>8.0299999999999994</v>
      </c>
      <c r="E82" s="3">
        <v>31.5</v>
      </c>
      <c r="F82" s="4">
        <v>4.5968255500000001</v>
      </c>
      <c r="G82" s="4">
        <v>-74.068783449999998</v>
      </c>
      <c r="H82" s="9">
        <f t="shared" si="3"/>
        <v>0.25492063492063488</v>
      </c>
      <c r="I82" s="4" t="str">
        <f t="shared" si="4"/>
        <v>Sin riesgo &lt;85%</v>
      </c>
      <c r="J82" s="1" t="s">
        <v>13</v>
      </c>
      <c r="K82" s="1" t="str">
        <f t="shared" si="5"/>
        <v>Sin riesgo</v>
      </c>
    </row>
    <row r="83" spans="1:11">
      <c r="A83" s="1" t="s">
        <v>42</v>
      </c>
      <c r="B83" s="6" t="s">
        <v>12</v>
      </c>
      <c r="C83" s="3">
        <v>16.579999999999998</v>
      </c>
      <c r="D83" s="3">
        <v>22.48</v>
      </c>
      <c r="E83" s="3">
        <v>31.5</v>
      </c>
      <c r="F83" s="4">
        <v>6.2677490000000002</v>
      </c>
      <c r="G83" s="4">
        <v>-75.604305999999994</v>
      </c>
      <c r="H83" s="9">
        <f t="shared" si="3"/>
        <v>0.71365079365079365</v>
      </c>
      <c r="I83" s="4" t="str">
        <f t="shared" si="4"/>
        <v>Sin riesgo &lt;85%</v>
      </c>
      <c r="J83" s="1" t="s">
        <v>13</v>
      </c>
      <c r="K83" s="1" t="str">
        <f t="shared" si="5"/>
        <v>Sin riesgo</v>
      </c>
    </row>
    <row r="84" spans="1:11">
      <c r="A84" s="1" t="s">
        <v>42</v>
      </c>
      <c r="B84" s="6" t="s">
        <v>14</v>
      </c>
      <c r="C84" s="3">
        <v>16.64</v>
      </c>
      <c r="D84" s="3">
        <v>22.62</v>
      </c>
      <c r="E84" s="3">
        <v>31.5</v>
      </c>
      <c r="F84" s="4">
        <v>6.2677490000000002</v>
      </c>
      <c r="G84" s="4">
        <v>-75.604305999999994</v>
      </c>
      <c r="H84" s="9">
        <f t="shared" si="3"/>
        <v>0.71809523809523812</v>
      </c>
      <c r="I84" s="4" t="str">
        <f t="shared" si="4"/>
        <v>Sin riesgo &lt;85%</v>
      </c>
      <c r="J84" s="1" t="s">
        <v>13</v>
      </c>
      <c r="K84" s="1" t="str">
        <f t="shared" si="5"/>
        <v>Sin riesgo</v>
      </c>
    </row>
    <row r="85" spans="1:11">
      <c r="A85" s="1" t="s">
        <v>42</v>
      </c>
      <c r="B85" s="6" t="s">
        <v>15</v>
      </c>
      <c r="C85" s="3">
        <v>16.64</v>
      </c>
      <c r="D85" s="3">
        <v>22.62</v>
      </c>
      <c r="E85" s="3">
        <v>31.5</v>
      </c>
      <c r="F85" s="4">
        <v>6.2677490000000002</v>
      </c>
      <c r="G85" s="4">
        <v>-75.604305999999994</v>
      </c>
      <c r="H85" s="9">
        <f t="shared" si="3"/>
        <v>0.71809523809523812</v>
      </c>
      <c r="I85" s="4" t="str">
        <f t="shared" si="4"/>
        <v>Sin riesgo &lt;85%</v>
      </c>
      <c r="J85" s="1" t="s">
        <v>13</v>
      </c>
      <c r="K85" s="1" t="str">
        <f t="shared" si="5"/>
        <v>Sin riesgo</v>
      </c>
    </row>
    <row r="86" spans="1:11">
      <c r="A86" s="1" t="s">
        <v>43</v>
      </c>
      <c r="B86" s="6" t="s">
        <v>12</v>
      </c>
      <c r="C86" s="3">
        <v>14.85</v>
      </c>
      <c r="D86" s="3">
        <v>18.239999999999998</v>
      </c>
      <c r="E86" s="3">
        <v>30</v>
      </c>
      <c r="F86" s="4">
        <v>6.1749219999999996</v>
      </c>
      <c r="G86" s="4">
        <v>-75.418453999999997</v>
      </c>
      <c r="H86" s="9">
        <f t="shared" si="3"/>
        <v>0.60799999999999998</v>
      </c>
      <c r="I86" s="4" t="str">
        <f t="shared" si="4"/>
        <v>Sin riesgo &lt;85%</v>
      </c>
      <c r="J86" s="1" t="s">
        <v>13</v>
      </c>
      <c r="K86" s="1" t="str">
        <f t="shared" si="5"/>
        <v>Sin riesgo</v>
      </c>
    </row>
    <row r="87" spans="1:11">
      <c r="A87" s="1" t="s">
        <v>43</v>
      </c>
      <c r="B87" s="6" t="s">
        <v>14</v>
      </c>
      <c r="C87" s="3">
        <v>15</v>
      </c>
      <c r="D87" s="3">
        <v>18.48</v>
      </c>
      <c r="E87" s="3">
        <v>30</v>
      </c>
      <c r="F87" s="4">
        <v>6.1749219999999996</v>
      </c>
      <c r="G87" s="4">
        <v>-75.418453999999997</v>
      </c>
      <c r="H87" s="9">
        <f t="shared" si="3"/>
        <v>0.61599999999999999</v>
      </c>
      <c r="I87" s="4" t="str">
        <f t="shared" si="4"/>
        <v>Sin riesgo &lt;85%</v>
      </c>
      <c r="J87" s="1" t="s">
        <v>13</v>
      </c>
      <c r="K87" s="1" t="str">
        <f t="shared" si="5"/>
        <v>Sin riesgo</v>
      </c>
    </row>
    <row r="88" spans="1:11">
      <c r="A88" s="1" t="s">
        <v>43</v>
      </c>
      <c r="B88" s="6" t="s">
        <v>15</v>
      </c>
      <c r="C88" s="3">
        <v>15</v>
      </c>
      <c r="D88" s="3">
        <v>18.48</v>
      </c>
      <c r="E88" s="3">
        <v>30</v>
      </c>
      <c r="F88" s="4">
        <v>6.1749219999999996</v>
      </c>
      <c r="G88" s="4">
        <v>-75.418453999999997</v>
      </c>
      <c r="H88" s="9">
        <f t="shared" si="3"/>
        <v>0.61599999999999999</v>
      </c>
      <c r="I88" s="4" t="str">
        <f t="shared" si="4"/>
        <v>Sin riesgo &lt;85%</v>
      </c>
      <c r="J88" s="1" t="s">
        <v>13</v>
      </c>
      <c r="K88" s="1" t="str">
        <f t="shared" si="5"/>
        <v>Sin riesgo</v>
      </c>
    </row>
    <row r="89" spans="1:11">
      <c r="A89" s="1" t="s">
        <v>44</v>
      </c>
      <c r="B89" s="6" t="s">
        <v>12</v>
      </c>
      <c r="C89" s="3">
        <v>2.76</v>
      </c>
      <c r="D89" s="3">
        <v>3.54</v>
      </c>
      <c r="E89" s="3">
        <v>31.5</v>
      </c>
      <c r="F89" s="4">
        <v>7.0524950000000004</v>
      </c>
      <c r="G89" s="4">
        <v>-74.711940999999996</v>
      </c>
      <c r="H89" s="9">
        <f t="shared" si="3"/>
        <v>0.11238095238095239</v>
      </c>
      <c r="I89" s="4" t="str">
        <f t="shared" si="4"/>
        <v>Sin riesgo &lt;85%</v>
      </c>
      <c r="J89" s="1" t="s">
        <v>13</v>
      </c>
      <c r="K89" s="1" t="str">
        <f t="shared" si="5"/>
        <v>Sin riesgo</v>
      </c>
    </row>
    <row r="90" spans="1:11">
      <c r="A90" s="1" t="s">
        <v>44</v>
      </c>
      <c r="B90" s="6" t="s">
        <v>14</v>
      </c>
      <c r="C90" s="3">
        <v>2.88</v>
      </c>
      <c r="D90" s="3">
        <v>3.66</v>
      </c>
      <c r="E90" s="3">
        <v>31.5</v>
      </c>
      <c r="F90" s="4">
        <v>7.0524950000000004</v>
      </c>
      <c r="G90" s="4">
        <v>-74.711940999999996</v>
      </c>
      <c r="H90" s="9">
        <f t="shared" si="3"/>
        <v>0.11619047619047619</v>
      </c>
      <c r="I90" s="4" t="str">
        <f t="shared" si="4"/>
        <v>Sin riesgo &lt;85%</v>
      </c>
      <c r="J90" s="1" t="s">
        <v>13</v>
      </c>
      <c r="K90" s="1" t="str">
        <f t="shared" si="5"/>
        <v>Sin riesgo</v>
      </c>
    </row>
    <row r="91" spans="1:11">
      <c r="A91" s="1" t="s">
        <v>44</v>
      </c>
      <c r="B91" s="6" t="s">
        <v>15</v>
      </c>
      <c r="C91" s="3">
        <v>2.88</v>
      </c>
      <c r="D91" s="3">
        <v>3.66</v>
      </c>
      <c r="E91" s="3">
        <v>31.5</v>
      </c>
      <c r="F91" s="4">
        <v>7.0524950000000004</v>
      </c>
      <c r="G91" s="4">
        <v>-74.711940999999996</v>
      </c>
      <c r="H91" s="9">
        <f t="shared" si="3"/>
        <v>0.11619047619047619</v>
      </c>
      <c r="I91" s="4" t="str">
        <f t="shared" si="4"/>
        <v>Sin riesgo &lt;85%</v>
      </c>
      <c r="J91" s="1" t="s">
        <v>13</v>
      </c>
      <c r="K91" s="1" t="str">
        <f t="shared" si="5"/>
        <v>Sin riesgo</v>
      </c>
    </row>
    <row r="92" spans="1:11">
      <c r="A92" s="1" t="s">
        <v>45</v>
      </c>
      <c r="B92" s="6" t="s">
        <v>12</v>
      </c>
      <c r="C92" s="3">
        <v>32.44</v>
      </c>
      <c r="D92" s="3">
        <v>27.76</v>
      </c>
      <c r="E92" s="3">
        <v>31.5</v>
      </c>
      <c r="F92" s="4">
        <v>6.7862150000000003</v>
      </c>
      <c r="G92" s="4">
        <v>-75.231345000000005</v>
      </c>
      <c r="H92" s="9">
        <f t="shared" si="3"/>
        <v>1.0298412698412698</v>
      </c>
      <c r="I92" s="4" t="str">
        <f t="shared" si="4"/>
        <v>Altamente critico &gt;100%</v>
      </c>
      <c r="J92" s="1" t="s">
        <v>13</v>
      </c>
      <c r="K92" s="1" t="str">
        <f t="shared" si="5"/>
        <v>Sin riesgo</v>
      </c>
    </row>
    <row r="93" spans="1:11">
      <c r="A93" s="1" t="s">
        <v>45</v>
      </c>
      <c r="B93" s="6" t="s">
        <v>14</v>
      </c>
      <c r="C93" s="3">
        <v>32.9</v>
      </c>
      <c r="D93" s="3">
        <v>28.2</v>
      </c>
      <c r="E93" s="3">
        <v>31.5</v>
      </c>
      <c r="F93" s="4">
        <v>6.7862150000000003</v>
      </c>
      <c r="G93" s="4">
        <v>-75.231345000000005</v>
      </c>
      <c r="H93" s="9">
        <f t="shared" si="3"/>
        <v>1.0444444444444445</v>
      </c>
      <c r="I93" s="4" t="str">
        <f t="shared" si="4"/>
        <v>Altamente critico &gt;100%</v>
      </c>
      <c r="J93" s="1" t="s">
        <v>13</v>
      </c>
      <c r="K93" s="1" t="str">
        <f t="shared" si="5"/>
        <v>Sin riesgo</v>
      </c>
    </row>
    <row r="94" spans="1:11">
      <c r="A94" s="1" t="s">
        <v>45</v>
      </c>
      <c r="B94" s="6" t="s">
        <v>15</v>
      </c>
      <c r="C94" s="3">
        <v>32.9</v>
      </c>
      <c r="D94" s="3">
        <v>28.19</v>
      </c>
      <c r="E94" s="3">
        <v>31.5</v>
      </c>
      <c r="F94" s="4">
        <v>6.7862150000000003</v>
      </c>
      <c r="G94" s="4">
        <v>-75.231345000000005</v>
      </c>
      <c r="H94" s="9">
        <f t="shared" si="3"/>
        <v>1.0444444444444445</v>
      </c>
      <c r="I94" s="4" t="str">
        <f t="shared" si="4"/>
        <v>Altamente critico &gt;100%</v>
      </c>
      <c r="J94" s="1" t="s">
        <v>13</v>
      </c>
      <c r="K94" s="1" t="str">
        <f t="shared" si="5"/>
        <v>Sin riesgo</v>
      </c>
    </row>
    <row r="95" spans="1:11">
      <c r="A95" s="1" t="s">
        <v>46</v>
      </c>
      <c r="B95" s="6" t="s">
        <v>12</v>
      </c>
      <c r="C95" s="3">
        <v>20.8</v>
      </c>
      <c r="D95" s="3">
        <v>20.58</v>
      </c>
      <c r="E95" s="3">
        <v>31.5</v>
      </c>
      <c r="F95" s="4">
        <v>6.7862150000000003</v>
      </c>
      <c r="G95" s="4">
        <v>-75.231345000000005</v>
      </c>
      <c r="H95" s="9">
        <f t="shared" si="3"/>
        <v>0.6603174603174603</v>
      </c>
      <c r="I95" s="4" t="str">
        <f t="shared" si="4"/>
        <v>Sin riesgo &lt;85%</v>
      </c>
      <c r="J95" s="1" t="s">
        <v>13</v>
      </c>
      <c r="K95" s="1" t="str">
        <f t="shared" si="5"/>
        <v>Sin riesgo</v>
      </c>
    </row>
    <row r="96" spans="1:11">
      <c r="A96" s="1" t="s">
        <v>46</v>
      </c>
      <c r="B96" s="6" t="s">
        <v>14</v>
      </c>
      <c r="C96" s="3">
        <v>21.04</v>
      </c>
      <c r="D96" s="3">
        <v>20.89</v>
      </c>
      <c r="E96" s="3">
        <v>31.5</v>
      </c>
      <c r="F96" s="4">
        <v>6.7862150000000003</v>
      </c>
      <c r="G96" s="4">
        <v>-75.231345000000005</v>
      </c>
      <c r="H96" s="9">
        <f t="shared" si="3"/>
        <v>0.66793650793650794</v>
      </c>
      <c r="I96" s="4" t="str">
        <f t="shared" si="4"/>
        <v>Sin riesgo &lt;85%</v>
      </c>
      <c r="J96" s="1" t="s">
        <v>13</v>
      </c>
      <c r="K96" s="1" t="str">
        <f t="shared" si="5"/>
        <v>Sin riesgo</v>
      </c>
    </row>
    <row r="97" spans="1:11">
      <c r="A97" s="1" t="s">
        <v>46</v>
      </c>
      <c r="B97" s="6" t="s">
        <v>15</v>
      </c>
      <c r="C97" s="3">
        <v>21.04</v>
      </c>
      <c r="D97" s="3">
        <v>20.89</v>
      </c>
      <c r="E97" s="3">
        <v>31.5</v>
      </c>
      <c r="F97" s="4">
        <v>6.7862150000000003</v>
      </c>
      <c r="G97" s="4">
        <v>-75.231345000000005</v>
      </c>
      <c r="H97" s="9">
        <f t="shared" si="3"/>
        <v>0.66793650793650794</v>
      </c>
      <c r="I97" s="4" t="str">
        <f t="shared" si="4"/>
        <v>Sin riesgo &lt;85%</v>
      </c>
      <c r="J97" s="1" t="s">
        <v>13</v>
      </c>
      <c r="K97" s="1" t="str">
        <f t="shared" si="5"/>
        <v>Sin riesgo</v>
      </c>
    </row>
    <row r="98" spans="1:11">
      <c r="A98" s="1" t="s">
        <v>47</v>
      </c>
      <c r="B98" s="6" t="s">
        <v>12</v>
      </c>
      <c r="C98" s="3">
        <v>2.2200000000000002</v>
      </c>
      <c r="D98" s="3">
        <v>3.33</v>
      </c>
      <c r="E98" s="3">
        <v>25</v>
      </c>
      <c r="F98" s="11"/>
      <c r="G98" s="11"/>
      <c r="H98" s="9">
        <f t="shared" si="3"/>
        <v>0.13320000000000001</v>
      </c>
      <c r="I98" s="4" t="str">
        <f t="shared" si="4"/>
        <v>Sin riesgo &lt;85%</v>
      </c>
      <c r="J98" s="1" t="s">
        <v>13</v>
      </c>
      <c r="K98" s="1" t="str">
        <f t="shared" si="5"/>
        <v>Sin riesgo</v>
      </c>
    </row>
    <row r="99" spans="1:11">
      <c r="A99" s="1" t="s">
        <v>47</v>
      </c>
      <c r="B99" s="6" t="s">
        <v>14</v>
      </c>
      <c r="C99" s="3">
        <v>2.29</v>
      </c>
      <c r="D99" s="3">
        <v>3.51</v>
      </c>
      <c r="E99" s="3">
        <v>25</v>
      </c>
      <c r="F99" s="11"/>
      <c r="G99" s="11"/>
      <c r="H99" s="9">
        <f t="shared" si="3"/>
        <v>0.1404</v>
      </c>
      <c r="I99" s="4" t="str">
        <f t="shared" si="4"/>
        <v>Sin riesgo &lt;85%</v>
      </c>
      <c r="J99" s="1" t="s">
        <v>13</v>
      </c>
      <c r="K99" s="1" t="str">
        <f t="shared" si="5"/>
        <v>Sin riesgo</v>
      </c>
    </row>
    <row r="100" spans="1:11">
      <c r="A100" s="1" t="s">
        <v>47</v>
      </c>
      <c r="B100" s="6" t="s">
        <v>15</v>
      </c>
      <c r="C100" s="3">
        <v>2.29</v>
      </c>
      <c r="D100" s="3">
        <v>3.51</v>
      </c>
      <c r="E100" s="3">
        <v>25</v>
      </c>
      <c r="F100" s="11"/>
      <c r="G100" s="11"/>
      <c r="H100" s="9">
        <f t="shared" si="3"/>
        <v>0.1404</v>
      </c>
      <c r="I100" s="4" t="str">
        <f t="shared" si="4"/>
        <v>Sin riesgo &lt;85%</v>
      </c>
      <c r="J100" s="1" t="s">
        <v>13</v>
      </c>
      <c r="K100" s="1" t="str">
        <f t="shared" si="5"/>
        <v>Sin riesgo</v>
      </c>
    </row>
    <row r="101" spans="1:11">
      <c r="A101" s="1" t="s">
        <v>48</v>
      </c>
      <c r="B101" s="6" t="s">
        <v>12</v>
      </c>
      <c r="C101" s="3">
        <v>4.9400000000000004</v>
      </c>
      <c r="D101" s="3">
        <v>6.04</v>
      </c>
      <c r="E101" s="3">
        <v>40</v>
      </c>
      <c r="F101" s="11"/>
      <c r="G101" s="11"/>
      <c r="H101" s="9">
        <f t="shared" si="3"/>
        <v>0.151</v>
      </c>
      <c r="I101" s="4" t="str">
        <f t="shared" si="4"/>
        <v>Sin riesgo &lt;85%</v>
      </c>
      <c r="J101" s="1" t="s">
        <v>13</v>
      </c>
      <c r="K101" s="1" t="str">
        <f t="shared" si="5"/>
        <v>Sin riesgo</v>
      </c>
    </row>
    <row r="102" spans="1:11">
      <c r="A102" s="1" t="s">
        <v>48</v>
      </c>
      <c r="B102" s="6" t="s">
        <v>14</v>
      </c>
      <c r="C102" s="3">
        <v>6.14</v>
      </c>
      <c r="D102" s="3">
        <v>6.64</v>
      </c>
      <c r="E102" s="3">
        <v>40</v>
      </c>
      <c r="F102" s="11"/>
      <c r="G102" s="11"/>
      <c r="H102" s="9">
        <f t="shared" si="3"/>
        <v>0.16599999999999998</v>
      </c>
      <c r="I102" s="4" t="str">
        <f t="shared" si="4"/>
        <v>Sin riesgo &lt;85%</v>
      </c>
      <c r="J102" s="1" t="s">
        <v>13</v>
      </c>
      <c r="K102" s="1" t="str">
        <f t="shared" si="5"/>
        <v>Sin riesgo</v>
      </c>
    </row>
    <row r="103" spans="1:11">
      <c r="A103" s="1" t="s">
        <v>48</v>
      </c>
      <c r="B103" s="6" t="s">
        <v>15</v>
      </c>
      <c r="C103" s="3">
        <v>6.14</v>
      </c>
      <c r="D103" s="3">
        <v>6.64</v>
      </c>
      <c r="E103" s="3">
        <v>40</v>
      </c>
      <c r="F103" s="11"/>
      <c r="G103" s="11"/>
      <c r="H103" s="9">
        <f t="shared" si="3"/>
        <v>0.16599999999999998</v>
      </c>
      <c r="I103" s="4" t="str">
        <f t="shared" si="4"/>
        <v>Sin riesgo &lt;85%</v>
      </c>
      <c r="J103" s="1" t="s">
        <v>13</v>
      </c>
      <c r="K103" s="1" t="str">
        <f t="shared" si="5"/>
        <v>Sin riesgo</v>
      </c>
    </row>
    <row r="104" spans="1:11">
      <c r="A104" s="1" t="s">
        <v>49</v>
      </c>
      <c r="B104" s="6" t="s">
        <v>12</v>
      </c>
      <c r="C104" s="3">
        <v>34.909999999999997</v>
      </c>
      <c r="D104" s="3">
        <v>36.770000000000003</v>
      </c>
      <c r="E104" s="3">
        <v>40</v>
      </c>
      <c r="F104" s="4">
        <v>6.1757419999999996</v>
      </c>
      <c r="G104" s="4">
        <v>-75.594336999999996</v>
      </c>
      <c r="H104" s="9">
        <f t="shared" si="3"/>
        <v>0.91925000000000012</v>
      </c>
      <c r="I104" s="4" t="str">
        <f t="shared" si="4"/>
        <v>En riesgo &gt;85%</v>
      </c>
      <c r="J104" s="1" t="s">
        <v>13</v>
      </c>
      <c r="K104" s="1" t="str">
        <f t="shared" si="5"/>
        <v>Sin riesgo</v>
      </c>
    </row>
    <row r="105" spans="1:11">
      <c r="A105" s="1" t="s">
        <v>49</v>
      </c>
      <c r="B105" s="6" t="s">
        <v>14</v>
      </c>
      <c r="C105" s="3">
        <v>35.229999999999997</v>
      </c>
      <c r="D105" s="3">
        <v>37.24</v>
      </c>
      <c r="E105" s="3">
        <v>40</v>
      </c>
      <c r="F105" s="4">
        <v>6.1757419999999996</v>
      </c>
      <c r="G105" s="4">
        <v>-75.594336999999996</v>
      </c>
      <c r="H105" s="9">
        <f t="shared" si="3"/>
        <v>0.93100000000000005</v>
      </c>
      <c r="I105" s="4" t="str">
        <f t="shared" si="4"/>
        <v>En riesgo &gt;85%</v>
      </c>
      <c r="J105" s="1" t="s">
        <v>13</v>
      </c>
      <c r="K105" s="1" t="str">
        <f t="shared" si="5"/>
        <v>Sin riesgo</v>
      </c>
    </row>
    <row r="106" spans="1:11">
      <c r="A106" s="1" t="s">
        <v>49</v>
      </c>
      <c r="B106" s="6" t="s">
        <v>15</v>
      </c>
      <c r="C106" s="3">
        <v>35.229999999999997</v>
      </c>
      <c r="D106" s="3">
        <v>37.24</v>
      </c>
      <c r="E106" s="3">
        <v>40</v>
      </c>
      <c r="F106" s="4">
        <v>6.1757419999999996</v>
      </c>
      <c r="G106" s="4">
        <v>-75.594336999999996</v>
      </c>
      <c r="H106" s="9">
        <f t="shared" si="3"/>
        <v>0.93100000000000005</v>
      </c>
      <c r="I106" s="4" t="str">
        <f t="shared" si="4"/>
        <v>En riesgo &gt;85%</v>
      </c>
      <c r="J106" s="1" t="s">
        <v>13</v>
      </c>
      <c r="K106" s="1" t="str">
        <f t="shared" si="5"/>
        <v>Sin riesgo</v>
      </c>
    </row>
    <row r="107" spans="1:11">
      <c r="A107" s="1" t="s">
        <v>50</v>
      </c>
      <c r="B107" s="6" t="s">
        <v>12</v>
      </c>
      <c r="C107" s="3">
        <v>16.399999999999999</v>
      </c>
      <c r="D107" s="3">
        <v>19.11</v>
      </c>
      <c r="E107" s="3">
        <v>40</v>
      </c>
      <c r="F107" s="4">
        <v>6.1757419999999996</v>
      </c>
      <c r="G107" s="4">
        <v>-75.594336999999996</v>
      </c>
      <c r="H107" s="9">
        <f t="shared" si="3"/>
        <v>0.47775000000000001</v>
      </c>
      <c r="I107" s="4" t="str">
        <f t="shared" si="4"/>
        <v>Sin riesgo &lt;85%</v>
      </c>
      <c r="J107" s="1" t="s">
        <v>13</v>
      </c>
      <c r="K107" s="1" t="str">
        <f t="shared" si="5"/>
        <v>Sin riesgo</v>
      </c>
    </row>
    <row r="108" spans="1:11">
      <c r="A108" s="1" t="s">
        <v>50</v>
      </c>
      <c r="B108" s="6" t="s">
        <v>14</v>
      </c>
      <c r="C108" s="3">
        <v>16.510000000000002</v>
      </c>
      <c r="D108" s="3">
        <v>19.3</v>
      </c>
      <c r="E108" s="3">
        <v>40</v>
      </c>
      <c r="F108" s="4">
        <v>6.1757419999999996</v>
      </c>
      <c r="G108" s="4">
        <v>-75.594336999999996</v>
      </c>
      <c r="H108" s="9">
        <f t="shared" si="3"/>
        <v>0.48250000000000004</v>
      </c>
      <c r="I108" s="4" t="str">
        <f t="shared" si="4"/>
        <v>Sin riesgo &lt;85%</v>
      </c>
      <c r="J108" s="1" t="s">
        <v>13</v>
      </c>
      <c r="K108" s="1" t="str">
        <f t="shared" si="5"/>
        <v>Sin riesgo</v>
      </c>
    </row>
    <row r="109" spans="1:11">
      <c r="A109" s="1" t="s">
        <v>50</v>
      </c>
      <c r="B109" s="6" t="s">
        <v>15</v>
      </c>
      <c r="C109" s="3">
        <v>16.510000000000002</v>
      </c>
      <c r="D109" s="3">
        <v>19.29</v>
      </c>
      <c r="E109" s="3">
        <v>40</v>
      </c>
      <c r="F109" s="4">
        <v>6.1757419999999996</v>
      </c>
      <c r="G109" s="4">
        <v>-75.594336999999996</v>
      </c>
      <c r="H109" s="9">
        <f t="shared" si="3"/>
        <v>0.48224999999999996</v>
      </c>
      <c r="I109" s="4" t="str">
        <f t="shared" si="4"/>
        <v>Sin riesgo &lt;85%</v>
      </c>
      <c r="J109" s="1" t="s">
        <v>13</v>
      </c>
      <c r="K109" s="1" t="str">
        <f t="shared" si="5"/>
        <v>Sin riesgo</v>
      </c>
    </row>
    <row r="110" spans="1:11">
      <c r="A110" s="1" t="s">
        <v>51</v>
      </c>
      <c r="B110" s="6" t="s">
        <v>12</v>
      </c>
      <c r="C110" s="3">
        <v>14.41</v>
      </c>
      <c r="D110" s="3">
        <v>18.98</v>
      </c>
      <c r="E110" s="3">
        <v>31.5</v>
      </c>
      <c r="F110" s="4">
        <v>6.3834939999999998</v>
      </c>
      <c r="G110" s="4">
        <v>-75.455444999999997</v>
      </c>
      <c r="H110" s="9">
        <f t="shared" si="3"/>
        <v>0.6025396825396826</v>
      </c>
      <c r="I110" s="4" t="str">
        <f t="shared" si="4"/>
        <v>Sin riesgo &lt;85%</v>
      </c>
      <c r="J110" s="1" t="s">
        <v>13</v>
      </c>
      <c r="K110" s="1" t="str">
        <f t="shared" si="5"/>
        <v>Sin riesgo</v>
      </c>
    </row>
    <row r="111" spans="1:11">
      <c r="A111" s="1" t="s">
        <v>51</v>
      </c>
      <c r="B111" s="6" t="s">
        <v>14</v>
      </c>
      <c r="C111" s="3">
        <v>14.53</v>
      </c>
      <c r="D111" s="3">
        <v>19.21</v>
      </c>
      <c r="E111" s="3">
        <v>31.5</v>
      </c>
      <c r="F111" s="4">
        <v>6.3834939999999998</v>
      </c>
      <c r="G111" s="4">
        <v>-75.455444999999997</v>
      </c>
      <c r="H111" s="9">
        <f t="shared" si="3"/>
        <v>0.60984126984126985</v>
      </c>
      <c r="I111" s="4" t="str">
        <f t="shared" si="4"/>
        <v>Sin riesgo &lt;85%</v>
      </c>
      <c r="J111" s="1" t="s">
        <v>13</v>
      </c>
      <c r="K111" s="1" t="str">
        <f t="shared" si="5"/>
        <v>Sin riesgo</v>
      </c>
    </row>
    <row r="112" spans="1:11">
      <c r="A112" s="1" t="s">
        <v>51</v>
      </c>
      <c r="B112" s="6" t="s">
        <v>15</v>
      </c>
      <c r="C112" s="3">
        <v>14.53</v>
      </c>
      <c r="D112" s="3">
        <v>19.2</v>
      </c>
      <c r="E112" s="3">
        <v>31.5</v>
      </c>
      <c r="F112" s="4">
        <v>6.3834939999999998</v>
      </c>
      <c r="G112" s="4">
        <v>-75.455444999999997</v>
      </c>
      <c r="H112" s="9">
        <f t="shared" si="3"/>
        <v>0.60952380952380947</v>
      </c>
      <c r="I112" s="4" t="str">
        <f t="shared" si="4"/>
        <v>Sin riesgo &lt;85%</v>
      </c>
      <c r="J112" s="1" t="s">
        <v>13</v>
      </c>
      <c r="K112" s="1" t="str">
        <f t="shared" si="5"/>
        <v>Sin riesgo</v>
      </c>
    </row>
    <row r="113" spans="1:11">
      <c r="A113" s="1" t="s">
        <v>52</v>
      </c>
      <c r="B113" s="6" t="s">
        <v>12</v>
      </c>
      <c r="C113" s="3">
        <v>23.13</v>
      </c>
      <c r="D113" s="3">
        <v>21.02</v>
      </c>
      <c r="E113" s="3">
        <v>40</v>
      </c>
      <c r="F113" s="4">
        <v>6.8401069999999997</v>
      </c>
      <c r="G113" s="4">
        <v>-75.189075000000003</v>
      </c>
      <c r="H113" s="9">
        <f t="shared" si="3"/>
        <v>0.57824999999999993</v>
      </c>
      <c r="I113" s="4" t="str">
        <f t="shared" si="4"/>
        <v>Sin riesgo &lt;85%</v>
      </c>
      <c r="J113" s="1" t="s">
        <v>13</v>
      </c>
      <c r="K113" s="1" t="str">
        <f t="shared" si="5"/>
        <v>Sin riesgo</v>
      </c>
    </row>
    <row r="114" spans="1:11">
      <c r="A114" s="1" t="s">
        <v>52</v>
      </c>
      <c r="B114" s="6" t="s">
        <v>14</v>
      </c>
      <c r="C114" s="3">
        <v>23.49</v>
      </c>
      <c r="D114" s="3">
        <v>21.37</v>
      </c>
      <c r="E114" s="3">
        <v>40</v>
      </c>
      <c r="F114" s="4">
        <v>6.8401069999999997</v>
      </c>
      <c r="G114" s="4">
        <v>-75.189075000000003</v>
      </c>
      <c r="H114" s="9">
        <f t="shared" si="3"/>
        <v>0.58724999999999994</v>
      </c>
      <c r="I114" s="4" t="str">
        <f t="shared" si="4"/>
        <v>Sin riesgo &lt;85%</v>
      </c>
      <c r="J114" s="1" t="s">
        <v>13</v>
      </c>
      <c r="K114" s="1" t="str">
        <f t="shared" si="5"/>
        <v>Sin riesgo</v>
      </c>
    </row>
    <row r="115" spans="1:11">
      <c r="A115" s="1" t="s">
        <v>52</v>
      </c>
      <c r="B115" s="6" t="s">
        <v>15</v>
      </c>
      <c r="C115" s="3">
        <v>23.49</v>
      </c>
      <c r="D115" s="3">
        <v>21.37</v>
      </c>
      <c r="E115" s="3">
        <v>40</v>
      </c>
      <c r="F115" s="4">
        <v>6.8401069999999997</v>
      </c>
      <c r="G115" s="4">
        <v>-75.189075000000003</v>
      </c>
      <c r="H115" s="9">
        <f t="shared" si="3"/>
        <v>0.58724999999999994</v>
      </c>
      <c r="I115" s="4" t="str">
        <f t="shared" si="4"/>
        <v>Sin riesgo &lt;85%</v>
      </c>
      <c r="J115" s="1" t="s">
        <v>13</v>
      </c>
      <c r="K115" s="1" t="str">
        <f t="shared" si="5"/>
        <v>Sin riesgo</v>
      </c>
    </row>
    <row r="116" spans="1:11">
      <c r="A116" s="1" t="s">
        <v>53</v>
      </c>
      <c r="B116" s="6" t="s">
        <v>12</v>
      </c>
      <c r="C116" s="3">
        <v>11.9</v>
      </c>
      <c r="D116" s="3">
        <v>11.58</v>
      </c>
      <c r="E116" s="3">
        <v>40</v>
      </c>
      <c r="F116" s="4">
        <v>6.2743929999999999</v>
      </c>
      <c r="G116" s="4">
        <v>-75.10275</v>
      </c>
      <c r="H116" s="9">
        <f t="shared" si="3"/>
        <v>0.29749999999999999</v>
      </c>
      <c r="I116" s="4" t="str">
        <f t="shared" si="4"/>
        <v>Sin riesgo &lt;85%</v>
      </c>
      <c r="J116" s="1" t="s">
        <v>13</v>
      </c>
      <c r="K116" s="1" t="str">
        <f t="shared" si="5"/>
        <v>Sin riesgo</v>
      </c>
    </row>
    <row r="117" spans="1:11">
      <c r="A117" s="1" t="s">
        <v>53</v>
      </c>
      <c r="B117" s="6" t="s">
        <v>14</v>
      </c>
      <c r="C117" s="3">
        <v>12.99</v>
      </c>
      <c r="D117" s="3">
        <v>12.69</v>
      </c>
      <c r="E117" s="3">
        <v>40</v>
      </c>
      <c r="F117" s="4">
        <v>6.2743929999999999</v>
      </c>
      <c r="G117" s="4">
        <v>-75.10275</v>
      </c>
      <c r="H117" s="9">
        <f t="shared" si="3"/>
        <v>0.32474999999999998</v>
      </c>
      <c r="I117" s="4" t="str">
        <f t="shared" si="4"/>
        <v>Sin riesgo &lt;85%</v>
      </c>
      <c r="J117" s="1" t="s">
        <v>13</v>
      </c>
      <c r="K117" s="1" t="str">
        <f t="shared" si="5"/>
        <v>Sin riesgo</v>
      </c>
    </row>
    <row r="118" spans="1:11">
      <c r="A118" s="1" t="s">
        <v>53</v>
      </c>
      <c r="B118" s="6" t="s">
        <v>15</v>
      </c>
      <c r="C118" s="3">
        <v>12.99</v>
      </c>
      <c r="D118" s="3">
        <v>12.69</v>
      </c>
      <c r="E118" s="3">
        <v>40</v>
      </c>
      <c r="F118" s="4">
        <v>6.2743929999999999</v>
      </c>
      <c r="G118" s="4">
        <v>-75.10275</v>
      </c>
      <c r="H118" s="9">
        <f t="shared" si="3"/>
        <v>0.32474999999999998</v>
      </c>
      <c r="I118" s="4" t="str">
        <f t="shared" si="4"/>
        <v>Sin riesgo &lt;85%</v>
      </c>
      <c r="J118" s="1" t="s">
        <v>13</v>
      </c>
      <c r="K118" s="1" t="str">
        <f t="shared" si="5"/>
        <v>Sin riesgo</v>
      </c>
    </row>
    <row r="119" spans="1:11">
      <c r="A119" s="1" t="s">
        <v>54</v>
      </c>
      <c r="B119" s="6" t="s">
        <v>12</v>
      </c>
      <c r="C119" s="3">
        <v>35.26</v>
      </c>
      <c r="D119" s="3">
        <v>36.71</v>
      </c>
      <c r="E119" s="3">
        <v>31.5</v>
      </c>
      <c r="F119" s="4">
        <v>6.2743929999999999</v>
      </c>
      <c r="G119" s="4">
        <v>-75.10275</v>
      </c>
      <c r="H119" s="9">
        <f t="shared" si="3"/>
        <v>1.1653968253968254</v>
      </c>
      <c r="I119" s="4" t="str">
        <f t="shared" si="4"/>
        <v>Altamente critico &gt;100%</v>
      </c>
      <c r="J119" s="1" t="s">
        <v>13</v>
      </c>
      <c r="K119" s="1" t="str">
        <f t="shared" si="5"/>
        <v>Sin riesgo</v>
      </c>
    </row>
    <row r="120" spans="1:11">
      <c r="A120" s="1" t="s">
        <v>54</v>
      </c>
      <c r="B120" s="6" t="s">
        <v>14</v>
      </c>
      <c r="C120" s="3">
        <v>35.76</v>
      </c>
      <c r="D120" s="3">
        <v>37.33</v>
      </c>
      <c r="E120" s="3">
        <v>31.5</v>
      </c>
      <c r="F120" s="4">
        <v>6.2743929999999999</v>
      </c>
      <c r="G120" s="4">
        <v>-75.10275</v>
      </c>
      <c r="H120" s="9">
        <f t="shared" si="3"/>
        <v>1.185079365079365</v>
      </c>
      <c r="I120" s="4" t="str">
        <f t="shared" si="4"/>
        <v>Altamente critico &gt;100%</v>
      </c>
      <c r="J120" s="1" t="s">
        <v>13</v>
      </c>
      <c r="K120" s="1" t="str">
        <f t="shared" si="5"/>
        <v>Sin riesgo</v>
      </c>
    </row>
    <row r="121" spans="1:11">
      <c r="A121" s="1" t="s">
        <v>54</v>
      </c>
      <c r="B121" s="6" t="s">
        <v>15</v>
      </c>
      <c r="C121" s="3">
        <v>35.76</v>
      </c>
      <c r="D121" s="3">
        <v>37.33</v>
      </c>
      <c r="E121" s="3">
        <v>31.5</v>
      </c>
      <c r="F121" s="4">
        <v>6.2743929999999999</v>
      </c>
      <c r="G121" s="4">
        <v>-75.10275</v>
      </c>
      <c r="H121" s="9">
        <f t="shared" si="3"/>
        <v>1.185079365079365</v>
      </c>
      <c r="I121" s="4" t="str">
        <f t="shared" si="4"/>
        <v>Altamente critico &gt;100%</v>
      </c>
      <c r="J121" s="1" t="s">
        <v>13</v>
      </c>
      <c r="K121" s="1" t="str">
        <f t="shared" si="5"/>
        <v>Sin riesgo</v>
      </c>
    </row>
    <row r="122" spans="1:11">
      <c r="A122" s="1" t="s">
        <v>55</v>
      </c>
      <c r="B122" s="6" t="s">
        <v>12</v>
      </c>
      <c r="C122" s="3">
        <v>41.23</v>
      </c>
      <c r="D122" s="3">
        <v>41.95</v>
      </c>
      <c r="E122" s="3">
        <v>40</v>
      </c>
      <c r="F122" s="4">
        <v>6.2080950000000001</v>
      </c>
      <c r="G122" s="4">
        <v>-75.580969999999994</v>
      </c>
      <c r="H122" s="9">
        <f t="shared" si="3"/>
        <v>1.0487500000000001</v>
      </c>
      <c r="I122" s="4" t="str">
        <f t="shared" si="4"/>
        <v>Altamente critico &gt;100%</v>
      </c>
      <c r="J122" s="1" t="s">
        <v>13</v>
      </c>
      <c r="K122" s="1" t="str">
        <f t="shared" si="5"/>
        <v>Sin riesgo</v>
      </c>
    </row>
    <row r="123" spans="1:11">
      <c r="A123" s="1" t="s">
        <v>55</v>
      </c>
      <c r="B123" s="6" t="s">
        <v>14</v>
      </c>
      <c r="C123" s="3">
        <v>41.53</v>
      </c>
      <c r="D123" s="3">
        <v>42.38</v>
      </c>
      <c r="E123" s="3">
        <v>40</v>
      </c>
      <c r="F123" s="4">
        <v>6.2080950000000001</v>
      </c>
      <c r="G123" s="4">
        <v>-75.580969999999994</v>
      </c>
      <c r="H123" s="9">
        <f t="shared" si="3"/>
        <v>1.0595000000000001</v>
      </c>
      <c r="I123" s="4" t="str">
        <f t="shared" si="4"/>
        <v>Altamente critico &gt;100%</v>
      </c>
      <c r="J123" s="1" t="s">
        <v>13</v>
      </c>
      <c r="K123" s="1" t="str">
        <f t="shared" si="5"/>
        <v>Sin riesgo</v>
      </c>
    </row>
    <row r="124" spans="1:11">
      <c r="A124" s="1" t="s">
        <v>55</v>
      </c>
      <c r="B124" s="6" t="s">
        <v>15</v>
      </c>
      <c r="C124" s="3">
        <v>41.53</v>
      </c>
      <c r="D124" s="3">
        <v>42.38</v>
      </c>
      <c r="E124" s="3">
        <v>40</v>
      </c>
      <c r="F124" s="4">
        <v>6.2080950000000001</v>
      </c>
      <c r="G124" s="4">
        <v>-75.580969999999994</v>
      </c>
      <c r="H124" s="9">
        <f t="shared" si="3"/>
        <v>1.0595000000000001</v>
      </c>
      <c r="I124" s="4" t="str">
        <f t="shared" si="4"/>
        <v>Altamente critico &gt;100%</v>
      </c>
      <c r="J124" s="1" t="s">
        <v>13</v>
      </c>
      <c r="K124" s="1" t="str">
        <f t="shared" si="5"/>
        <v>Sin riesgo</v>
      </c>
    </row>
    <row r="125" spans="1:11">
      <c r="A125" s="1" t="s">
        <v>56</v>
      </c>
      <c r="B125" s="6" t="s">
        <v>12</v>
      </c>
      <c r="C125" s="3">
        <v>15.34</v>
      </c>
      <c r="D125" s="3">
        <v>18.11</v>
      </c>
      <c r="E125" s="3">
        <v>40</v>
      </c>
      <c r="F125" s="4">
        <v>6.2080950000000001</v>
      </c>
      <c r="G125" s="4">
        <v>-75.580969999999994</v>
      </c>
      <c r="H125" s="9">
        <f t="shared" si="3"/>
        <v>0.45274999999999999</v>
      </c>
      <c r="I125" s="4" t="str">
        <f t="shared" si="4"/>
        <v>Sin riesgo &lt;85%</v>
      </c>
      <c r="J125" s="1" t="s">
        <v>13</v>
      </c>
      <c r="K125" s="1" t="str">
        <f t="shared" si="5"/>
        <v>Sin riesgo</v>
      </c>
    </row>
    <row r="126" spans="1:11">
      <c r="A126" s="1" t="s">
        <v>56</v>
      </c>
      <c r="B126" s="6" t="s">
        <v>14</v>
      </c>
      <c r="C126" s="3">
        <v>15.41</v>
      </c>
      <c r="D126" s="3">
        <v>18.25</v>
      </c>
      <c r="E126" s="3">
        <v>40</v>
      </c>
      <c r="F126" s="4">
        <v>6.2080950000000001</v>
      </c>
      <c r="G126" s="4">
        <v>-75.580969999999994</v>
      </c>
      <c r="H126" s="9">
        <f t="shared" si="3"/>
        <v>0.45624999999999999</v>
      </c>
      <c r="I126" s="4" t="str">
        <f t="shared" si="4"/>
        <v>Sin riesgo &lt;85%</v>
      </c>
      <c r="J126" s="1" t="s">
        <v>13</v>
      </c>
      <c r="K126" s="1" t="str">
        <f t="shared" si="5"/>
        <v>Sin riesgo</v>
      </c>
    </row>
    <row r="127" spans="1:11">
      <c r="A127" s="1" t="s">
        <v>56</v>
      </c>
      <c r="B127" s="6" t="s">
        <v>15</v>
      </c>
      <c r="C127" s="3">
        <v>15.41</v>
      </c>
      <c r="D127" s="3">
        <v>18.25</v>
      </c>
      <c r="E127" s="3">
        <v>40</v>
      </c>
      <c r="F127" s="4">
        <v>6.2080950000000001</v>
      </c>
      <c r="G127" s="4">
        <v>-75.580969999999994</v>
      </c>
      <c r="H127" s="9">
        <f t="shared" si="3"/>
        <v>0.45624999999999999</v>
      </c>
      <c r="I127" s="4" t="str">
        <f t="shared" si="4"/>
        <v>Sin riesgo &lt;85%</v>
      </c>
      <c r="J127" s="1" t="s">
        <v>13</v>
      </c>
      <c r="K127" s="1" t="str">
        <f t="shared" si="5"/>
        <v>Sin riesgo</v>
      </c>
    </row>
    <row r="128" spans="1:11">
      <c r="A128" s="1" t="s">
        <v>57</v>
      </c>
      <c r="B128" s="6" t="s">
        <v>12</v>
      </c>
      <c r="C128" s="3">
        <v>5.5</v>
      </c>
      <c r="D128" s="3">
        <v>6.54</v>
      </c>
      <c r="E128" s="3">
        <v>40</v>
      </c>
      <c r="F128" s="11"/>
      <c r="G128" s="11"/>
      <c r="H128" s="9">
        <f t="shared" si="3"/>
        <v>0.16350000000000001</v>
      </c>
      <c r="I128" s="4" t="str">
        <f t="shared" si="4"/>
        <v>Sin riesgo &lt;85%</v>
      </c>
      <c r="J128" s="1" t="s">
        <v>13</v>
      </c>
      <c r="K128" s="1" t="str">
        <f t="shared" si="5"/>
        <v>Sin riesgo</v>
      </c>
    </row>
    <row r="129" spans="1:11">
      <c r="A129" s="1" t="s">
        <v>57</v>
      </c>
      <c r="B129" s="6" t="s">
        <v>14</v>
      </c>
      <c r="C129" s="3">
        <v>5.52</v>
      </c>
      <c r="D129" s="3">
        <v>6.57</v>
      </c>
      <c r="E129" s="3">
        <v>40</v>
      </c>
      <c r="F129" s="11"/>
      <c r="G129" s="11"/>
      <c r="H129" s="9">
        <f t="shared" si="3"/>
        <v>0.16425000000000001</v>
      </c>
      <c r="I129" s="4" t="str">
        <f t="shared" si="4"/>
        <v>Sin riesgo &lt;85%</v>
      </c>
      <c r="J129" s="1" t="s">
        <v>13</v>
      </c>
      <c r="K129" s="1" t="str">
        <f t="shared" si="5"/>
        <v>Sin riesgo</v>
      </c>
    </row>
    <row r="130" spans="1:11">
      <c r="A130" s="1" t="s">
        <v>57</v>
      </c>
      <c r="B130" s="6" t="s">
        <v>15</v>
      </c>
      <c r="C130" s="3">
        <v>5.52</v>
      </c>
      <c r="D130" s="3">
        <v>6.57</v>
      </c>
      <c r="E130" s="3">
        <v>40</v>
      </c>
      <c r="F130" s="11"/>
      <c r="G130" s="11"/>
      <c r="H130" s="9">
        <f t="shared" si="3"/>
        <v>0.16425000000000001</v>
      </c>
      <c r="I130" s="4" t="str">
        <f t="shared" si="4"/>
        <v>Sin riesgo &lt;85%</v>
      </c>
      <c r="J130" s="1" t="s">
        <v>13</v>
      </c>
      <c r="K130" s="1" t="str">
        <f t="shared" si="5"/>
        <v>Sin riesgo</v>
      </c>
    </row>
    <row r="131" spans="1:11">
      <c r="A131" s="1" t="s">
        <v>58</v>
      </c>
      <c r="B131" s="6" t="s">
        <v>12</v>
      </c>
      <c r="C131" s="3">
        <v>27.19</v>
      </c>
      <c r="D131" s="3">
        <v>28.81</v>
      </c>
      <c r="E131" s="3">
        <v>40</v>
      </c>
      <c r="F131" s="4">
        <v>6.2434764630231596</v>
      </c>
      <c r="G131" s="4">
        <v>-75.774685817238193</v>
      </c>
      <c r="H131" s="9">
        <f t="shared" ref="H131:H194" si="6">IF(C131&gt;D131,C131/E131,D131/E131)</f>
        <v>0.72024999999999995</v>
      </c>
      <c r="I131" s="4" t="str">
        <f t="shared" ref="I131:I194" si="7">IF(H131&gt;100%,"Altamente critico &gt;100%",IF(H131&gt;95%,"Critico &gt;95%",IF(H131&gt;85%,"En riesgo &gt;85%","Sin riesgo &lt;85%")))</f>
        <v>Sin riesgo &lt;85%</v>
      </c>
      <c r="J131" s="1" t="s">
        <v>13</v>
      </c>
      <c r="K131" s="1" t="str">
        <f t="shared" ref="K131:K194" si="8">IF(J131="&gt;5","Sin riesgo",IF(J131&gt;1.5,"Estado de alerta","Estado critico"))</f>
        <v>Sin riesgo</v>
      </c>
    </row>
    <row r="132" spans="1:11">
      <c r="A132" s="1" t="s">
        <v>58</v>
      </c>
      <c r="B132" s="6" t="s">
        <v>14</v>
      </c>
      <c r="C132" s="3">
        <v>27.53</v>
      </c>
      <c r="D132" s="3">
        <v>29.31</v>
      </c>
      <c r="E132" s="3">
        <v>40</v>
      </c>
      <c r="F132" s="4">
        <v>6.2434764630231596</v>
      </c>
      <c r="G132" s="4">
        <v>-75.774685817238193</v>
      </c>
      <c r="H132" s="9">
        <f t="shared" si="6"/>
        <v>0.73275000000000001</v>
      </c>
      <c r="I132" s="4" t="str">
        <f t="shared" si="7"/>
        <v>Sin riesgo &lt;85%</v>
      </c>
      <c r="J132" s="1" t="s">
        <v>13</v>
      </c>
      <c r="K132" s="1" t="str">
        <f t="shared" si="8"/>
        <v>Sin riesgo</v>
      </c>
    </row>
    <row r="133" spans="1:11">
      <c r="A133" s="1" t="s">
        <v>58</v>
      </c>
      <c r="B133" s="6" t="s">
        <v>15</v>
      </c>
      <c r="C133" s="3">
        <v>27.53</v>
      </c>
      <c r="D133" s="3">
        <v>29.31</v>
      </c>
      <c r="E133" s="3">
        <v>40</v>
      </c>
      <c r="F133" s="4">
        <v>6.2434764630231596</v>
      </c>
      <c r="G133" s="4">
        <v>-75.774685817238193</v>
      </c>
      <c r="H133" s="9">
        <f t="shared" si="6"/>
        <v>0.73275000000000001</v>
      </c>
      <c r="I133" s="4" t="str">
        <f t="shared" si="7"/>
        <v>Sin riesgo &lt;85%</v>
      </c>
      <c r="J133" s="1" t="s">
        <v>13</v>
      </c>
      <c r="K133" s="1" t="str">
        <f t="shared" si="8"/>
        <v>Sin riesgo</v>
      </c>
    </row>
    <row r="134" spans="1:11">
      <c r="A134" s="1" t="s">
        <v>59</v>
      </c>
      <c r="B134" s="6" t="s">
        <v>12</v>
      </c>
      <c r="C134" s="3">
        <v>12.93</v>
      </c>
      <c r="D134" s="3">
        <v>15.76</v>
      </c>
      <c r="E134" s="3">
        <v>40</v>
      </c>
      <c r="F134" s="4">
        <v>6.2434764630231596</v>
      </c>
      <c r="G134" s="4">
        <v>-75.774685817238193</v>
      </c>
      <c r="H134" s="9">
        <f t="shared" si="6"/>
        <v>0.39400000000000002</v>
      </c>
      <c r="I134" s="4" t="str">
        <f t="shared" si="7"/>
        <v>Sin riesgo &lt;85%</v>
      </c>
      <c r="J134" s="1" t="s">
        <v>13</v>
      </c>
      <c r="K134" s="1" t="str">
        <f t="shared" si="8"/>
        <v>Sin riesgo</v>
      </c>
    </row>
    <row r="135" spans="1:11">
      <c r="A135" s="1" t="s">
        <v>59</v>
      </c>
      <c r="B135" s="6" t="s">
        <v>14</v>
      </c>
      <c r="C135" s="3">
        <v>13.22</v>
      </c>
      <c r="D135" s="3">
        <v>16.329999999999998</v>
      </c>
      <c r="E135" s="3">
        <v>40</v>
      </c>
      <c r="F135" s="4">
        <v>6.2434764630231596</v>
      </c>
      <c r="G135" s="4">
        <v>-75.774685817238193</v>
      </c>
      <c r="H135" s="9">
        <f t="shared" si="6"/>
        <v>0.40824999999999995</v>
      </c>
      <c r="I135" s="4" t="str">
        <f t="shared" si="7"/>
        <v>Sin riesgo &lt;85%</v>
      </c>
      <c r="J135" s="1" t="s">
        <v>13</v>
      </c>
      <c r="K135" s="1" t="str">
        <f t="shared" si="8"/>
        <v>Sin riesgo</v>
      </c>
    </row>
    <row r="136" spans="1:11">
      <c r="A136" s="1" t="s">
        <v>59</v>
      </c>
      <c r="B136" s="6" t="s">
        <v>15</v>
      </c>
      <c r="C136" s="3">
        <v>13.22</v>
      </c>
      <c r="D136" s="3">
        <v>16.329999999999998</v>
      </c>
      <c r="E136" s="3">
        <v>40</v>
      </c>
      <c r="F136" s="4">
        <v>6.2434764630231596</v>
      </c>
      <c r="G136" s="4">
        <v>-75.774685817238193</v>
      </c>
      <c r="H136" s="9">
        <f t="shared" si="6"/>
        <v>0.40824999999999995</v>
      </c>
      <c r="I136" s="4" t="str">
        <f t="shared" si="7"/>
        <v>Sin riesgo &lt;85%</v>
      </c>
      <c r="J136" s="1" t="s">
        <v>13</v>
      </c>
      <c r="K136" s="1" t="str">
        <f t="shared" si="8"/>
        <v>Sin riesgo</v>
      </c>
    </row>
    <row r="137" spans="1:11">
      <c r="A137" s="1" t="s">
        <v>60</v>
      </c>
      <c r="B137" s="6" t="s">
        <v>12</v>
      </c>
      <c r="C137" s="3">
        <v>3.45</v>
      </c>
      <c r="D137" s="3">
        <v>4.5199999999999996</v>
      </c>
      <c r="E137" s="3">
        <v>25</v>
      </c>
      <c r="F137" s="4">
        <v>5.801444</v>
      </c>
      <c r="G137" s="4">
        <v>-75.913380000000004</v>
      </c>
      <c r="H137" s="9">
        <f t="shared" si="6"/>
        <v>0.18079999999999999</v>
      </c>
      <c r="I137" s="4" t="str">
        <f t="shared" si="7"/>
        <v>Sin riesgo &lt;85%</v>
      </c>
      <c r="J137" s="1" t="s">
        <v>13</v>
      </c>
      <c r="K137" s="1" t="str">
        <f t="shared" si="8"/>
        <v>Sin riesgo</v>
      </c>
    </row>
    <row r="138" spans="1:11">
      <c r="A138" s="1" t="s">
        <v>60</v>
      </c>
      <c r="B138" s="6" t="s">
        <v>14</v>
      </c>
      <c r="C138" s="3">
        <v>5.9</v>
      </c>
      <c r="D138" s="3">
        <v>7.9</v>
      </c>
      <c r="E138" s="3">
        <v>25</v>
      </c>
      <c r="F138" s="4">
        <v>5.801444</v>
      </c>
      <c r="G138" s="4">
        <v>-75.913380000000004</v>
      </c>
      <c r="H138" s="9">
        <f t="shared" si="6"/>
        <v>0.316</v>
      </c>
      <c r="I138" s="4" t="str">
        <f t="shared" si="7"/>
        <v>Sin riesgo &lt;85%</v>
      </c>
      <c r="J138" s="1" t="s">
        <v>13</v>
      </c>
      <c r="K138" s="1" t="str">
        <f t="shared" si="8"/>
        <v>Sin riesgo</v>
      </c>
    </row>
    <row r="139" spans="1:11">
      <c r="A139" s="1" t="s">
        <v>60</v>
      </c>
      <c r="B139" s="6" t="s">
        <v>15</v>
      </c>
      <c r="C139" s="3">
        <v>5.9</v>
      </c>
      <c r="D139" s="3">
        <v>7.9</v>
      </c>
      <c r="E139" s="3">
        <v>25</v>
      </c>
      <c r="F139" s="4">
        <v>5.801444</v>
      </c>
      <c r="G139" s="4">
        <v>-75.913380000000004</v>
      </c>
      <c r="H139" s="9">
        <f t="shared" si="6"/>
        <v>0.316</v>
      </c>
      <c r="I139" s="4" t="str">
        <f t="shared" si="7"/>
        <v>Sin riesgo &lt;85%</v>
      </c>
      <c r="J139" s="1" t="s">
        <v>13</v>
      </c>
      <c r="K139" s="1" t="str">
        <f t="shared" si="8"/>
        <v>Sin riesgo</v>
      </c>
    </row>
    <row r="140" spans="1:11">
      <c r="A140" s="1" t="s">
        <v>61</v>
      </c>
      <c r="B140" s="6" t="s">
        <v>12</v>
      </c>
      <c r="C140" s="3">
        <v>12.68</v>
      </c>
      <c r="D140" s="3">
        <v>18.27</v>
      </c>
      <c r="E140" s="3">
        <v>40</v>
      </c>
      <c r="F140" s="4">
        <v>6.287795</v>
      </c>
      <c r="G140" s="4">
        <v>-75.589568</v>
      </c>
      <c r="H140" s="9">
        <f t="shared" si="6"/>
        <v>0.45674999999999999</v>
      </c>
      <c r="I140" s="4" t="str">
        <f t="shared" si="7"/>
        <v>Sin riesgo &lt;85%</v>
      </c>
      <c r="J140" s="1" t="s">
        <v>13</v>
      </c>
      <c r="K140" s="1" t="str">
        <f t="shared" si="8"/>
        <v>Sin riesgo</v>
      </c>
    </row>
    <row r="141" spans="1:11">
      <c r="A141" s="1" t="s">
        <v>61</v>
      </c>
      <c r="B141" s="6" t="s">
        <v>14</v>
      </c>
      <c r="C141" s="3">
        <v>12.72</v>
      </c>
      <c r="D141" s="3">
        <v>18.37</v>
      </c>
      <c r="E141" s="3">
        <v>40</v>
      </c>
      <c r="F141" s="4">
        <v>6.287795</v>
      </c>
      <c r="G141" s="4">
        <v>-75.589568</v>
      </c>
      <c r="H141" s="9">
        <f t="shared" si="6"/>
        <v>0.45925000000000005</v>
      </c>
      <c r="I141" s="4" t="str">
        <f t="shared" si="7"/>
        <v>Sin riesgo &lt;85%</v>
      </c>
      <c r="J141" s="1" t="s">
        <v>13</v>
      </c>
      <c r="K141" s="1" t="str">
        <f t="shared" si="8"/>
        <v>Sin riesgo</v>
      </c>
    </row>
    <row r="142" spans="1:11">
      <c r="A142" s="1" t="s">
        <v>61</v>
      </c>
      <c r="B142" s="6" t="s">
        <v>15</v>
      </c>
      <c r="C142" s="3">
        <v>12.72</v>
      </c>
      <c r="D142" s="3">
        <v>18.36</v>
      </c>
      <c r="E142" s="3">
        <v>40</v>
      </c>
      <c r="F142" s="4">
        <v>6.287795</v>
      </c>
      <c r="G142" s="4">
        <v>-75.589568</v>
      </c>
      <c r="H142" s="9">
        <f t="shared" si="6"/>
        <v>0.45899999999999996</v>
      </c>
      <c r="I142" s="4" t="str">
        <f t="shared" si="7"/>
        <v>Sin riesgo &lt;85%</v>
      </c>
      <c r="J142" s="1" t="s">
        <v>13</v>
      </c>
      <c r="K142" s="1" t="str">
        <f t="shared" si="8"/>
        <v>Sin riesgo</v>
      </c>
    </row>
    <row r="143" spans="1:11">
      <c r="A143" s="1" t="s">
        <v>62</v>
      </c>
      <c r="B143" s="6" t="s">
        <v>12</v>
      </c>
      <c r="C143" s="3">
        <v>26.39</v>
      </c>
      <c r="D143" s="3">
        <v>32.26</v>
      </c>
      <c r="E143" s="3">
        <v>40</v>
      </c>
      <c r="F143" s="11"/>
      <c r="G143" s="11"/>
      <c r="H143" s="9">
        <f t="shared" si="6"/>
        <v>0.80649999999999999</v>
      </c>
      <c r="I143" s="4" t="str">
        <f t="shared" si="7"/>
        <v>Sin riesgo &lt;85%</v>
      </c>
      <c r="J143" s="1" t="s">
        <v>13</v>
      </c>
      <c r="K143" s="1" t="str">
        <f t="shared" si="8"/>
        <v>Sin riesgo</v>
      </c>
    </row>
    <row r="144" spans="1:11">
      <c r="A144" s="1" t="s">
        <v>62</v>
      </c>
      <c r="B144" s="6" t="s">
        <v>14</v>
      </c>
      <c r="C144" s="3">
        <v>26.65</v>
      </c>
      <c r="D144" s="3">
        <v>32.71</v>
      </c>
      <c r="E144" s="3">
        <v>40</v>
      </c>
      <c r="F144" s="11"/>
      <c r="G144" s="11"/>
      <c r="H144" s="9">
        <f t="shared" si="6"/>
        <v>0.81774999999999998</v>
      </c>
      <c r="I144" s="4" t="str">
        <f t="shared" si="7"/>
        <v>Sin riesgo &lt;85%</v>
      </c>
      <c r="J144" s="1" t="s">
        <v>13</v>
      </c>
      <c r="K144" s="1" t="str">
        <f t="shared" si="8"/>
        <v>Sin riesgo</v>
      </c>
    </row>
    <row r="145" spans="1:11">
      <c r="A145" s="1" t="s">
        <v>62</v>
      </c>
      <c r="B145" s="6" t="s">
        <v>15</v>
      </c>
      <c r="C145" s="3">
        <v>26.65</v>
      </c>
      <c r="D145" s="3">
        <v>32.71</v>
      </c>
      <c r="E145" s="3">
        <v>40</v>
      </c>
      <c r="F145" s="11"/>
      <c r="G145" s="11"/>
      <c r="H145" s="9">
        <f t="shared" si="6"/>
        <v>0.81774999999999998</v>
      </c>
      <c r="I145" s="4" t="str">
        <f t="shared" si="7"/>
        <v>Sin riesgo &lt;85%</v>
      </c>
      <c r="J145" s="1" t="s">
        <v>13</v>
      </c>
      <c r="K145" s="1" t="str">
        <f t="shared" si="8"/>
        <v>Sin riesgo</v>
      </c>
    </row>
    <row r="146" spans="1:11">
      <c r="A146" s="1" t="s">
        <v>63</v>
      </c>
      <c r="B146" s="6" t="s">
        <v>12</v>
      </c>
      <c r="C146" s="3">
        <v>0.88</v>
      </c>
      <c r="D146" s="3">
        <v>1.48</v>
      </c>
      <c r="E146" s="3">
        <v>31.5</v>
      </c>
      <c r="F146" s="4">
        <v>5.1027923487891496</v>
      </c>
      <c r="G146" s="4">
        <v>-76.695480327121999</v>
      </c>
      <c r="H146" s="9">
        <f t="shared" si="6"/>
        <v>4.6984126984126982E-2</v>
      </c>
      <c r="I146" s="4" t="str">
        <f t="shared" si="7"/>
        <v>Sin riesgo &lt;85%</v>
      </c>
      <c r="J146" s="1" t="s">
        <v>13</v>
      </c>
      <c r="K146" s="1" t="str">
        <f t="shared" si="8"/>
        <v>Sin riesgo</v>
      </c>
    </row>
    <row r="147" spans="1:11">
      <c r="A147" s="1" t="s">
        <v>63</v>
      </c>
      <c r="B147" s="6" t="s">
        <v>14</v>
      </c>
      <c r="C147" s="3">
        <v>0.9</v>
      </c>
      <c r="D147" s="3">
        <v>1.5</v>
      </c>
      <c r="E147" s="3">
        <v>31.5</v>
      </c>
      <c r="F147" s="4">
        <v>5.1027923487891496</v>
      </c>
      <c r="G147" s="4">
        <v>-76.695480327121999</v>
      </c>
      <c r="H147" s="9">
        <f t="shared" si="6"/>
        <v>4.7619047619047616E-2</v>
      </c>
      <c r="I147" s="4" t="str">
        <f t="shared" si="7"/>
        <v>Sin riesgo &lt;85%</v>
      </c>
      <c r="J147" s="1" t="s">
        <v>13</v>
      </c>
      <c r="K147" s="1" t="str">
        <f t="shared" si="8"/>
        <v>Sin riesgo</v>
      </c>
    </row>
    <row r="148" spans="1:11">
      <c r="A148" s="1" t="s">
        <v>63</v>
      </c>
      <c r="B148" s="6" t="s">
        <v>15</v>
      </c>
      <c r="C148" s="3">
        <v>0.9</v>
      </c>
      <c r="D148" s="3">
        <v>1.5</v>
      </c>
      <c r="E148" s="3">
        <v>31.5</v>
      </c>
      <c r="F148" s="4">
        <v>5.1027923487891496</v>
      </c>
      <c r="G148" s="4">
        <v>-76.695480327121999</v>
      </c>
      <c r="H148" s="9">
        <f t="shared" si="6"/>
        <v>4.7619047619047616E-2</v>
      </c>
      <c r="I148" s="4" t="str">
        <f t="shared" si="7"/>
        <v>Sin riesgo &lt;85%</v>
      </c>
      <c r="J148" s="1" t="s">
        <v>13</v>
      </c>
      <c r="K148" s="1" t="str">
        <f t="shared" si="8"/>
        <v>Sin riesgo</v>
      </c>
    </row>
    <row r="149" spans="1:11">
      <c r="A149" s="1" t="s">
        <v>64</v>
      </c>
      <c r="B149" s="6" t="s">
        <v>12</v>
      </c>
      <c r="C149" s="3">
        <v>17.22</v>
      </c>
      <c r="D149" s="3">
        <v>23.55</v>
      </c>
      <c r="E149" s="3">
        <v>40</v>
      </c>
      <c r="F149" s="4">
        <v>6.1715119999999999</v>
      </c>
      <c r="G149" s="4">
        <v>-75.631151000000003</v>
      </c>
      <c r="H149" s="9">
        <f t="shared" si="6"/>
        <v>0.58875</v>
      </c>
      <c r="I149" s="4" t="str">
        <f t="shared" si="7"/>
        <v>Sin riesgo &lt;85%</v>
      </c>
      <c r="J149" s="1" t="s">
        <v>13</v>
      </c>
      <c r="K149" s="1" t="str">
        <f t="shared" si="8"/>
        <v>Sin riesgo</v>
      </c>
    </row>
    <row r="150" spans="1:11">
      <c r="A150" s="1" t="s">
        <v>64</v>
      </c>
      <c r="B150" s="6" t="s">
        <v>14</v>
      </c>
      <c r="C150" s="3">
        <v>17.29</v>
      </c>
      <c r="D150" s="3">
        <v>23.74</v>
      </c>
      <c r="E150" s="3">
        <v>40</v>
      </c>
      <c r="F150" s="4">
        <v>6.1715119999999999</v>
      </c>
      <c r="G150" s="4">
        <v>-75.631151000000003</v>
      </c>
      <c r="H150" s="9">
        <f t="shared" si="6"/>
        <v>0.59349999999999992</v>
      </c>
      <c r="I150" s="4" t="str">
        <f t="shared" si="7"/>
        <v>Sin riesgo &lt;85%</v>
      </c>
      <c r="J150" s="1" t="s">
        <v>13</v>
      </c>
      <c r="K150" s="1" t="str">
        <f t="shared" si="8"/>
        <v>Sin riesgo</v>
      </c>
    </row>
    <row r="151" spans="1:11">
      <c r="A151" s="1" t="s">
        <v>64</v>
      </c>
      <c r="B151" s="6" t="s">
        <v>15</v>
      </c>
      <c r="C151" s="3">
        <v>17.29</v>
      </c>
      <c r="D151" s="3">
        <v>23.74</v>
      </c>
      <c r="E151" s="3">
        <v>40</v>
      </c>
      <c r="F151" s="4">
        <v>6.1715119999999999</v>
      </c>
      <c r="G151" s="4">
        <v>-75.631151000000003</v>
      </c>
      <c r="H151" s="9">
        <f t="shared" si="6"/>
        <v>0.59349999999999992</v>
      </c>
      <c r="I151" s="4" t="str">
        <f t="shared" si="7"/>
        <v>Sin riesgo &lt;85%</v>
      </c>
      <c r="J151" s="1" t="s">
        <v>13</v>
      </c>
      <c r="K151" s="1" t="str">
        <f t="shared" si="8"/>
        <v>Sin riesgo</v>
      </c>
    </row>
    <row r="152" spans="1:11">
      <c r="A152" s="1" t="s">
        <v>65</v>
      </c>
      <c r="B152" s="6" t="s">
        <v>12</v>
      </c>
      <c r="C152" s="3">
        <v>21.08</v>
      </c>
      <c r="D152" s="3">
        <v>23.49</v>
      </c>
      <c r="E152" s="3">
        <v>31.5</v>
      </c>
      <c r="F152" s="11"/>
      <c r="G152" s="11"/>
      <c r="H152" s="9">
        <f t="shared" si="6"/>
        <v>0.74571428571428566</v>
      </c>
      <c r="I152" s="4" t="str">
        <f t="shared" si="7"/>
        <v>Sin riesgo &lt;85%</v>
      </c>
      <c r="J152" s="1" t="s">
        <v>13</v>
      </c>
      <c r="K152" s="1" t="str">
        <f t="shared" si="8"/>
        <v>Sin riesgo</v>
      </c>
    </row>
    <row r="153" spans="1:11">
      <c r="A153" s="1" t="s">
        <v>65</v>
      </c>
      <c r="B153" s="6" t="s">
        <v>14</v>
      </c>
      <c r="C153" s="3">
        <v>21.35</v>
      </c>
      <c r="D153" s="3">
        <v>23.83</v>
      </c>
      <c r="E153" s="3">
        <v>31.5</v>
      </c>
      <c r="F153" s="11"/>
      <c r="G153" s="11"/>
      <c r="H153" s="9">
        <f t="shared" si="6"/>
        <v>0.75650793650793646</v>
      </c>
      <c r="I153" s="4" t="str">
        <f t="shared" si="7"/>
        <v>Sin riesgo &lt;85%</v>
      </c>
      <c r="J153" s="1" t="s">
        <v>13</v>
      </c>
      <c r="K153" s="1" t="str">
        <f t="shared" si="8"/>
        <v>Sin riesgo</v>
      </c>
    </row>
    <row r="154" spans="1:11">
      <c r="A154" s="1" t="s">
        <v>65</v>
      </c>
      <c r="B154" s="6" t="s">
        <v>15</v>
      </c>
      <c r="C154" s="3">
        <v>21.35</v>
      </c>
      <c r="D154" s="3">
        <v>23.83</v>
      </c>
      <c r="E154" s="3">
        <v>31.5</v>
      </c>
      <c r="F154" s="11"/>
      <c r="G154" s="11"/>
      <c r="H154" s="9">
        <f t="shared" si="6"/>
        <v>0.75650793650793646</v>
      </c>
      <c r="I154" s="4" t="str">
        <f t="shared" si="7"/>
        <v>Sin riesgo &lt;85%</v>
      </c>
      <c r="J154" s="1" t="s">
        <v>13</v>
      </c>
      <c r="K154" s="1" t="str">
        <f t="shared" si="8"/>
        <v>Sin riesgo</v>
      </c>
    </row>
    <row r="155" spans="1:11">
      <c r="A155" s="1" t="s">
        <v>66</v>
      </c>
      <c r="B155" s="6" t="s">
        <v>12</v>
      </c>
      <c r="C155" s="3">
        <v>5.93</v>
      </c>
      <c r="D155" s="3">
        <v>8.16</v>
      </c>
      <c r="E155" s="3">
        <v>31.5</v>
      </c>
      <c r="F155" s="4">
        <v>6.0385220000000004</v>
      </c>
      <c r="G155" s="4">
        <v>-75.417427000000004</v>
      </c>
      <c r="H155" s="9">
        <f t="shared" si="6"/>
        <v>0.25904761904761903</v>
      </c>
      <c r="I155" s="4" t="str">
        <f t="shared" si="7"/>
        <v>Sin riesgo &lt;85%</v>
      </c>
      <c r="J155" s="1" t="s">
        <v>13</v>
      </c>
      <c r="K155" s="1" t="str">
        <f t="shared" si="8"/>
        <v>Sin riesgo</v>
      </c>
    </row>
    <row r="156" spans="1:11">
      <c r="A156" s="1" t="s">
        <v>66</v>
      </c>
      <c r="B156" s="6" t="s">
        <v>14</v>
      </c>
      <c r="C156" s="3">
        <v>6.01</v>
      </c>
      <c r="D156" s="3">
        <v>8.2899999999999991</v>
      </c>
      <c r="E156" s="3">
        <v>31.5</v>
      </c>
      <c r="F156" s="4">
        <v>6.0385220000000004</v>
      </c>
      <c r="G156" s="4">
        <v>-75.417427000000004</v>
      </c>
      <c r="H156" s="9">
        <f t="shared" si="6"/>
        <v>0.26317460317460317</v>
      </c>
      <c r="I156" s="4" t="str">
        <f t="shared" si="7"/>
        <v>Sin riesgo &lt;85%</v>
      </c>
      <c r="J156" s="1" t="s">
        <v>13</v>
      </c>
      <c r="K156" s="1" t="str">
        <f t="shared" si="8"/>
        <v>Sin riesgo</v>
      </c>
    </row>
    <row r="157" spans="1:11">
      <c r="A157" s="1" t="s">
        <v>66</v>
      </c>
      <c r="B157" s="6" t="s">
        <v>15</v>
      </c>
      <c r="C157" s="3">
        <v>6.01</v>
      </c>
      <c r="D157" s="3">
        <v>8.2899999999999991</v>
      </c>
      <c r="E157" s="3">
        <v>31.5</v>
      </c>
      <c r="F157" s="4">
        <v>6.0385220000000004</v>
      </c>
      <c r="G157" s="4">
        <v>-75.417427000000004</v>
      </c>
      <c r="H157" s="9">
        <f t="shared" si="6"/>
        <v>0.26317460317460317</v>
      </c>
      <c r="I157" s="4" t="str">
        <f t="shared" si="7"/>
        <v>Sin riesgo &lt;85%</v>
      </c>
      <c r="J157" s="1" t="s">
        <v>13</v>
      </c>
      <c r="K157" s="1" t="str">
        <f t="shared" si="8"/>
        <v>Sin riesgo</v>
      </c>
    </row>
    <row r="158" spans="1:11">
      <c r="A158" s="1" t="s">
        <v>67</v>
      </c>
      <c r="B158" s="6" t="s">
        <v>12</v>
      </c>
      <c r="C158" s="3">
        <v>8.49</v>
      </c>
      <c r="D158" s="3">
        <v>7.98</v>
      </c>
      <c r="E158" s="3">
        <v>40</v>
      </c>
      <c r="F158" s="4">
        <v>6.2368129999999997</v>
      </c>
      <c r="G158" s="4">
        <v>-74.559217000000004</v>
      </c>
      <c r="H158" s="9">
        <f t="shared" si="6"/>
        <v>0.21224999999999999</v>
      </c>
      <c r="I158" s="4" t="str">
        <f t="shared" si="7"/>
        <v>Sin riesgo &lt;85%</v>
      </c>
      <c r="J158" s="1" t="s">
        <v>13</v>
      </c>
      <c r="K158" s="1" t="str">
        <f t="shared" si="8"/>
        <v>Sin riesgo</v>
      </c>
    </row>
    <row r="159" spans="1:11">
      <c r="A159" s="1" t="s">
        <v>67</v>
      </c>
      <c r="B159" s="6" t="s">
        <v>14</v>
      </c>
      <c r="C159" s="3">
        <v>9.32</v>
      </c>
      <c r="D159" s="3">
        <v>8.58</v>
      </c>
      <c r="E159" s="3">
        <v>40</v>
      </c>
      <c r="F159" s="4">
        <v>6.2368129999999997</v>
      </c>
      <c r="G159" s="4">
        <v>-74.559217000000004</v>
      </c>
      <c r="H159" s="9">
        <f t="shared" si="6"/>
        <v>0.23300000000000001</v>
      </c>
      <c r="I159" s="4" t="str">
        <f t="shared" si="7"/>
        <v>Sin riesgo &lt;85%</v>
      </c>
      <c r="J159" s="1" t="s">
        <v>13</v>
      </c>
      <c r="K159" s="1" t="str">
        <f t="shared" si="8"/>
        <v>Sin riesgo</v>
      </c>
    </row>
    <row r="160" spans="1:11">
      <c r="A160" s="1" t="s">
        <v>67</v>
      </c>
      <c r="B160" s="6" t="s">
        <v>15</v>
      </c>
      <c r="C160" s="3">
        <v>9.32</v>
      </c>
      <c r="D160" s="3">
        <v>8.58</v>
      </c>
      <c r="E160" s="3">
        <v>40</v>
      </c>
      <c r="F160" s="4">
        <v>6.2368129999999997</v>
      </c>
      <c r="G160" s="4">
        <v>-74.559217000000004</v>
      </c>
      <c r="H160" s="9">
        <f t="shared" si="6"/>
        <v>0.23300000000000001</v>
      </c>
      <c r="I160" s="4" t="str">
        <f t="shared" si="7"/>
        <v>Sin riesgo &lt;85%</v>
      </c>
      <c r="J160" s="1" t="s">
        <v>13</v>
      </c>
      <c r="K160" s="1" t="str">
        <f t="shared" si="8"/>
        <v>Sin riesgo</v>
      </c>
    </row>
    <row r="161" spans="1:11">
      <c r="A161" s="1" t="s">
        <v>68</v>
      </c>
      <c r="B161" s="6" t="s">
        <v>12</v>
      </c>
      <c r="C161" s="3">
        <v>26.92</v>
      </c>
      <c r="D161" s="3">
        <v>24.52</v>
      </c>
      <c r="E161" s="3">
        <v>31.5</v>
      </c>
      <c r="F161" s="4">
        <v>6.2368129999999997</v>
      </c>
      <c r="G161" s="4">
        <v>-74.559217000000004</v>
      </c>
      <c r="H161" s="9">
        <f t="shared" si="6"/>
        <v>0.8546031746031747</v>
      </c>
      <c r="I161" s="4" t="str">
        <f t="shared" si="7"/>
        <v>En riesgo &gt;85%</v>
      </c>
      <c r="J161" s="1" t="s">
        <v>13</v>
      </c>
      <c r="K161" s="1" t="str">
        <f t="shared" si="8"/>
        <v>Sin riesgo</v>
      </c>
    </row>
    <row r="162" spans="1:11">
      <c r="A162" s="1" t="s">
        <v>68</v>
      </c>
      <c r="B162" s="6" t="s">
        <v>14</v>
      </c>
      <c r="C162" s="3">
        <v>27.42</v>
      </c>
      <c r="D162" s="3">
        <v>24.96</v>
      </c>
      <c r="E162" s="3">
        <v>31.5</v>
      </c>
      <c r="F162" s="4">
        <v>6.2368129999999997</v>
      </c>
      <c r="G162" s="4">
        <v>-74.559217000000004</v>
      </c>
      <c r="H162" s="9">
        <f t="shared" si="6"/>
        <v>0.87047619047619051</v>
      </c>
      <c r="I162" s="4" t="str">
        <f t="shared" si="7"/>
        <v>En riesgo &gt;85%</v>
      </c>
      <c r="J162" s="1" t="s">
        <v>13</v>
      </c>
      <c r="K162" s="1" t="str">
        <f t="shared" si="8"/>
        <v>Sin riesgo</v>
      </c>
    </row>
    <row r="163" spans="1:11">
      <c r="A163" s="1" t="s">
        <v>68</v>
      </c>
      <c r="B163" s="6" t="s">
        <v>15</v>
      </c>
      <c r="C163" s="3">
        <v>27.43</v>
      </c>
      <c r="D163" s="3">
        <v>24.97</v>
      </c>
      <c r="E163" s="3">
        <v>31.5</v>
      </c>
      <c r="F163" s="4">
        <v>6.2368129999999997</v>
      </c>
      <c r="G163" s="4">
        <v>-74.559217000000004</v>
      </c>
      <c r="H163" s="9">
        <f t="shared" si="6"/>
        <v>0.87079365079365079</v>
      </c>
      <c r="I163" s="4" t="str">
        <f t="shared" si="7"/>
        <v>En riesgo &gt;85%</v>
      </c>
      <c r="J163" s="1" t="s">
        <v>13</v>
      </c>
      <c r="K163" s="1" t="str">
        <f t="shared" si="8"/>
        <v>Sin riesgo</v>
      </c>
    </row>
    <row r="164" spans="1:11">
      <c r="A164" s="1" t="s">
        <v>69</v>
      </c>
      <c r="B164" s="6" t="s">
        <v>12</v>
      </c>
      <c r="C164" s="3">
        <v>21.9</v>
      </c>
      <c r="D164" s="3">
        <v>23.85</v>
      </c>
      <c r="E164" s="3">
        <v>40</v>
      </c>
      <c r="F164" s="4">
        <v>6.4121160000000001</v>
      </c>
      <c r="G164" s="4">
        <v>-75.429214999999999</v>
      </c>
      <c r="H164" s="9">
        <f t="shared" si="6"/>
        <v>0.59625000000000006</v>
      </c>
      <c r="I164" s="4" t="str">
        <f t="shared" si="7"/>
        <v>Sin riesgo &lt;85%</v>
      </c>
      <c r="J164" s="1" t="s">
        <v>13</v>
      </c>
      <c r="K164" s="1" t="str">
        <f t="shared" si="8"/>
        <v>Sin riesgo</v>
      </c>
    </row>
    <row r="165" spans="1:11">
      <c r="A165" s="1" t="s">
        <v>69</v>
      </c>
      <c r="B165" s="6" t="s">
        <v>14</v>
      </c>
      <c r="C165" s="3">
        <v>22.08</v>
      </c>
      <c r="D165" s="3">
        <v>24.1</v>
      </c>
      <c r="E165" s="3">
        <v>40</v>
      </c>
      <c r="F165" s="4">
        <v>6.4121160000000001</v>
      </c>
      <c r="G165" s="4">
        <v>-75.429214999999999</v>
      </c>
      <c r="H165" s="9">
        <f t="shared" si="6"/>
        <v>0.60250000000000004</v>
      </c>
      <c r="I165" s="4" t="str">
        <f t="shared" si="7"/>
        <v>Sin riesgo &lt;85%</v>
      </c>
      <c r="J165" s="1" t="s">
        <v>13</v>
      </c>
      <c r="K165" s="1" t="str">
        <f t="shared" si="8"/>
        <v>Sin riesgo</v>
      </c>
    </row>
    <row r="166" spans="1:11">
      <c r="A166" s="1" t="s">
        <v>69</v>
      </c>
      <c r="B166" s="6" t="s">
        <v>15</v>
      </c>
      <c r="C166" s="3">
        <v>22.08</v>
      </c>
      <c r="D166" s="3">
        <v>24.1</v>
      </c>
      <c r="E166" s="3">
        <v>40</v>
      </c>
      <c r="F166" s="4">
        <v>6.4121160000000001</v>
      </c>
      <c r="G166" s="4">
        <v>-75.429214999999999</v>
      </c>
      <c r="H166" s="9">
        <f t="shared" si="6"/>
        <v>0.60250000000000004</v>
      </c>
      <c r="I166" s="4" t="str">
        <f t="shared" si="7"/>
        <v>Sin riesgo &lt;85%</v>
      </c>
      <c r="J166" s="1" t="s">
        <v>13</v>
      </c>
      <c r="K166" s="1" t="str">
        <f t="shared" si="8"/>
        <v>Sin riesgo</v>
      </c>
    </row>
    <row r="167" spans="1:11">
      <c r="A167" s="1" t="s">
        <v>70</v>
      </c>
      <c r="B167" s="6" t="s">
        <v>12</v>
      </c>
      <c r="C167" s="3">
        <v>16.579999999999998</v>
      </c>
      <c r="D167" s="3">
        <v>20.32</v>
      </c>
      <c r="E167" s="3">
        <v>40</v>
      </c>
      <c r="F167" s="4">
        <v>6.4879059999999997</v>
      </c>
      <c r="G167" s="4">
        <v>-74.417978000000005</v>
      </c>
      <c r="H167" s="9">
        <f t="shared" si="6"/>
        <v>0.50800000000000001</v>
      </c>
      <c r="I167" s="4" t="str">
        <f t="shared" si="7"/>
        <v>Sin riesgo &lt;85%</v>
      </c>
      <c r="J167" s="1" t="s">
        <v>13</v>
      </c>
      <c r="K167" s="1" t="str">
        <f t="shared" si="8"/>
        <v>Sin riesgo</v>
      </c>
    </row>
    <row r="168" spans="1:11">
      <c r="A168" s="1" t="s">
        <v>70</v>
      </c>
      <c r="B168" s="6" t="s">
        <v>14</v>
      </c>
      <c r="C168" s="3">
        <v>18.899999999999999</v>
      </c>
      <c r="D168" s="3">
        <v>21.96</v>
      </c>
      <c r="E168" s="3">
        <v>40</v>
      </c>
      <c r="F168" s="4">
        <v>6.4879059999999997</v>
      </c>
      <c r="G168" s="4">
        <v>-74.417978000000005</v>
      </c>
      <c r="H168" s="9">
        <f t="shared" si="6"/>
        <v>0.54900000000000004</v>
      </c>
      <c r="I168" s="4" t="str">
        <f t="shared" si="7"/>
        <v>Sin riesgo &lt;85%</v>
      </c>
      <c r="J168" s="1" t="s">
        <v>13</v>
      </c>
      <c r="K168" s="1" t="str">
        <f t="shared" si="8"/>
        <v>Sin riesgo</v>
      </c>
    </row>
    <row r="169" spans="1:11">
      <c r="A169" s="1" t="s">
        <v>70</v>
      </c>
      <c r="B169" s="6" t="s">
        <v>15</v>
      </c>
      <c r="C169" s="3">
        <v>18.899999999999999</v>
      </c>
      <c r="D169" s="3">
        <v>21.95</v>
      </c>
      <c r="E169" s="3">
        <v>40</v>
      </c>
      <c r="F169" s="4">
        <v>6.4879059999999997</v>
      </c>
      <c r="G169" s="4">
        <v>-74.417978000000005</v>
      </c>
      <c r="H169" s="9">
        <f t="shared" si="6"/>
        <v>0.54874999999999996</v>
      </c>
      <c r="I169" s="4" t="str">
        <f t="shared" si="7"/>
        <v>Sin riesgo &lt;85%</v>
      </c>
      <c r="J169" s="1" t="s">
        <v>13</v>
      </c>
      <c r="K169" s="1" t="str">
        <f t="shared" si="8"/>
        <v>Sin riesgo</v>
      </c>
    </row>
    <row r="170" spans="1:11">
      <c r="A170" s="1" t="s">
        <v>71</v>
      </c>
      <c r="B170" s="6" t="s">
        <v>12</v>
      </c>
      <c r="C170" s="3">
        <v>34.450000000000003</v>
      </c>
      <c r="D170" s="3">
        <v>35.729999999999997</v>
      </c>
      <c r="E170" s="3">
        <v>40</v>
      </c>
      <c r="F170" s="4">
        <v>6.2304709999999996</v>
      </c>
      <c r="G170" s="4">
        <v>-75.537633999999997</v>
      </c>
      <c r="H170" s="9">
        <f t="shared" si="6"/>
        <v>0.89324999999999988</v>
      </c>
      <c r="I170" s="4" t="str">
        <f t="shared" si="7"/>
        <v>En riesgo &gt;85%</v>
      </c>
      <c r="J170" s="1" t="s">
        <v>13</v>
      </c>
      <c r="K170" s="1" t="str">
        <f t="shared" si="8"/>
        <v>Sin riesgo</v>
      </c>
    </row>
    <row r="171" spans="1:11">
      <c r="A171" s="1" t="s">
        <v>71</v>
      </c>
      <c r="B171" s="6" t="s">
        <v>14</v>
      </c>
      <c r="C171" s="3">
        <v>36.47</v>
      </c>
      <c r="D171" s="3">
        <v>37.99</v>
      </c>
      <c r="E171" s="3">
        <v>40</v>
      </c>
      <c r="F171" s="4">
        <v>6.2304709999999996</v>
      </c>
      <c r="G171" s="4">
        <v>-75.537633999999997</v>
      </c>
      <c r="H171" s="9">
        <f t="shared" si="6"/>
        <v>0.94975000000000009</v>
      </c>
      <c r="I171" s="4" t="str">
        <f t="shared" si="7"/>
        <v>En riesgo &gt;85%</v>
      </c>
      <c r="J171" s="1" t="s">
        <v>13</v>
      </c>
      <c r="K171" s="1" t="str">
        <f t="shared" si="8"/>
        <v>Sin riesgo</v>
      </c>
    </row>
    <row r="172" spans="1:11">
      <c r="A172" s="1" t="s">
        <v>71</v>
      </c>
      <c r="B172" s="6" t="s">
        <v>15</v>
      </c>
      <c r="C172" s="3">
        <v>36.47</v>
      </c>
      <c r="D172" s="3">
        <v>37.99</v>
      </c>
      <c r="E172" s="3">
        <v>40</v>
      </c>
      <c r="F172" s="4">
        <v>6.2304709999999996</v>
      </c>
      <c r="G172" s="4">
        <v>-75.537633999999997</v>
      </c>
      <c r="H172" s="9">
        <f t="shared" si="6"/>
        <v>0.94975000000000009</v>
      </c>
      <c r="I172" s="4" t="str">
        <f t="shared" si="7"/>
        <v>En riesgo &gt;85%</v>
      </c>
      <c r="J172" s="1" t="s">
        <v>13</v>
      </c>
      <c r="K172" s="1" t="str">
        <f t="shared" si="8"/>
        <v>Sin riesgo</v>
      </c>
    </row>
    <row r="173" spans="1:11">
      <c r="A173" s="1" t="s">
        <v>72</v>
      </c>
      <c r="B173" s="6" t="s">
        <v>12</v>
      </c>
      <c r="C173" s="3">
        <v>17.45</v>
      </c>
      <c r="D173" s="3">
        <v>20.98</v>
      </c>
      <c r="E173" s="3">
        <v>25</v>
      </c>
      <c r="F173" s="4">
        <v>6.2304709999999996</v>
      </c>
      <c r="G173" s="4">
        <v>-75.537633999999997</v>
      </c>
      <c r="H173" s="9">
        <f t="shared" si="6"/>
        <v>0.83920000000000006</v>
      </c>
      <c r="I173" s="4" t="str">
        <f t="shared" si="7"/>
        <v>Sin riesgo &lt;85%</v>
      </c>
      <c r="J173" s="1" t="s">
        <v>13</v>
      </c>
      <c r="K173" s="1" t="str">
        <f t="shared" si="8"/>
        <v>Sin riesgo</v>
      </c>
    </row>
    <row r="174" spans="1:11">
      <c r="A174" s="1" t="s">
        <v>72</v>
      </c>
      <c r="B174" s="6" t="s">
        <v>14</v>
      </c>
      <c r="C174" s="3">
        <v>17.71</v>
      </c>
      <c r="D174" s="3">
        <v>21.29</v>
      </c>
      <c r="E174" s="3">
        <v>25</v>
      </c>
      <c r="F174" s="4">
        <v>6.2304709999999996</v>
      </c>
      <c r="G174" s="4">
        <v>-75.537633999999997</v>
      </c>
      <c r="H174" s="9">
        <f t="shared" si="6"/>
        <v>0.85159999999999991</v>
      </c>
      <c r="I174" s="4" t="str">
        <f t="shared" si="7"/>
        <v>En riesgo &gt;85%</v>
      </c>
      <c r="J174" s="1" t="s">
        <v>13</v>
      </c>
      <c r="K174" s="1" t="str">
        <f t="shared" si="8"/>
        <v>Sin riesgo</v>
      </c>
    </row>
    <row r="175" spans="1:11">
      <c r="A175" s="1" t="s">
        <v>72</v>
      </c>
      <c r="B175" s="6" t="s">
        <v>15</v>
      </c>
      <c r="C175" s="3">
        <v>17.71</v>
      </c>
      <c r="D175" s="3">
        <v>21.29</v>
      </c>
      <c r="E175" s="3">
        <v>25</v>
      </c>
      <c r="F175" s="4">
        <v>6.2304709999999996</v>
      </c>
      <c r="G175" s="4">
        <v>-75.537633999999997</v>
      </c>
      <c r="H175" s="9">
        <f t="shared" si="6"/>
        <v>0.85159999999999991</v>
      </c>
      <c r="I175" s="4" t="str">
        <f t="shared" si="7"/>
        <v>En riesgo &gt;85%</v>
      </c>
      <c r="J175" s="1" t="s">
        <v>13</v>
      </c>
      <c r="K175" s="1" t="str">
        <f t="shared" si="8"/>
        <v>Sin riesgo</v>
      </c>
    </row>
    <row r="176" spans="1:11">
      <c r="A176" s="1" t="s">
        <v>73</v>
      </c>
      <c r="B176" s="6" t="s">
        <v>12</v>
      </c>
      <c r="C176" s="3">
        <v>3.23</v>
      </c>
      <c r="D176" s="3">
        <v>4.51</v>
      </c>
      <c r="E176" s="3">
        <v>31.5</v>
      </c>
      <c r="H176" s="9">
        <f t="shared" si="6"/>
        <v>0.14317460317460318</v>
      </c>
      <c r="I176" s="4" t="str">
        <f t="shared" si="7"/>
        <v>Sin riesgo &lt;85%</v>
      </c>
      <c r="J176" s="1" t="s">
        <v>13</v>
      </c>
      <c r="K176" s="1" t="str">
        <f t="shared" si="8"/>
        <v>Sin riesgo</v>
      </c>
    </row>
    <row r="177" spans="1:11">
      <c r="A177" s="1" t="s">
        <v>73</v>
      </c>
      <c r="B177" s="6" t="s">
        <v>14</v>
      </c>
      <c r="C177" s="3">
        <v>3.57</v>
      </c>
      <c r="D177" s="3">
        <v>4.8600000000000003</v>
      </c>
      <c r="E177" s="3">
        <v>31.5</v>
      </c>
      <c r="H177" s="9">
        <f t="shared" si="6"/>
        <v>0.1542857142857143</v>
      </c>
      <c r="I177" s="4" t="str">
        <f t="shared" si="7"/>
        <v>Sin riesgo &lt;85%</v>
      </c>
      <c r="J177" s="1" t="s">
        <v>13</v>
      </c>
      <c r="K177" s="1" t="str">
        <f t="shared" si="8"/>
        <v>Sin riesgo</v>
      </c>
    </row>
    <row r="178" spans="1:11">
      <c r="A178" s="1" t="s">
        <v>73</v>
      </c>
      <c r="B178" s="6" t="s">
        <v>15</v>
      </c>
      <c r="C178" s="3">
        <v>3.57</v>
      </c>
      <c r="D178" s="3">
        <v>4.8600000000000003</v>
      </c>
      <c r="E178" s="3">
        <v>31.5</v>
      </c>
      <c r="H178" s="9">
        <f t="shared" si="6"/>
        <v>0.1542857142857143</v>
      </c>
      <c r="I178" s="4" t="str">
        <f t="shared" si="7"/>
        <v>Sin riesgo &lt;85%</v>
      </c>
      <c r="J178" s="1" t="s">
        <v>13</v>
      </c>
      <c r="K178" s="1" t="str">
        <f t="shared" si="8"/>
        <v>Sin riesgo</v>
      </c>
    </row>
    <row r="179" spans="1:11">
      <c r="A179" s="1" t="s">
        <v>74</v>
      </c>
      <c r="B179" s="6" t="s">
        <v>12</v>
      </c>
      <c r="C179" s="3">
        <v>4.83</v>
      </c>
      <c r="D179" s="3">
        <v>6.69</v>
      </c>
      <c r="E179" s="3">
        <v>40</v>
      </c>
      <c r="F179" s="4">
        <v>6.6410939999999998</v>
      </c>
      <c r="G179" s="4">
        <v>-75.444456000000002</v>
      </c>
      <c r="H179" s="9">
        <f t="shared" si="6"/>
        <v>0.16725000000000001</v>
      </c>
      <c r="I179" s="4" t="str">
        <f t="shared" si="7"/>
        <v>Sin riesgo &lt;85%</v>
      </c>
      <c r="J179" s="1" t="s">
        <v>13</v>
      </c>
      <c r="K179" s="1" t="str">
        <f t="shared" si="8"/>
        <v>Sin riesgo</v>
      </c>
    </row>
    <row r="180" spans="1:11">
      <c r="A180" s="1" t="s">
        <v>74</v>
      </c>
      <c r="B180" s="6" t="s">
        <v>14</v>
      </c>
      <c r="C180" s="3">
        <v>4.84</v>
      </c>
      <c r="D180" s="3">
        <v>6.71</v>
      </c>
      <c r="E180" s="3">
        <v>40</v>
      </c>
      <c r="F180" s="4">
        <v>6.6410939999999998</v>
      </c>
      <c r="G180" s="4">
        <v>-75.444456000000002</v>
      </c>
      <c r="H180" s="9">
        <f t="shared" si="6"/>
        <v>0.16775000000000001</v>
      </c>
      <c r="I180" s="4" t="str">
        <f t="shared" si="7"/>
        <v>Sin riesgo &lt;85%</v>
      </c>
      <c r="J180" s="1" t="s">
        <v>13</v>
      </c>
      <c r="K180" s="1" t="str">
        <f t="shared" si="8"/>
        <v>Sin riesgo</v>
      </c>
    </row>
    <row r="181" spans="1:11">
      <c r="A181" s="1" t="s">
        <v>74</v>
      </c>
      <c r="B181" s="6" t="s">
        <v>15</v>
      </c>
      <c r="C181" s="3">
        <v>4.84</v>
      </c>
      <c r="D181" s="3">
        <v>6.71</v>
      </c>
      <c r="E181" s="3">
        <v>40</v>
      </c>
      <c r="F181" s="4">
        <v>6.6410939999999998</v>
      </c>
      <c r="G181" s="4">
        <v>-75.444456000000002</v>
      </c>
      <c r="H181" s="9">
        <f t="shared" si="6"/>
        <v>0.16775000000000001</v>
      </c>
      <c r="I181" s="4" t="str">
        <f t="shared" si="7"/>
        <v>Sin riesgo &lt;85%</v>
      </c>
      <c r="J181" s="1" t="s">
        <v>13</v>
      </c>
      <c r="K181" s="1" t="str">
        <f t="shared" si="8"/>
        <v>Sin riesgo</v>
      </c>
    </row>
    <row r="182" spans="1:11">
      <c r="A182" s="1" t="s">
        <v>75</v>
      </c>
      <c r="B182" s="6" t="s">
        <v>12</v>
      </c>
      <c r="C182" s="3">
        <v>25.67</v>
      </c>
      <c r="D182" s="3">
        <v>27.83</v>
      </c>
      <c r="E182" s="3">
        <v>40</v>
      </c>
      <c r="F182" s="4">
        <v>6.3551549999999999</v>
      </c>
      <c r="G182" s="4">
        <v>-75.605186000000003</v>
      </c>
      <c r="H182" s="9">
        <f t="shared" si="6"/>
        <v>0.69574999999999998</v>
      </c>
      <c r="I182" s="4" t="str">
        <f t="shared" si="7"/>
        <v>Sin riesgo &lt;85%</v>
      </c>
      <c r="J182" s="1" t="s">
        <v>13</v>
      </c>
      <c r="K182" s="1" t="str">
        <f t="shared" si="8"/>
        <v>Sin riesgo</v>
      </c>
    </row>
    <row r="183" spans="1:11">
      <c r="A183" s="1" t="s">
        <v>75</v>
      </c>
      <c r="B183" s="6" t="s">
        <v>14</v>
      </c>
      <c r="C183" s="3">
        <v>25.78</v>
      </c>
      <c r="D183" s="3">
        <v>28.02</v>
      </c>
      <c r="E183" s="3">
        <v>40</v>
      </c>
      <c r="F183" s="4">
        <v>6.3551549999999999</v>
      </c>
      <c r="G183" s="4">
        <v>-75.605186000000003</v>
      </c>
      <c r="H183" s="9">
        <f t="shared" si="6"/>
        <v>0.70050000000000001</v>
      </c>
      <c r="I183" s="4" t="str">
        <f t="shared" si="7"/>
        <v>Sin riesgo &lt;85%</v>
      </c>
      <c r="J183" s="1" t="s">
        <v>13</v>
      </c>
      <c r="K183" s="1" t="str">
        <f t="shared" si="8"/>
        <v>Sin riesgo</v>
      </c>
    </row>
    <row r="184" spans="1:11">
      <c r="A184" s="1" t="s">
        <v>75</v>
      </c>
      <c r="B184" s="6" t="s">
        <v>15</v>
      </c>
      <c r="C184" s="3">
        <v>25.78</v>
      </c>
      <c r="D184" s="3">
        <v>28.02</v>
      </c>
      <c r="E184" s="3">
        <v>40</v>
      </c>
      <c r="F184" s="4">
        <v>6.3551549999999999</v>
      </c>
      <c r="G184" s="4">
        <v>-75.605186000000003</v>
      </c>
      <c r="H184" s="9">
        <f t="shared" si="6"/>
        <v>0.70050000000000001</v>
      </c>
      <c r="I184" s="4" t="str">
        <f t="shared" si="7"/>
        <v>Sin riesgo &lt;85%</v>
      </c>
      <c r="J184" s="1" t="s">
        <v>13</v>
      </c>
      <c r="K184" s="1" t="str">
        <f t="shared" si="8"/>
        <v>Sin riesgo</v>
      </c>
    </row>
    <row r="185" spans="1:11">
      <c r="A185" s="1" t="s">
        <v>76</v>
      </c>
      <c r="B185" s="6" t="s">
        <v>12</v>
      </c>
      <c r="C185" s="3">
        <v>18.600000000000001</v>
      </c>
      <c r="D185" s="3">
        <v>22.7</v>
      </c>
      <c r="E185" s="3">
        <v>40</v>
      </c>
      <c r="F185" s="4">
        <v>6.3551549999999999</v>
      </c>
      <c r="G185" s="4">
        <v>-75.605186000000003</v>
      </c>
      <c r="H185" s="9">
        <f t="shared" si="6"/>
        <v>0.5675</v>
      </c>
      <c r="I185" s="4" t="str">
        <f t="shared" si="7"/>
        <v>Sin riesgo &lt;85%</v>
      </c>
      <c r="J185" s="1" t="s">
        <v>13</v>
      </c>
      <c r="K185" s="1" t="str">
        <f t="shared" si="8"/>
        <v>Sin riesgo</v>
      </c>
    </row>
    <row r="186" spans="1:11">
      <c r="A186" s="1" t="s">
        <v>76</v>
      </c>
      <c r="B186" s="6" t="s">
        <v>14</v>
      </c>
      <c r="C186" s="3">
        <v>18.71</v>
      </c>
      <c r="D186" s="3">
        <v>22.93</v>
      </c>
      <c r="E186" s="3">
        <v>40</v>
      </c>
      <c r="F186" s="4">
        <v>6.3551549999999999</v>
      </c>
      <c r="G186" s="4">
        <v>-75.605186000000003</v>
      </c>
      <c r="H186" s="9">
        <f t="shared" si="6"/>
        <v>0.57325000000000004</v>
      </c>
      <c r="I186" s="4" t="str">
        <f t="shared" si="7"/>
        <v>Sin riesgo &lt;85%</v>
      </c>
      <c r="J186" s="1" t="s">
        <v>13</v>
      </c>
      <c r="K186" s="1" t="str">
        <f t="shared" si="8"/>
        <v>Sin riesgo</v>
      </c>
    </row>
    <row r="187" spans="1:11">
      <c r="A187" s="1" t="s">
        <v>76</v>
      </c>
      <c r="B187" s="6" t="s">
        <v>15</v>
      </c>
      <c r="C187" s="3">
        <v>18.71</v>
      </c>
      <c r="D187" s="3">
        <v>22.93</v>
      </c>
      <c r="E187" s="3">
        <v>40</v>
      </c>
      <c r="F187" s="4">
        <v>6.3551549999999999</v>
      </c>
      <c r="G187" s="4">
        <v>-75.605186000000003</v>
      </c>
      <c r="H187" s="9">
        <f t="shared" si="6"/>
        <v>0.57325000000000004</v>
      </c>
      <c r="I187" s="4" t="str">
        <f t="shared" si="7"/>
        <v>Sin riesgo &lt;85%</v>
      </c>
      <c r="J187" s="1" t="s">
        <v>13</v>
      </c>
      <c r="K187" s="1" t="str">
        <f t="shared" si="8"/>
        <v>Sin riesgo</v>
      </c>
    </row>
    <row r="188" spans="1:11">
      <c r="A188" s="1" t="s">
        <v>77</v>
      </c>
      <c r="B188" s="6" t="s">
        <v>12</v>
      </c>
      <c r="C188" s="3">
        <v>21.72</v>
      </c>
      <c r="D188" s="3">
        <v>21.01</v>
      </c>
      <c r="E188" s="3">
        <v>40</v>
      </c>
      <c r="F188" s="4">
        <v>6.149527</v>
      </c>
      <c r="G188" s="4">
        <v>-75.381409000000005</v>
      </c>
      <c r="H188" s="9">
        <f t="shared" si="6"/>
        <v>0.54299999999999993</v>
      </c>
      <c r="I188" s="4" t="str">
        <f t="shared" si="7"/>
        <v>Sin riesgo &lt;85%</v>
      </c>
      <c r="J188" s="1" t="s">
        <v>13</v>
      </c>
      <c r="K188" s="1" t="str">
        <f t="shared" si="8"/>
        <v>Sin riesgo</v>
      </c>
    </row>
    <row r="189" spans="1:11">
      <c r="A189" s="1" t="s">
        <v>77</v>
      </c>
      <c r="B189" s="6" t="s">
        <v>14</v>
      </c>
      <c r="C189" s="3">
        <v>21.94</v>
      </c>
      <c r="D189" s="3">
        <v>21.26</v>
      </c>
      <c r="E189" s="3">
        <v>40</v>
      </c>
      <c r="F189" s="4">
        <v>6.149527</v>
      </c>
      <c r="G189" s="4">
        <v>-75.381409000000005</v>
      </c>
      <c r="H189" s="9">
        <f t="shared" si="6"/>
        <v>0.54849999999999999</v>
      </c>
      <c r="I189" s="4" t="str">
        <f t="shared" si="7"/>
        <v>Sin riesgo &lt;85%</v>
      </c>
      <c r="J189" s="1" t="s">
        <v>13</v>
      </c>
      <c r="K189" s="1" t="str">
        <f t="shared" si="8"/>
        <v>Sin riesgo</v>
      </c>
    </row>
    <row r="190" spans="1:11">
      <c r="A190" s="1" t="s">
        <v>77</v>
      </c>
      <c r="B190" s="6" t="s">
        <v>15</v>
      </c>
      <c r="C190" s="3">
        <v>21.94</v>
      </c>
      <c r="D190" s="3">
        <v>21.26</v>
      </c>
      <c r="E190" s="3">
        <v>40</v>
      </c>
      <c r="F190" s="4">
        <v>6.149527</v>
      </c>
      <c r="G190" s="4">
        <v>-75.381409000000005</v>
      </c>
      <c r="H190" s="9">
        <f t="shared" si="6"/>
        <v>0.54849999999999999</v>
      </c>
      <c r="I190" s="4" t="str">
        <f t="shared" si="7"/>
        <v>Sin riesgo &lt;85%</v>
      </c>
      <c r="J190" s="1" t="s">
        <v>13</v>
      </c>
      <c r="K190" s="1" t="str">
        <f t="shared" si="8"/>
        <v>Sin riesgo</v>
      </c>
    </row>
    <row r="191" spans="1:11">
      <c r="A191" s="1" t="s">
        <v>78</v>
      </c>
      <c r="B191" s="6" t="s">
        <v>12</v>
      </c>
      <c r="C191" s="3">
        <v>14.62</v>
      </c>
      <c r="D191" s="3">
        <v>17.39</v>
      </c>
      <c r="E191" s="3">
        <v>40</v>
      </c>
      <c r="F191" s="4">
        <v>6.149527</v>
      </c>
      <c r="G191" s="4">
        <v>-75.381409000000005</v>
      </c>
      <c r="H191" s="9">
        <f t="shared" si="6"/>
        <v>0.43475000000000003</v>
      </c>
      <c r="I191" s="4" t="str">
        <f t="shared" si="7"/>
        <v>Sin riesgo &lt;85%</v>
      </c>
      <c r="J191" s="1" t="s">
        <v>13</v>
      </c>
      <c r="K191" s="1" t="str">
        <f t="shared" si="8"/>
        <v>Sin riesgo</v>
      </c>
    </row>
    <row r="192" spans="1:11">
      <c r="A192" s="1" t="s">
        <v>78</v>
      </c>
      <c r="B192" s="6" t="s">
        <v>14</v>
      </c>
      <c r="C192" s="3">
        <v>14.75</v>
      </c>
      <c r="D192" s="3">
        <v>17.579999999999998</v>
      </c>
      <c r="E192" s="3">
        <v>40</v>
      </c>
      <c r="F192" s="4">
        <v>6.149527</v>
      </c>
      <c r="G192" s="4">
        <v>-75.381409000000005</v>
      </c>
      <c r="H192" s="9">
        <f t="shared" si="6"/>
        <v>0.43949999999999995</v>
      </c>
      <c r="I192" s="4" t="str">
        <f t="shared" si="7"/>
        <v>Sin riesgo &lt;85%</v>
      </c>
      <c r="J192" s="1" t="s">
        <v>13</v>
      </c>
      <c r="K192" s="1" t="str">
        <f t="shared" si="8"/>
        <v>Sin riesgo</v>
      </c>
    </row>
    <row r="193" spans="1:11">
      <c r="A193" s="1" t="s">
        <v>78</v>
      </c>
      <c r="B193" s="6" t="s">
        <v>15</v>
      </c>
      <c r="C193" s="3">
        <v>14.75</v>
      </c>
      <c r="D193" s="3">
        <v>17.579999999999998</v>
      </c>
      <c r="E193" s="3">
        <v>40</v>
      </c>
      <c r="F193" s="4">
        <v>6.149527</v>
      </c>
      <c r="G193" s="4">
        <v>-75.381409000000005</v>
      </c>
      <c r="H193" s="9">
        <f t="shared" si="6"/>
        <v>0.43949999999999995</v>
      </c>
      <c r="I193" s="4" t="str">
        <f t="shared" si="7"/>
        <v>Sin riesgo &lt;85%</v>
      </c>
      <c r="J193" s="1" t="s">
        <v>13</v>
      </c>
      <c r="K193" s="1" t="str">
        <f t="shared" si="8"/>
        <v>Sin riesgo</v>
      </c>
    </row>
    <row r="194" spans="1:11">
      <c r="A194" s="1" t="s">
        <v>79</v>
      </c>
      <c r="B194" s="6" t="s">
        <v>12</v>
      </c>
      <c r="C194" s="3">
        <v>22.91</v>
      </c>
      <c r="D194" s="3">
        <v>28.7</v>
      </c>
      <c r="E194" s="3">
        <v>31.5</v>
      </c>
      <c r="F194" s="4">
        <v>6.2751359999999998</v>
      </c>
      <c r="G194" s="4">
        <v>-75.545876000000007</v>
      </c>
      <c r="H194" s="9">
        <f t="shared" si="6"/>
        <v>0.91111111111111109</v>
      </c>
      <c r="I194" s="4" t="str">
        <f t="shared" si="7"/>
        <v>En riesgo &gt;85%</v>
      </c>
      <c r="J194" s="1" t="s">
        <v>13</v>
      </c>
      <c r="K194" s="1" t="str">
        <f t="shared" si="8"/>
        <v>Sin riesgo</v>
      </c>
    </row>
    <row r="195" spans="1:11">
      <c r="A195" s="1" t="s">
        <v>79</v>
      </c>
      <c r="B195" s="6" t="s">
        <v>14</v>
      </c>
      <c r="C195" s="3">
        <v>23.4</v>
      </c>
      <c r="D195" s="3">
        <v>29.55</v>
      </c>
      <c r="E195" s="3">
        <v>31.5</v>
      </c>
      <c r="F195" s="4">
        <v>6.2751359999999998</v>
      </c>
      <c r="G195" s="4">
        <v>-75.545876000000007</v>
      </c>
      <c r="H195" s="9">
        <f t="shared" ref="H195:H258" si="9">IF(C195&gt;D195,C195/E195,D195/E195)</f>
        <v>0.93809523809523809</v>
      </c>
      <c r="I195" s="4" t="str">
        <f t="shared" ref="I195:I258" si="10">IF(H195&gt;100%,"Altamente critico &gt;100%",IF(H195&gt;95%,"Critico &gt;95%",IF(H195&gt;85%,"En riesgo &gt;85%","Sin riesgo &lt;85%")))</f>
        <v>En riesgo &gt;85%</v>
      </c>
      <c r="J195" s="1" t="s">
        <v>13</v>
      </c>
      <c r="K195" s="1" t="str">
        <f t="shared" ref="K195:K258" si="11">IF(J195="&gt;5","Sin riesgo",IF(J195&gt;1.5,"Estado de alerta","Estado critico"))</f>
        <v>Sin riesgo</v>
      </c>
    </row>
    <row r="196" spans="1:11">
      <c r="A196" s="1" t="s">
        <v>79</v>
      </c>
      <c r="B196" s="6" t="s">
        <v>15</v>
      </c>
      <c r="C196" s="3">
        <v>23.4</v>
      </c>
      <c r="D196" s="3">
        <v>29.55</v>
      </c>
      <c r="E196" s="3">
        <v>31.5</v>
      </c>
      <c r="F196" s="4">
        <v>6.2751359999999998</v>
      </c>
      <c r="G196" s="4">
        <v>-75.545876000000007</v>
      </c>
      <c r="H196" s="9">
        <f t="shared" si="9"/>
        <v>0.93809523809523809</v>
      </c>
      <c r="I196" s="4" t="str">
        <f t="shared" si="10"/>
        <v>En riesgo &gt;85%</v>
      </c>
      <c r="J196" s="1" t="s">
        <v>13</v>
      </c>
      <c r="K196" s="1" t="str">
        <f t="shared" si="11"/>
        <v>Sin riesgo</v>
      </c>
    </row>
    <row r="197" spans="1:11">
      <c r="A197" s="1" t="s">
        <v>80</v>
      </c>
      <c r="B197" s="6" t="s">
        <v>12</v>
      </c>
      <c r="C197" s="3">
        <v>9.69</v>
      </c>
      <c r="D197" s="3">
        <v>9.93</v>
      </c>
      <c r="E197" s="3">
        <v>40</v>
      </c>
      <c r="F197" s="4">
        <v>6.2598979999999997</v>
      </c>
      <c r="G197" s="4">
        <v>-74.92192</v>
      </c>
      <c r="H197" s="9">
        <f t="shared" si="9"/>
        <v>0.24825</v>
      </c>
      <c r="I197" s="4" t="str">
        <f t="shared" si="10"/>
        <v>Sin riesgo &lt;85%</v>
      </c>
      <c r="J197" s="1" t="s">
        <v>13</v>
      </c>
      <c r="K197" s="1" t="str">
        <f t="shared" si="11"/>
        <v>Sin riesgo</v>
      </c>
    </row>
    <row r="198" spans="1:11">
      <c r="A198" s="1" t="s">
        <v>80</v>
      </c>
      <c r="B198" s="6" t="s">
        <v>14</v>
      </c>
      <c r="C198" s="3">
        <v>10.130000000000001</v>
      </c>
      <c r="D198" s="3">
        <v>10.43</v>
      </c>
      <c r="E198" s="3">
        <v>40</v>
      </c>
      <c r="F198" s="4">
        <v>6.2598979999999997</v>
      </c>
      <c r="G198" s="4">
        <v>-74.92192</v>
      </c>
      <c r="H198" s="9">
        <f t="shared" si="9"/>
        <v>0.26074999999999998</v>
      </c>
      <c r="I198" s="4" t="str">
        <f t="shared" si="10"/>
        <v>Sin riesgo &lt;85%</v>
      </c>
      <c r="J198" s="1" t="s">
        <v>13</v>
      </c>
      <c r="K198" s="1" t="str">
        <f t="shared" si="11"/>
        <v>Sin riesgo</v>
      </c>
    </row>
    <row r="199" spans="1:11">
      <c r="A199" s="1" t="s">
        <v>80</v>
      </c>
      <c r="B199" s="6" t="s">
        <v>15</v>
      </c>
      <c r="C199" s="3">
        <v>10.130000000000001</v>
      </c>
      <c r="D199" s="3">
        <v>10.42</v>
      </c>
      <c r="E199" s="3">
        <v>40</v>
      </c>
      <c r="F199" s="4">
        <v>6.2598979999999997</v>
      </c>
      <c r="G199" s="4">
        <v>-74.92192</v>
      </c>
      <c r="H199" s="9">
        <f t="shared" si="9"/>
        <v>0.26050000000000001</v>
      </c>
      <c r="I199" s="4" t="str">
        <f t="shared" si="10"/>
        <v>Sin riesgo &lt;85%</v>
      </c>
      <c r="J199" s="1" t="s">
        <v>13</v>
      </c>
      <c r="K199" s="1" t="str">
        <f t="shared" si="11"/>
        <v>Sin riesgo</v>
      </c>
    </row>
    <row r="200" spans="1:11">
      <c r="A200" s="1" t="s">
        <v>81</v>
      </c>
      <c r="B200" s="6" t="s">
        <v>12</v>
      </c>
      <c r="C200" s="3">
        <v>16.7</v>
      </c>
      <c r="D200" s="3">
        <v>18.53</v>
      </c>
      <c r="E200" s="3">
        <v>31.5</v>
      </c>
      <c r="F200" s="4">
        <v>6.2598979999999997</v>
      </c>
      <c r="G200" s="4">
        <v>-74.92192</v>
      </c>
      <c r="H200" s="9">
        <f t="shared" si="9"/>
        <v>0.58825396825396825</v>
      </c>
      <c r="I200" s="4" t="str">
        <f t="shared" si="10"/>
        <v>Sin riesgo &lt;85%</v>
      </c>
      <c r="J200" s="1" t="s">
        <v>13</v>
      </c>
      <c r="K200" s="1" t="str">
        <f t="shared" si="11"/>
        <v>Sin riesgo</v>
      </c>
    </row>
    <row r="201" spans="1:11">
      <c r="A201" s="1" t="s">
        <v>81</v>
      </c>
      <c r="B201" s="6" t="s">
        <v>14</v>
      </c>
      <c r="C201" s="3">
        <v>16.940000000000001</v>
      </c>
      <c r="D201" s="3">
        <v>18.82</v>
      </c>
      <c r="E201" s="3">
        <v>31.5</v>
      </c>
      <c r="F201" s="4">
        <v>6.2598979999999997</v>
      </c>
      <c r="G201" s="4">
        <v>-74.92192</v>
      </c>
      <c r="H201" s="9">
        <f t="shared" si="9"/>
        <v>0.59746031746031747</v>
      </c>
      <c r="I201" s="4" t="str">
        <f t="shared" si="10"/>
        <v>Sin riesgo &lt;85%</v>
      </c>
      <c r="J201" s="1" t="s">
        <v>13</v>
      </c>
      <c r="K201" s="1" t="str">
        <f t="shared" si="11"/>
        <v>Sin riesgo</v>
      </c>
    </row>
    <row r="202" spans="1:11">
      <c r="A202" s="1" t="s">
        <v>81</v>
      </c>
      <c r="B202" s="6" t="s">
        <v>15</v>
      </c>
      <c r="C202" s="3">
        <v>16.940000000000001</v>
      </c>
      <c r="D202" s="3">
        <v>18.82</v>
      </c>
      <c r="E202" s="3">
        <v>31.5</v>
      </c>
      <c r="F202" s="4">
        <v>6.2598979999999997</v>
      </c>
      <c r="G202" s="4">
        <v>-74.92192</v>
      </c>
      <c r="H202" s="9">
        <f t="shared" si="9"/>
        <v>0.59746031746031747</v>
      </c>
      <c r="I202" s="4" t="str">
        <f t="shared" si="10"/>
        <v>Sin riesgo &lt;85%</v>
      </c>
      <c r="J202" s="1" t="s">
        <v>13</v>
      </c>
      <c r="K202" s="1" t="str">
        <f t="shared" si="11"/>
        <v>Sin riesgo</v>
      </c>
    </row>
    <row r="203" spans="1:11">
      <c r="A203" s="1" t="s">
        <v>82</v>
      </c>
      <c r="B203" s="6" t="s">
        <v>12</v>
      </c>
      <c r="C203" s="3">
        <v>21.93</v>
      </c>
      <c r="D203" s="3">
        <v>28.27</v>
      </c>
      <c r="E203" s="3">
        <v>40</v>
      </c>
      <c r="F203" s="4">
        <v>6.203487</v>
      </c>
      <c r="G203" s="4">
        <v>-75.565376000000001</v>
      </c>
      <c r="H203" s="9">
        <f t="shared" si="9"/>
        <v>0.70674999999999999</v>
      </c>
      <c r="I203" s="4" t="str">
        <f t="shared" si="10"/>
        <v>Sin riesgo &lt;85%</v>
      </c>
      <c r="J203" s="1" t="s">
        <v>13</v>
      </c>
      <c r="K203" s="1" t="str">
        <f t="shared" si="11"/>
        <v>Sin riesgo</v>
      </c>
    </row>
    <row r="204" spans="1:11">
      <c r="A204" s="1" t="s">
        <v>82</v>
      </c>
      <c r="B204" s="6" t="s">
        <v>14</v>
      </c>
      <c r="C204" s="3">
        <v>22.07</v>
      </c>
      <c r="D204" s="3">
        <v>28.55</v>
      </c>
      <c r="E204" s="3">
        <v>40</v>
      </c>
      <c r="F204" s="4">
        <v>6.203487</v>
      </c>
      <c r="G204" s="4">
        <v>-75.565376000000001</v>
      </c>
      <c r="H204" s="9">
        <f t="shared" si="9"/>
        <v>0.71375</v>
      </c>
      <c r="I204" s="4" t="str">
        <f t="shared" si="10"/>
        <v>Sin riesgo &lt;85%</v>
      </c>
      <c r="J204" s="1" t="s">
        <v>13</v>
      </c>
      <c r="K204" s="1" t="str">
        <f t="shared" si="11"/>
        <v>Sin riesgo</v>
      </c>
    </row>
    <row r="205" spans="1:11">
      <c r="A205" s="1" t="s">
        <v>82</v>
      </c>
      <c r="B205" s="6" t="s">
        <v>15</v>
      </c>
      <c r="C205" s="3">
        <v>22.07</v>
      </c>
      <c r="D205" s="3">
        <v>28.55</v>
      </c>
      <c r="E205" s="3">
        <v>40</v>
      </c>
      <c r="F205" s="4">
        <v>6.203487</v>
      </c>
      <c r="G205" s="4">
        <v>-75.565376000000001</v>
      </c>
      <c r="H205" s="9">
        <f t="shared" si="9"/>
        <v>0.71375</v>
      </c>
      <c r="I205" s="4" t="str">
        <f t="shared" si="10"/>
        <v>Sin riesgo &lt;85%</v>
      </c>
      <c r="J205" s="1" t="s">
        <v>13</v>
      </c>
      <c r="K205" s="1" t="str">
        <f t="shared" si="11"/>
        <v>Sin riesgo</v>
      </c>
    </row>
    <row r="206" spans="1:11">
      <c r="A206" s="1" t="s">
        <v>83</v>
      </c>
      <c r="B206" s="6" t="s">
        <v>12</v>
      </c>
      <c r="C206" s="3">
        <v>4.67</v>
      </c>
      <c r="D206" s="3">
        <v>5.13</v>
      </c>
      <c r="E206" s="3">
        <v>31.5</v>
      </c>
      <c r="F206" s="4">
        <v>6.8511899999999999</v>
      </c>
      <c r="G206" s="4">
        <v>-75.175028999999995</v>
      </c>
      <c r="H206" s="9">
        <f t="shared" si="9"/>
        <v>0.16285714285714287</v>
      </c>
      <c r="I206" s="4" t="str">
        <f t="shared" si="10"/>
        <v>Sin riesgo &lt;85%</v>
      </c>
      <c r="J206" s="1" t="s">
        <v>13</v>
      </c>
      <c r="K206" s="1" t="str">
        <f t="shared" si="11"/>
        <v>Sin riesgo</v>
      </c>
    </row>
    <row r="207" spans="1:11">
      <c r="A207" s="1" t="s">
        <v>83</v>
      </c>
      <c r="B207" s="6" t="s">
        <v>14</v>
      </c>
      <c r="C207" s="3">
        <v>4.7699999999999996</v>
      </c>
      <c r="D207" s="3">
        <v>5.2</v>
      </c>
      <c r="E207" s="3">
        <v>31.5</v>
      </c>
      <c r="F207" s="4">
        <v>6.8511899999999999</v>
      </c>
      <c r="G207" s="4">
        <v>-75.175028999999995</v>
      </c>
      <c r="H207" s="9">
        <f t="shared" si="9"/>
        <v>0.16507936507936508</v>
      </c>
      <c r="I207" s="4" t="str">
        <f t="shared" si="10"/>
        <v>Sin riesgo &lt;85%</v>
      </c>
      <c r="J207" s="1" t="s">
        <v>13</v>
      </c>
      <c r="K207" s="1" t="str">
        <f t="shared" si="11"/>
        <v>Sin riesgo</v>
      </c>
    </row>
    <row r="208" spans="1:11">
      <c r="A208" s="1" t="s">
        <v>83</v>
      </c>
      <c r="B208" s="6" t="s">
        <v>15</v>
      </c>
      <c r="C208" s="3">
        <v>4.7699999999999996</v>
      </c>
      <c r="D208" s="3">
        <v>5.2</v>
      </c>
      <c r="E208" s="3">
        <v>31.5</v>
      </c>
      <c r="F208" s="4">
        <v>6.8511899999999999</v>
      </c>
      <c r="G208" s="4">
        <v>-75.175028999999995</v>
      </c>
      <c r="H208" s="9">
        <f t="shared" si="9"/>
        <v>0.16507936507936508</v>
      </c>
      <c r="I208" s="4" t="str">
        <f t="shared" si="10"/>
        <v>Sin riesgo &lt;85%</v>
      </c>
      <c r="J208" s="1" t="s">
        <v>13</v>
      </c>
      <c r="K208" s="1" t="str">
        <f t="shared" si="11"/>
        <v>Sin riesgo</v>
      </c>
    </row>
    <row r="209" spans="1:11">
      <c r="A209" s="1" t="s">
        <v>84</v>
      </c>
      <c r="B209" s="6" t="s">
        <v>12</v>
      </c>
      <c r="C209" s="3">
        <v>22.73</v>
      </c>
      <c r="D209" s="3">
        <v>20.85</v>
      </c>
      <c r="E209" s="3">
        <v>31.5</v>
      </c>
      <c r="F209" s="4">
        <v>6.8511899999999999</v>
      </c>
      <c r="G209" s="4">
        <v>-75.175028999999995</v>
      </c>
      <c r="H209" s="9">
        <f t="shared" si="9"/>
        <v>0.72158730158730156</v>
      </c>
      <c r="I209" s="4" t="str">
        <f t="shared" si="10"/>
        <v>Sin riesgo &lt;85%</v>
      </c>
      <c r="J209" s="1" t="s">
        <v>13</v>
      </c>
      <c r="K209" s="1" t="str">
        <f t="shared" si="11"/>
        <v>Sin riesgo</v>
      </c>
    </row>
    <row r="210" spans="1:11">
      <c r="A210" s="1" t="s">
        <v>84</v>
      </c>
      <c r="B210" s="6" t="s">
        <v>14</v>
      </c>
      <c r="C210" s="3">
        <v>23.03</v>
      </c>
      <c r="D210" s="3">
        <v>21.17</v>
      </c>
      <c r="E210" s="3">
        <v>31.5</v>
      </c>
      <c r="F210" s="4">
        <v>6.8511899999999999</v>
      </c>
      <c r="G210" s="4">
        <v>-75.175028999999995</v>
      </c>
      <c r="H210" s="9">
        <f t="shared" si="9"/>
        <v>0.73111111111111116</v>
      </c>
      <c r="I210" s="4" t="str">
        <f t="shared" si="10"/>
        <v>Sin riesgo &lt;85%</v>
      </c>
      <c r="J210" s="1" t="s">
        <v>13</v>
      </c>
      <c r="K210" s="1" t="str">
        <f t="shared" si="11"/>
        <v>Sin riesgo</v>
      </c>
    </row>
    <row r="211" spans="1:11">
      <c r="A211" s="1" t="s">
        <v>84</v>
      </c>
      <c r="B211" s="6" t="s">
        <v>15</v>
      </c>
      <c r="C211" s="3">
        <v>23.03</v>
      </c>
      <c r="D211" s="3">
        <v>21.17</v>
      </c>
      <c r="E211" s="3">
        <v>31.5</v>
      </c>
      <c r="F211" s="4">
        <v>6.8511899999999999</v>
      </c>
      <c r="G211" s="4">
        <v>-75.175028999999995</v>
      </c>
      <c r="H211" s="9">
        <f t="shared" si="9"/>
        <v>0.73111111111111116</v>
      </c>
      <c r="I211" s="4" t="str">
        <f t="shared" si="10"/>
        <v>Sin riesgo &lt;85%</v>
      </c>
      <c r="J211" s="1" t="s">
        <v>13</v>
      </c>
      <c r="K211" s="1" t="str">
        <f t="shared" si="11"/>
        <v>Sin riesgo</v>
      </c>
    </row>
    <row r="212" spans="1:11">
      <c r="A212" s="1" t="s">
        <v>85</v>
      </c>
      <c r="B212" s="6" t="s">
        <v>12</v>
      </c>
      <c r="C212" s="3">
        <v>20.77</v>
      </c>
      <c r="D212" s="3">
        <v>23.44</v>
      </c>
      <c r="E212" s="3">
        <v>40</v>
      </c>
      <c r="F212" s="4">
        <v>6.8511899999999999</v>
      </c>
      <c r="G212" s="4">
        <v>-75.175028999999995</v>
      </c>
      <c r="H212" s="9">
        <f t="shared" si="9"/>
        <v>0.58600000000000008</v>
      </c>
      <c r="I212" s="4" t="str">
        <f t="shared" si="10"/>
        <v>Sin riesgo &lt;85%</v>
      </c>
      <c r="J212" s="1" t="s">
        <v>13</v>
      </c>
      <c r="K212" s="1" t="str">
        <f t="shared" si="11"/>
        <v>Sin riesgo</v>
      </c>
    </row>
    <row r="213" spans="1:11">
      <c r="A213" s="1" t="s">
        <v>85</v>
      </c>
      <c r="B213" s="6" t="s">
        <v>14</v>
      </c>
      <c r="C213" s="3">
        <v>21.5</v>
      </c>
      <c r="D213" s="3">
        <v>24.71</v>
      </c>
      <c r="E213" s="3">
        <v>40</v>
      </c>
      <c r="F213" s="4">
        <v>6.8511899999999999</v>
      </c>
      <c r="G213" s="4">
        <v>-75.175028999999995</v>
      </c>
      <c r="H213" s="9">
        <f t="shared" si="9"/>
        <v>0.61775000000000002</v>
      </c>
      <c r="I213" s="4" t="str">
        <f t="shared" si="10"/>
        <v>Sin riesgo &lt;85%</v>
      </c>
      <c r="J213" s="1" t="s">
        <v>13</v>
      </c>
      <c r="K213" s="1" t="str">
        <f t="shared" si="11"/>
        <v>Sin riesgo</v>
      </c>
    </row>
    <row r="214" spans="1:11">
      <c r="A214" s="1" t="s">
        <v>85</v>
      </c>
      <c r="B214" s="6" t="s">
        <v>15</v>
      </c>
      <c r="C214" s="3">
        <v>21.5</v>
      </c>
      <c r="D214" s="3">
        <v>24.7</v>
      </c>
      <c r="E214" s="3">
        <v>40</v>
      </c>
      <c r="F214" s="4">
        <v>6.8511899999999999</v>
      </c>
      <c r="G214" s="4">
        <v>-75.175028999999995</v>
      </c>
      <c r="H214" s="9">
        <f t="shared" si="9"/>
        <v>0.61749999999999994</v>
      </c>
      <c r="I214" s="4" t="str">
        <f t="shared" si="10"/>
        <v>Sin riesgo &lt;85%</v>
      </c>
      <c r="J214" s="1" t="s">
        <v>13</v>
      </c>
      <c r="K214" s="1" t="str">
        <f t="shared" si="11"/>
        <v>Sin riesgo</v>
      </c>
    </row>
    <row r="215" spans="1:11">
      <c r="A215" s="1" t="s">
        <v>86</v>
      </c>
      <c r="B215" s="6" t="s">
        <v>12</v>
      </c>
      <c r="C215" s="3">
        <v>34.5</v>
      </c>
      <c r="D215" s="3">
        <v>33.61</v>
      </c>
      <c r="E215" s="3">
        <v>31.5</v>
      </c>
      <c r="H215" s="9">
        <f t="shared" si="9"/>
        <v>1.0952380952380953</v>
      </c>
      <c r="I215" s="4" t="str">
        <f t="shared" si="10"/>
        <v>Altamente critico &gt;100%</v>
      </c>
      <c r="J215" s="1" t="s">
        <v>13</v>
      </c>
      <c r="K215" s="1" t="str">
        <f t="shared" si="11"/>
        <v>Sin riesgo</v>
      </c>
    </row>
    <row r="216" spans="1:11">
      <c r="A216" s="1" t="s">
        <v>86</v>
      </c>
      <c r="B216" s="6" t="s">
        <v>14</v>
      </c>
      <c r="C216" s="3">
        <v>38.25</v>
      </c>
      <c r="D216" s="3">
        <v>35.61</v>
      </c>
      <c r="E216" s="3">
        <v>31.5</v>
      </c>
      <c r="H216" s="9">
        <f t="shared" si="9"/>
        <v>1.2142857142857142</v>
      </c>
      <c r="I216" s="4" t="str">
        <f t="shared" si="10"/>
        <v>Altamente critico &gt;100%</v>
      </c>
      <c r="J216" s="1" t="s">
        <v>13</v>
      </c>
      <c r="K216" s="1" t="str">
        <f t="shared" si="11"/>
        <v>Sin riesgo</v>
      </c>
    </row>
    <row r="217" spans="1:11">
      <c r="A217" s="1" t="s">
        <v>86</v>
      </c>
      <c r="B217" s="6" t="s">
        <v>15</v>
      </c>
      <c r="C217" s="3">
        <v>38.25</v>
      </c>
      <c r="D217" s="3">
        <v>35.61</v>
      </c>
      <c r="E217" s="3">
        <v>31.5</v>
      </c>
      <c r="H217" s="9">
        <f t="shared" si="9"/>
        <v>1.2142857142857142</v>
      </c>
      <c r="I217" s="4" t="str">
        <f t="shared" si="10"/>
        <v>Altamente critico &gt;100%</v>
      </c>
      <c r="J217" s="1" t="s">
        <v>13</v>
      </c>
      <c r="K217" s="1" t="str">
        <f t="shared" si="11"/>
        <v>Sin riesgo</v>
      </c>
    </row>
    <row r="218" spans="1:11">
      <c r="A218" s="1" t="s">
        <v>87</v>
      </c>
      <c r="B218" s="6" t="s">
        <v>12</v>
      </c>
      <c r="C218" s="3">
        <v>21.54</v>
      </c>
      <c r="D218" s="3">
        <v>23.85</v>
      </c>
      <c r="E218" s="3">
        <v>40</v>
      </c>
      <c r="H218" s="9">
        <f t="shared" si="9"/>
        <v>0.59625000000000006</v>
      </c>
      <c r="I218" s="4" t="str">
        <f t="shared" si="10"/>
        <v>Sin riesgo &lt;85%</v>
      </c>
      <c r="J218" s="1" t="s">
        <v>13</v>
      </c>
      <c r="K218" s="1" t="str">
        <f t="shared" si="11"/>
        <v>Sin riesgo</v>
      </c>
    </row>
    <row r="219" spans="1:11">
      <c r="A219" s="1" t="s">
        <v>87</v>
      </c>
      <c r="B219" s="6" t="s">
        <v>14</v>
      </c>
      <c r="C219" s="3">
        <v>23.73</v>
      </c>
      <c r="D219" s="3">
        <v>24.87</v>
      </c>
      <c r="E219" s="3">
        <v>40</v>
      </c>
      <c r="H219" s="9">
        <f t="shared" si="9"/>
        <v>0.62175000000000002</v>
      </c>
      <c r="I219" s="4" t="str">
        <f t="shared" si="10"/>
        <v>Sin riesgo &lt;85%</v>
      </c>
      <c r="J219" s="1" t="s">
        <v>13</v>
      </c>
      <c r="K219" s="1" t="str">
        <f t="shared" si="11"/>
        <v>Sin riesgo</v>
      </c>
    </row>
    <row r="220" spans="1:11">
      <c r="A220" s="1" t="s">
        <v>87</v>
      </c>
      <c r="B220" s="6" t="s">
        <v>15</v>
      </c>
      <c r="C220" s="3">
        <v>23.73</v>
      </c>
      <c r="D220" s="3">
        <v>24.87</v>
      </c>
      <c r="E220" s="3">
        <v>40</v>
      </c>
      <c r="H220" s="9">
        <f t="shared" si="9"/>
        <v>0.62175000000000002</v>
      </c>
      <c r="I220" s="4" t="str">
        <f t="shared" si="10"/>
        <v>Sin riesgo &lt;85%</v>
      </c>
      <c r="J220" s="1" t="s">
        <v>13</v>
      </c>
      <c r="K220" s="1" t="str">
        <f t="shared" si="11"/>
        <v>Sin riesgo</v>
      </c>
    </row>
    <row r="221" spans="1:11">
      <c r="A221" s="1" t="s">
        <v>88</v>
      </c>
      <c r="B221" s="6" t="s">
        <v>12</v>
      </c>
      <c r="C221" s="3">
        <v>5.51</v>
      </c>
      <c r="D221" s="3">
        <v>6.37</v>
      </c>
      <c r="E221" s="3">
        <v>40</v>
      </c>
      <c r="F221" s="4">
        <v>5.9710049999999999</v>
      </c>
      <c r="G221" s="4">
        <v>-74.570819</v>
      </c>
      <c r="H221" s="9">
        <f t="shared" si="9"/>
        <v>0.15925</v>
      </c>
      <c r="I221" s="4" t="str">
        <f t="shared" si="10"/>
        <v>Sin riesgo &lt;85%</v>
      </c>
      <c r="J221" s="1" t="s">
        <v>13</v>
      </c>
      <c r="K221" s="1" t="str">
        <f t="shared" si="11"/>
        <v>Sin riesgo</v>
      </c>
    </row>
    <row r="222" spans="1:11">
      <c r="A222" s="1" t="s">
        <v>88</v>
      </c>
      <c r="B222" s="6" t="s">
        <v>14</v>
      </c>
      <c r="C222" s="3">
        <v>8.14</v>
      </c>
      <c r="D222" s="3">
        <v>7.12</v>
      </c>
      <c r="E222" s="3">
        <v>40</v>
      </c>
      <c r="F222" s="4">
        <v>5.9710049999999999</v>
      </c>
      <c r="G222" s="4">
        <v>-74.570819</v>
      </c>
      <c r="H222" s="9">
        <f t="shared" si="9"/>
        <v>0.20350000000000001</v>
      </c>
      <c r="I222" s="4" t="str">
        <f t="shared" si="10"/>
        <v>Sin riesgo &lt;85%</v>
      </c>
      <c r="J222" s="1" t="s">
        <v>13</v>
      </c>
      <c r="K222" s="1" t="str">
        <f t="shared" si="11"/>
        <v>Sin riesgo</v>
      </c>
    </row>
    <row r="223" spans="1:11">
      <c r="A223" s="1" t="s">
        <v>88</v>
      </c>
      <c r="B223" s="6" t="s">
        <v>15</v>
      </c>
      <c r="C223" s="3">
        <v>8.14</v>
      </c>
      <c r="D223" s="3">
        <v>7.12</v>
      </c>
      <c r="E223" s="3">
        <v>40</v>
      </c>
      <c r="F223" s="4">
        <v>5.9710049999999999</v>
      </c>
      <c r="G223" s="4">
        <v>-74.570819</v>
      </c>
      <c r="H223" s="9">
        <f t="shared" si="9"/>
        <v>0.20350000000000001</v>
      </c>
      <c r="I223" s="4" t="str">
        <f t="shared" si="10"/>
        <v>Sin riesgo &lt;85%</v>
      </c>
      <c r="J223" s="1" t="s">
        <v>13</v>
      </c>
      <c r="K223" s="1" t="str">
        <f t="shared" si="11"/>
        <v>Sin riesgo</v>
      </c>
    </row>
    <row r="224" spans="1:11">
      <c r="A224" s="1" t="s">
        <v>89</v>
      </c>
      <c r="B224" s="6" t="s">
        <v>12</v>
      </c>
      <c r="C224" s="3">
        <v>3.34</v>
      </c>
      <c r="D224" s="3">
        <v>4.33</v>
      </c>
      <c r="E224" s="3">
        <v>31.5</v>
      </c>
      <c r="H224" s="9">
        <f t="shared" si="9"/>
        <v>0.13746031746031745</v>
      </c>
      <c r="I224" s="4" t="str">
        <f t="shared" si="10"/>
        <v>Sin riesgo &lt;85%</v>
      </c>
      <c r="J224" s="1" t="s">
        <v>13</v>
      </c>
      <c r="K224" s="1" t="str">
        <f t="shared" si="11"/>
        <v>Sin riesgo</v>
      </c>
    </row>
    <row r="225" spans="1:11">
      <c r="A225" s="1" t="s">
        <v>89</v>
      </c>
      <c r="B225" s="6" t="s">
        <v>14</v>
      </c>
      <c r="C225" s="3">
        <v>3.67</v>
      </c>
      <c r="D225" s="3">
        <v>4.66</v>
      </c>
      <c r="E225" s="3">
        <v>31.5</v>
      </c>
      <c r="H225" s="9">
        <f t="shared" si="9"/>
        <v>0.14793650793650795</v>
      </c>
      <c r="I225" s="4" t="str">
        <f t="shared" si="10"/>
        <v>Sin riesgo &lt;85%</v>
      </c>
      <c r="J225" s="1" t="s">
        <v>13</v>
      </c>
      <c r="K225" s="1" t="str">
        <f t="shared" si="11"/>
        <v>Sin riesgo</v>
      </c>
    </row>
    <row r="226" spans="1:11">
      <c r="A226" s="1" t="s">
        <v>89</v>
      </c>
      <c r="B226" s="6" t="s">
        <v>15</v>
      </c>
      <c r="C226" s="3">
        <v>3.66</v>
      </c>
      <c r="D226" s="3">
        <v>4.66</v>
      </c>
      <c r="E226" s="3">
        <v>31.5</v>
      </c>
      <c r="H226" s="9">
        <f t="shared" si="9"/>
        <v>0.14793650793650795</v>
      </c>
      <c r="I226" s="4" t="str">
        <f t="shared" si="10"/>
        <v>Sin riesgo &lt;85%</v>
      </c>
      <c r="J226" s="1" t="s">
        <v>13</v>
      </c>
      <c r="K226" s="1" t="str">
        <f t="shared" si="11"/>
        <v>Sin riesgo</v>
      </c>
    </row>
    <row r="227" spans="1:11">
      <c r="A227" s="1" t="s">
        <v>90</v>
      </c>
      <c r="B227" s="6" t="s">
        <v>12</v>
      </c>
      <c r="C227" s="3">
        <v>4.47</v>
      </c>
      <c r="D227" s="3">
        <v>5.84</v>
      </c>
      <c r="E227" s="3">
        <v>31.5</v>
      </c>
      <c r="F227" s="4">
        <v>6.184717</v>
      </c>
      <c r="G227" s="4">
        <v>-74.587186000000003</v>
      </c>
      <c r="H227" s="9">
        <f t="shared" si="9"/>
        <v>0.18539682539682539</v>
      </c>
      <c r="I227" s="4" t="str">
        <f t="shared" si="10"/>
        <v>Sin riesgo &lt;85%</v>
      </c>
      <c r="J227" s="1" t="s">
        <v>13</v>
      </c>
      <c r="K227" s="1" t="str">
        <f t="shared" si="11"/>
        <v>Sin riesgo</v>
      </c>
    </row>
    <row r="228" spans="1:11">
      <c r="A228" s="1" t="s">
        <v>90</v>
      </c>
      <c r="B228" s="6" t="s">
        <v>14</v>
      </c>
      <c r="C228" s="3">
        <v>5</v>
      </c>
      <c r="D228" s="3">
        <v>6.32</v>
      </c>
      <c r="E228" s="3">
        <v>31.5</v>
      </c>
      <c r="F228" s="4">
        <v>6.184717</v>
      </c>
      <c r="G228" s="4">
        <v>-74.587186000000003</v>
      </c>
      <c r="H228" s="9">
        <f t="shared" si="9"/>
        <v>0.20063492063492064</v>
      </c>
      <c r="I228" s="4" t="str">
        <f t="shared" si="10"/>
        <v>Sin riesgo &lt;85%</v>
      </c>
      <c r="J228" s="1" t="s">
        <v>13</v>
      </c>
      <c r="K228" s="1" t="str">
        <f t="shared" si="11"/>
        <v>Sin riesgo</v>
      </c>
    </row>
    <row r="229" spans="1:11">
      <c r="A229" s="1" t="s">
        <v>90</v>
      </c>
      <c r="B229" s="6" t="s">
        <v>15</v>
      </c>
      <c r="C229" s="3">
        <v>5</v>
      </c>
      <c r="D229" s="3">
        <v>6.32</v>
      </c>
      <c r="E229" s="3">
        <v>31.5</v>
      </c>
      <c r="F229" s="4">
        <v>6.184717</v>
      </c>
      <c r="G229" s="4">
        <v>-74.587186000000003</v>
      </c>
      <c r="H229" s="9">
        <f t="shared" si="9"/>
        <v>0.20063492063492064</v>
      </c>
      <c r="I229" s="4" t="str">
        <f t="shared" si="10"/>
        <v>Sin riesgo &lt;85%</v>
      </c>
      <c r="J229" s="1" t="s">
        <v>13</v>
      </c>
      <c r="K229" s="1" t="str">
        <f t="shared" si="11"/>
        <v>Sin riesgo</v>
      </c>
    </row>
    <row r="230" spans="1:11">
      <c r="A230" s="1" t="s">
        <v>91</v>
      </c>
      <c r="B230" s="6" t="s">
        <v>12</v>
      </c>
      <c r="C230" s="3">
        <v>23.5</v>
      </c>
      <c r="D230" s="3">
        <v>24.88</v>
      </c>
      <c r="E230" s="3">
        <v>31.5</v>
      </c>
      <c r="F230" s="4">
        <v>5.4233452759179297</v>
      </c>
      <c r="G230" s="4">
        <v>-74.719200443675405</v>
      </c>
      <c r="H230" s="9">
        <f t="shared" si="9"/>
        <v>0.78984126984126979</v>
      </c>
      <c r="I230" s="4" t="str">
        <f t="shared" si="10"/>
        <v>Sin riesgo &lt;85%</v>
      </c>
      <c r="J230" s="1" t="s">
        <v>13</v>
      </c>
      <c r="K230" s="1" t="str">
        <f t="shared" si="11"/>
        <v>Sin riesgo</v>
      </c>
    </row>
    <row r="231" spans="1:11">
      <c r="A231" s="1" t="s">
        <v>91</v>
      </c>
      <c r="B231" s="6" t="s">
        <v>14</v>
      </c>
      <c r="C231" s="3">
        <v>24</v>
      </c>
      <c r="D231" s="3">
        <v>25.42</v>
      </c>
      <c r="E231" s="3">
        <v>31.5</v>
      </c>
      <c r="F231" s="4">
        <v>5.4233452759179297</v>
      </c>
      <c r="G231" s="4">
        <v>-74.719200443675405</v>
      </c>
      <c r="H231" s="9">
        <f t="shared" si="9"/>
        <v>0.80698412698412703</v>
      </c>
      <c r="I231" s="4" t="str">
        <f t="shared" si="10"/>
        <v>Sin riesgo &lt;85%</v>
      </c>
      <c r="J231" s="1" t="s">
        <v>13</v>
      </c>
      <c r="K231" s="1" t="str">
        <f t="shared" si="11"/>
        <v>Sin riesgo</v>
      </c>
    </row>
    <row r="232" spans="1:11">
      <c r="A232" s="1" t="s">
        <v>91</v>
      </c>
      <c r="B232" s="6" t="s">
        <v>15</v>
      </c>
      <c r="C232" s="3">
        <v>24.09</v>
      </c>
      <c r="D232" s="3">
        <v>25.57</v>
      </c>
      <c r="E232" s="3">
        <v>31.5</v>
      </c>
      <c r="F232" s="4">
        <v>5.4233452759179297</v>
      </c>
      <c r="G232" s="4">
        <v>-74.719200443675405</v>
      </c>
      <c r="H232" s="9">
        <f t="shared" si="9"/>
        <v>0.81174603174603177</v>
      </c>
      <c r="I232" s="4" t="str">
        <f t="shared" si="10"/>
        <v>Sin riesgo &lt;85%</v>
      </c>
      <c r="J232" s="1" t="s">
        <v>13</v>
      </c>
      <c r="K232" s="1" t="str">
        <f t="shared" si="11"/>
        <v>Sin riesgo</v>
      </c>
    </row>
    <row r="233" spans="1:11">
      <c r="A233" s="1" t="s">
        <v>92</v>
      </c>
      <c r="B233" s="6" t="s">
        <v>12</v>
      </c>
      <c r="C233" s="3">
        <v>1.25</v>
      </c>
      <c r="D233" s="3">
        <v>2.0499999999999998</v>
      </c>
      <c r="E233" s="3">
        <v>31.5</v>
      </c>
      <c r="F233" s="4">
        <v>5.6999515064737203</v>
      </c>
      <c r="G233" s="4">
        <v>-76.654915022711805</v>
      </c>
      <c r="H233" s="9">
        <f t="shared" si="9"/>
        <v>6.507936507936507E-2</v>
      </c>
      <c r="I233" s="4" t="str">
        <f t="shared" si="10"/>
        <v>Sin riesgo &lt;85%</v>
      </c>
      <c r="J233" s="1" t="s">
        <v>13</v>
      </c>
      <c r="K233" s="1" t="str">
        <f t="shared" si="11"/>
        <v>Sin riesgo</v>
      </c>
    </row>
    <row r="234" spans="1:11">
      <c r="A234" s="1" t="s">
        <v>92</v>
      </c>
      <c r="B234" s="6" t="s">
        <v>14</v>
      </c>
      <c r="C234" s="3">
        <v>1.27</v>
      </c>
      <c r="D234" s="3">
        <v>2.1</v>
      </c>
      <c r="E234" s="3">
        <v>31.5</v>
      </c>
      <c r="F234" s="4">
        <v>5.6999515064737203</v>
      </c>
      <c r="G234" s="4">
        <v>-76.654915022711805</v>
      </c>
      <c r="H234" s="9">
        <f t="shared" si="9"/>
        <v>6.6666666666666666E-2</v>
      </c>
      <c r="I234" s="4" t="str">
        <f t="shared" si="10"/>
        <v>Sin riesgo &lt;85%</v>
      </c>
      <c r="J234" s="1" t="s">
        <v>13</v>
      </c>
      <c r="K234" s="1" t="str">
        <f t="shared" si="11"/>
        <v>Sin riesgo</v>
      </c>
    </row>
    <row r="235" spans="1:11">
      <c r="A235" s="1" t="s">
        <v>92</v>
      </c>
      <c r="B235" s="6" t="s">
        <v>15</v>
      </c>
      <c r="C235" s="3">
        <v>1.27</v>
      </c>
      <c r="D235" s="3">
        <v>2.1</v>
      </c>
      <c r="E235" s="3">
        <v>31.5</v>
      </c>
      <c r="F235" s="4">
        <v>5.6999515064737203</v>
      </c>
      <c r="G235" s="4">
        <v>-76.654915022711805</v>
      </c>
      <c r="H235" s="9">
        <f t="shared" si="9"/>
        <v>6.6666666666666666E-2</v>
      </c>
      <c r="I235" s="4" t="str">
        <f t="shared" si="10"/>
        <v>Sin riesgo &lt;85%</v>
      </c>
      <c r="J235" s="1" t="s">
        <v>13</v>
      </c>
      <c r="K235" s="1" t="str">
        <f t="shared" si="11"/>
        <v>Sin riesgo</v>
      </c>
    </row>
    <row r="236" spans="1:11">
      <c r="A236" s="1" t="s">
        <v>93</v>
      </c>
      <c r="B236" s="6" t="s">
        <v>12</v>
      </c>
      <c r="C236" s="3">
        <v>3.8</v>
      </c>
      <c r="D236" s="3">
        <v>5.5</v>
      </c>
      <c r="E236" s="3">
        <v>25</v>
      </c>
      <c r="F236" s="4">
        <v>5.8584370000000003</v>
      </c>
      <c r="G236" s="4">
        <v>-74.848870000000005</v>
      </c>
      <c r="H236" s="9">
        <f t="shared" si="9"/>
        <v>0.22</v>
      </c>
      <c r="I236" s="4" t="str">
        <f t="shared" si="10"/>
        <v>Sin riesgo &lt;85%</v>
      </c>
      <c r="J236" s="1" t="s">
        <v>13</v>
      </c>
      <c r="K236" s="1" t="str">
        <f t="shared" si="11"/>
        <v>Sin riesgo</v>
      </c>
    </row>
    <row r="237" spans="1:11">
      <c r="A237" s="1" t="s">
        <v>93</v>
      </c>
      <c r="B237" s="6" t="s">
        <v>14</v>
      </c>
      <c r="C237" s="3">
        <v>4.4000000000000004</v>
      </c>
      <c r="D237" s="3">
        <v>6.5</v>
      </c>
      <c r="E237" s="3">
        <v>25</v>
      </c>
      <c r="F237" s="4">
        <v>5.8584370000000003</v>
      </c>
      <c r="G237" s="4">
        <v>-74.848870000000005</v>
      </c>
      <c r="H237" s="9">
        <f t="shared" si="9"/>
        <v>0.26</v>
      </c>
      <c r="I237" s="4" t="str">
        <f t="shared" si="10"/>
        <v>Sin riesgo &lt;85%</v>
      </c>
      <c r="J237" s="1" t="s">
        <v>13</v>
      </c>
      <c r="K237" s="1" t="str">
        <f t="shared" si="11"/>
        <v>Sin riesgo</v>
      </c>
    </row>
    <row r="238" spans="1:11">
      <c r="A238" s="1" t="s">
        <v>93</v>
      </c>
      <c r="B238" s="6" t="s">
        <v>15</v>
      </c>
      <c r="C238" s="3">
        <v>4.4000000000000004</v>
      </c>
      <c r="D238" s="3">
        <v>6.5</v>
      </c>
      <c r="E238" s="3">
        <v>25</v>
      </c>
      <c r="F238" s="4">
        <v>5.8584370000000003</v>
      </c>
      <c r="G238" s="4">
        <v>-74.848870000000005</v>
      </c>
      <c r="H238" s="9">
        <f t="shared" si="9"/>
        <v>0.26</v>
      </c>
      <c r="I238" s="4" t="str">
        <f t="shared" si="10"/>
        <v>Sin riesgo &lt;85%</v>
      </c>
      <c r="J238" s="1" t="s">
        <v>13</v>
      </c>
      <c r="K238" s="1" t="str">
        <f t="shared" si="11"/>
        <v>Sin riesgo</v>
      </c>
    </row>
    <row r="239" spans="1:11">
      <c r="A239" s="1" t="s">
        <v>94</v>
      </c>
      <c r="B239" s="6" t="s">
        <v>12</v>
      </c>
      <c r="C239" s="3">
        <v>11.11</v>
      </c>
      <c r="D239" s="3">
        <v>11.16</v>
      </c>
      <c r="E239" s="3">
        <v>31.5</v>
      </c>
      <c r="F239" s="4">
        <v>6.5440449999999997</v>
      </c>
      <c r="G239" s="4">
        <v>-75.363699999999994</v>
      </c>
      <c r="H239" s="9">
        <f t="shared" si="9"/>
        <v>0.35428571428571431</v>
      </c>
      <c r="I239" s="4" t="str">
        <f t="shared" si="10"/>
        <v>Sin riesgo &lt;85%</v>
      </c>
      <c r="J239" s="1" t="s">
        <v>13</v>
      </c>
      <c r="K239" s="1" t="str">
        <f t="shared" si="11"/>
        <v>Sin riesgo</v>
      </c>
    </row>
    <row r="240" spans="1:11">
      <c r="A240" s="1" t="s">
        <v>94</v>
      </c>
      <c r="B240" s="6" t="s">
        <v>14</v>
      </c>
      <c r="C240" s="3">
        <v>11.14</v>
      </c>
      <c r="D240" s="3">
        <v>11.2</v>
      </c>
      <c r="E240" s="3">
        <v>31.5</v>
      </c>
      <c r="F240" s="4">
        <v>6.5440449999999997</v>
      </c>
      <c r="G240" s="4">
        <v>-75.363699999999994</v>
      </c>
      <c r="H240" s="9">
        <f t="shared" si="9"/>
        <v>0.35555555555555551</v>
      </c>
      <c r="I240" s="4" t="str">
        <f t="shared" si="10"/>
        <v>Sin riesgo &lt;85%</v>
      </c>
      <c r="J240" s="1" t="s">
        <v>13</v>
      </c>
      <c r="K240" s="1" t="str">
        <f t="shared" si="11"/>
        <v>Sin riesgo</v>
      </c>
    </row>
    <row r="241" spans="1:11">
      <c r="A241" s="1" t="s">
        <v>94</v>
      </c>
      <c r="B241" s="6" t="s">
        <v>15</v>
      </c>
      <c r="C241" s="3">
        <v>11.14</v>
      </c>
      <c r="D241" s="3">
        <v>11.2</v>
      </c>
      <c r="E241" s="3">
        <v>31.5</v>
      </c>
      <c r="F241" s="4">
        <v>6.5440449999999997</v>
      </c>
      <c r="G241" s="4">
        <v>-75.363699999999994</v>
      </c>
      <c r="H241" s="9">
        <f t="shared" si="9"/>
        <v>0.35555555555555551</v>
      </c>
      <c r="I241" s="4" t="str">
        <f t="shared" si="10"/>
        <v>Sin riesgo &lt;85%</v>
      </c>
      <c r="J241" s="1" t="s">
        <v>13</v>
      </c>
      <c r="K241" s="1" t="str">
        <f t="shared" si="11"/>
        <v>Sin riesgo</v>
      </c>
    </row>
    <row r="242" spans="1:11">
      <c r="A242" s="1" t="s">
        <v>95</v>
      </c>
      <c r="B242" s="6" t="s">
        <v>12</v>
      </c>
      <c r="C242" s="3">
        <v>17.05</v>
      </c>
      <c r="D242" s="3">
        <v>18.649999999999999</v>
      </c>
      <c r="E242" s="3">
        <v>22</v>
      </c>
      <c r="F242" s="4">
        <v>6.1530697202829501</v>
      </c>
      <c r="G242" s="4">
        <v>-75.415827206794802</v>
      </c>
      <c r="H242" s="9">
        <f t="shared" si="9"/>
        <v>0.84772727272727266</v>
      </c>
      <c r="I242" s="4" t="str">
        <f t="shared" si="10"/>
        <v>Sin riesgo &lt;85%</v>
      </c>
      <c r="J242" s="1" t="s">
        <v>13</v>
      </c>
      <c r="K242" s="1" t="str">
        <f t="shared" si="11"/>
        <v>Sin riesgo</v>
      </c>
    </row>
    <row r="243" spans="1:11">
      <c r="A243" s="1" t="s">
        <v>95</v>
      </c>
      <c r="B243" s="6" t="s">
        <v>14</v>
      </c>
      <c r="C243" s="3">
        <v>17.2</v>
      </c>
      <c r="D243" s="3">
        <v>18.87</v>
      </c>
      <c r="E243" s="3">
        <v>22</v>
      </c>
      <c r="F243" s="4">
        <v>6.1530697202829501</v>
      </c>
      <c r="G243" s="4">
        <v>-75.415827206794802</v>
      </c>
      <c r="H243" s="9">
        <f t="shared" si="9"/>
        <v>0.85772727272727278</v>
      </c>
      <c r="I243" s="4" t="str">
        <f t="shared" si="10"/>
        <v>En riesgo &gt;85%</v>
      </c>
      <c r="J243" s="1" t="s">
        <v>13</v>
      </c>
      <c r="K243" s="1" t="str">
        <f t="shared" si="11"/>
        <v>Sin riesgo</v>
      </c>
    </row>
    <row r="244" spans="1:11">
      <c r="A244" s="1" t="s">
        <v>95</v>
      </c>
      <c r="B244" s="6" t="s">
        <v>15</v>
      </c>
      <c r="C244" s="3">
        <v>17.2</v>
      </c>
      <c r="D244" s="3">
        <v>18.87</v>
      </c>
      <c r="E244" s="3">
        <v>22</v>
      </c>
      <c r="F244" s="4">
        <v>6.1530697202829501</v>
      </c>
      <c r="G244" s="4">
        <v>-75.415827206794802</v>
      </c>
      <c r="H244" s="9">
        <f t="shared" si="9"/>
        <v>0.85772727272727278</v>
      </c>
      <c r="I244" s="4" t="str">
        <f t="shared" si="10"/>
        <v>En riesgo &gt;85%</v>
      </c>
      <c r="J244" s="1" t="s">
        <v>13</v>
      </c>
      <c r="K244" s="1" t="str">
        <f t="shared" si="11"/>
        <v>Sin riesgo</v>
      </c>
    </row>
    <row r="245" spans="1:11">
      <c r="A245" s="1" t="s">
        <v>96</v>
      </c>
      <c r="B245" s="6" t="s">
        <v>12</v>
      </c>
      <c r="C245" s="3">
        <v>30.72</v>
      </c>
      <c r="D245" s="3">
        <v>35.43</v>
      </c>
      <c r="E245" s="3">
        <v>40</v>
      </c>
      <c r="F245" s="4">
        <v>6.1976839999999997</v>
      </c>
      <c r="G245" s="4">
        <v>-75.596349000000004</v>
      </c>
      <c r="H245" s="9">
        <f t="shared" si="9"/>
        <v>0.88575000000000004</v>
      </c>
      <c r="I245" s="4" t="str">
        <f t="shared" si="10"/>
        <v>En riesgo &gt;85%</v>
      </c>
      <c r="J245" s="1" t="s">
        <v>13</v>
      </c>
      <c r="K245" s="1" t="str">
        <f t="shared" si="11"/>
        <v>Sin riesgo</v>
      </c>
    </row>
    <row r="246" spans="1:11">
      <c r="A246" s="1" t="s">
        <v>96</v>
      </c>
      <c r="B246" s="6" t="s">
        <v>14</v>
      </c>
      <c r="C246" s="3">
        <v>30.92</v>
      </c>
      <c r="D246" s="3">
        <v>35.79</v>
      </c>
      <c r="E246" s="3">
        <v>40</v>
      </c>
      <c r="F246" s="4">
        <v>6.1976839999999997</v>
      </c>
      <c r="G246" s="4">
        <v>-75.596349000000004</v>
      </c>
      <c r="H246" s="9">
        <f t="shared" si="9"/>
        <v>0.89474999999999993</v>
      </c>
      <c r="I246" s="4" t="str">
        <f t="shared" si="10"/>
        <v>En riesgo &gt;85%</v>
      </c>
      <c r="J246" s="1" t="s">
        <v>13</v>
      </c>
      <c r="K246" s="1" t="str">
        <f t="shared" si="11"/>
        <v>Sin riesgo</v>
      </c>
    </row>
    <row r="247" spans="1:11">
      <c r="A247" s="1" t="s">
        <v>96</v>
      </c>
      <c r="B247" s="6" t="s">
        <v>15</v>
      </c>
      <c r="C247" s="3">
        <v>30.92</v>
      </c>
      <c r="D247" s="3">
        <v>35.79</v>
      </c>
      <c r="E247" s="3">
        <v>40</v>
      </c>
      <c r="F247" s="4">
        <v>6.1976839999999997</v>
      </c>
      <c r="G247" s="4">
        <v>-75.596349000000004</v>
      </c>
      <c r="H247" s="9">
        <f t="shared" si="9"/>
        <v>0.89474999999999993</v>
      </c>
      <c r="I247" s="4" t="str">
        <f t="shared" si="10"/>
        <v>En riesgo &gt;85%</v>
      </c>
      <c r="J247" s="1" t="s">
        <v>13</v>
      </c>
      <c r="K247" s="1" t="str">
        <f t="shared" si="11"/>
        <v>Sin riesgo</v>
      </c>
    </row>
    <row r="248" spans="1:11">
      <c r="A248" s="1" t="s">
        <v>97</v>
      </c>
      <c r="B248" s="6" t="s">
        <v>12</v>
      </c>
      <c r="C248" s="3">
        <v>1.57</v>
      </c>
      <c r="D248" s="3">
        <v>2.04</v>
      </c>
      <c r="E248" s="3">
        <v>40</v>
      </c>
      <c r="F248" s="11"/>
      <c r="G248" s="11"/>
      <c r="H248" s="9">
        <f t="shared" si="9"/>
        <v>5.1000000000000004E-2</v>
      </c>
      <c r="I248" s="4" t="str">
        <f t="shared" si="10"/>
        <v>Sin riesgo &lt;85%</v>
      </c>
      <c r="J248" s="1" t="s">
        <v>13</v>
      </c>
      <c r="K248" s="1" t="str">
        <f t="shared" si="11"/>
        <v>Sin riesgo</v>
      </c>
    </row>
    <row r="249" spans="1:11">
      <c r="A249" s="1" t="s">
        <v>97</v>
      </c>
      <c r="B249" s="6" t="s">
        <v>14</v>
      </c>
      <c r="C249" s="3">
        <v>1.58</v>
      </c>
      <c r="D249" s="3">
        <v>2.04</v>
      </c>
      <c r="E249" s="3">
        <v>40</v>
      </c>
      <c r="F249" s="11"/>
      <c r="G249" s="11"/>
      <c r="H249" s="9">
        <f t="shared" si="9"/>
        <v>5.1000000000000004E-2</v>
      </c>
      <c r="I249" s="4" t="str">
        <f t="shared" si="10"/>
        <v>Sin riesgo &lt;85%</v>
      </c>
      <c r="J249" s="1" t="s">
        <v>13</v>
      </c>
      <c r="K249" s="1" t="str">
        <f t="shared" si="11"/>
        <v>Sin riesgo</v>
      </c>
    </row>
    <row r="250" spans="1:11">
      <c r="A250" s="1" t="s">
        <v>97</v>
      </c>
      <c r="B250" s="6" t="s">
        <v>15</v>
      </c>
      <c r="C250" s="3">
        <v>1.57</v>
      </c>
      <c r="D250" s="3">
        <v>2.04</v>
      </c>
      <c r="E250" s="3">
        <v>40</v>
      </c>
      <c r="F250" s="11"/>
      <c r="G250" s="11"/>
      <c r="H250" s="9">
        <f t="shared" si="9"/>
        <v>5.1000000000000004E-2</v>
      </c>
      <c r="I250" s="4" t="str">
        <f t="shared" si="10"/>
        <v>Sin riesgo &lt;85%</v>
      </c>
      <c r="J250" s="1" t="s">
        <v>13</v>
      </c>
      <c r="K250" s="1" t="str">
        <f t="shared" si="11"/>
        <v>Sin riesgo</v>
      </c>
    </row>
    <row r="251" spans="1:11">
      <c r="A251" s="1" t="s">
        <v>98</v>
      </c>
      <c r="B251" s="6" t="s">
        <v>12</v>
      </c>
      <c r="C251" s="3">
        <v>59.43</v>
      </c>
      <c r="D251" s="3">
        <v>53.11</v>
      </c>
      <c r="E251" s="3">
        <v>63</v>
      </c>
      <c r="F251" s="4">
        <v>4.5750486500000003</v>
      </c>
      <c r="G251" s="4">
        <v>-74.112335950000002</v>
      </c>
      <c r="H251" s="9">
        <f t="shared" si="9"/>
        <v>0.94333333333333336</v>
      </c>
      <c r="I251" s="4" t="str">
        <f t="shared" si="10"/>
        <v>En riesgo &gt;85%</v>
      </c>
      <c r="J251" s="1" t="s">
        <v>13</v>
      </c>
      <c r="K251" s="1" t="str">
        <f t="shared" si="11"/>
        <v>Sin riesgo</v>
      </c>
    </row>
    <row r="252" spans="1:11">
      <c r="A252" s="1" t="s">
        <v>98</v>
      </c>
      <c r="B252" s="6" t="s">
        <v>14</v>
      </c>
      <c r="C252" s="3">
        <v>61.14</v>
      </c>
      <c r="D252" s="3">
        <v>54.77</v>
      </c>
      <c r="E252" s="3">
        <v>63</v>
      </c>
      <c r="F252" s="4">
        <v>4.5750486500000003</v>
      </c>
      <c r="G252" s="4">
        <v>-74.112335950000002</v>
      </c>
      <c r="H252" s="9">
        <f t="shared" si="9"/>
        <v>0.97047619047619049</v>
      </c>
      <c r="I252" s="4" t="str">
        <f t="shared" si="10"/>
        <v>Critico &gt;95%</v>
      </c>
      <c r="J252" s="1" t="s">
        <v>13</v>
      </c>
      <c r="K252" s="1" t="str">
        <f t="shared" si="11"/>
        <v>Sin riesgo</v>
      </c>
    </row>
    <row r="253" spans="1:11">
      <c r="A253" s="1" t="s">
        <v>98</v>
      </c>
      <c r="B253" s="6" t="s">
        <v>15</v>
      </c>
      <c r="C253" s="3">
        <v>61.15</v>
      </c>
      <c r="D253" s="3">
        <v>54.78</v>
      </c>
      <c r="E253" s="3">
        <v>63</v>
      </c>
      <c r="F253" s="4">
        <v>4.5750486500000003</v>
      </c>
      <c r="G253" s="4">
        <v>-74.112335950000002</v>
      </c>
      <c r="H253" s="9">
        <f t="shared" si="9"/>
        <v>0.97063492063492063</v>
      </c>
      <c r="I253" s="4" t="str">
        <f t="shared" si="10"/>
        <v>Critico &gt;95%</v>
      </c>
      <c r="J253" s="1" t="s">
        <v>13</v>
      </c>
      <c r="K253" s="1" t="str">
        <f t="shared" si="11"/>
        <v>Sin riesgo</v>
      </c>
    </row>
    <row r="254" spans="1:11">
      <c r="A254" s="1" t="s">
        <v>99</v>
      </c>
      <c r="B254" s="6" t="s">
        <v>12</v>
      </c>
      <c r="C254" s="3">
        <v>22.43</v>
      </c>
      <c r="D254" s="3">
        <v>24.27</v>
      </c>
      <c r="E254" s="3">
        <v>40</v>
      </c>
      <c r="F254" s="4">
        <v>4.5750486500000003</v>
      </c>
      <c r="G254" s="4">
        <v>-74.112335950000002</v>
      </c>
      <c r="H254" s="9">
        <f t="shared" si="9"/>
        <v>0.60675000000000001</v>
      </c>
      <c r="I254" s="4" t="str">
        <f t="shared" si="10"/>
        <v>Sin riesgo &lt;85%</v>
      </c>
      <c r="J254" s="1" t="s">
        <v>13</v>
      </c>
      <c r="K254" s="1" t="str">
        <f t="shared" si="11"/>
        <v>Sin riesgo</v>
      </c>
    </row>
    <row r="255" spans="1:11">
      <c r="A255" s="1" t="s">
        <v>99</v>
      </c>
      <c r="B255" s="6" t="s">
        <v>14</v>
      </c>
      <c r="C255" s="3">
        <v>23.1</v>
      </c>
      <c r="D255" s="3">
        <v>25.1</v>
      </c>
      <c r="E255" s="3">
        <v>40</v>
      </c>
      <c r="F255" s="4">
        <v>4.5750486500000003</v>
      </c>
      <c r="G255" s="4">
        <v>-74.112335950000002</v>
      </c>
      <c r="H255" s="9">
        <f t="shared" si="9"/>
        <v>0.62750000000000006</v>
      </c>
      <c r="I255" s="4" t="str">
        <f t="shared" si="10"/>
        <v>Sin riesgo &lt;85%</v>
      </c>
      <c r="J255" s="1" t="s">
        <v>13</v>
      </c>
      <c r="K255" s="1" t="str">
        <f t="shared" si="11"/>
        <v>Sin riesgo</v>
      </c>
    </row>
    <row r="256" spans="1:11">
      <c r="A256" s="1" t="s">
        <v>99</v>
      </c>
      <c r="B256" s="6" t="s">
        <v>15</v>
      </c>
      <c r="C256" s="3">
        <v>23.1</v>
      </c>
      <c r="D256" s="3">
        <v>25.1</v>
      </c>
      <c r="E256" s="3">
        <v>40</v>
      </c>
      <c r="F256" s="4">
        <v>4.5750486500000003</v>
      </c>
      <c r="G256" s="4">
        <v>-74.112335950000002</v>
      </c>
      <c r="H256" s="9">
        <f t="shared" si="9"/>
        <v>0.62750000000000006</v>
      </c>
      <c r="I256" s="4" t="str">
        <f t="shared" si="10"/>
        <v>Sin riesgo &lt;85%</v>
      </c>
      <c r="J256" s="1" t="s">
        <v>13</v>
      </c>
      <c r="K256" s="1" t="str">
        <f t="shared" si="11"/>
        <v>Sin riesgo</v>
      </c>
    </row>
    <row r="257" spans="1:11">
      <c r="A257" s="1" t="s">
        <v>100</v>
      </c>
      <c r="B257" s="6" t="s">
        <v>12</v>
      </c>
      <c r="C257" s="3">
        <v>28.25</v>
      </c>
      <c r="D257" s="3">
        <v>33.33</v>
      </c>
      <c r="E257" s="3">
        <v>31.5</v>
      </c>
      <c r="F257" s="4">
        <v>6.237603</v>
      </c>
      <c r="G257" s="4">
        <v>-75.569075999999995</v>
      </c>
      <c r="H257" s="9">
        <f t="shared" si="9"/>
        <v>1.058095238095238</v>
      </c>
      <c r="I257" s="4" t="str">
        <f t="shared" si="10"/>
        <v>Altamente critico &gt;100%</v>
      </c>
      <c r="J257" s="1" t="s">
        <v>13</v>
      </c>
      <c r="K257" s="1" t="str">
        <f t="shared" si="11"/>
        <v>Sin riesgo</v>
      </c>
    </row>
    <row r="258" spans="1:11">
      <c r="A258" s="1" t="s">
        <v>100</v>
      </c>
      <c r="B258" s="6" t="s">
        <v>14</v>
      </c>
      <c r="C258" s="3">
        <v>28.89</v>
      </c>
      <c r="D258" s="3">
        <v>34.299999999999997</v>
      </c>
      <c r="E258" s="3">
        <v>31.5</v>
      </c>
      <c r="F258" s="4">
        <v>6.237603</v>
      </c>
      <c r="G258" s="4">
        <v>-75.569075999999995</v>
      </c>
      <c r="H258" s="9">
        <f t="shared" si="9"/>
        <v>1.0888888888888888</v>
      </c>
      <c r="I258" s="4" t="str">
        <f t="shared" si="10"/>
        <v>Altamente critico &gt;100%</v>
      </c>
      <c r="J258" s="1" t="s">
        <v>13</v>
      </c>
      <c r="K258" s="1" t="str">
        <f t="shared" si="11"/>
        <v>Sin riesgo</v>
      </c>
    </row>
    <row r="259" spans="1:11">
      <c r="A259" s="1" t="s">
        <v>100</v>
      </c>
      <c r="B259" s="6" t="s">
        <v>15</v>
      </c>
      <c r="C259" s="3">
        <v>28.89</v>
      </c>
      <c r="D259" s="3">
        <v>34.299999999999997</v>
      </c>
      <c r="E259" s="3">
        <v>31.5</v>
      </c>
      <c r="F259" s="4">
        <v>6.237603</v>
      </c>
      <c r="G259" s="4">
        <v>-75.569075999999995</v>
      </c>
      <c r="H259" s="9">
        <f t="shared" ref="H259:H322" si="12">IF(C259&gt;D259,C259/E259,D259/E259)</f>
        <v>1.0888888888888888</v>
      </c>
      <c r="I259" s="4" t="str">
        <f t="shared" ref="I259:I322" si="13">IF(H259&gt;100%,"Altamente critico &gt;100%",IF(H259&gt;95%,"Critico &gt;95%",IF(H259&gt;85%,"En riesgo &gt;85%","Sin riesgo &lt;85%")))</f>
        <v>Altamente critico &gt;100%</v>
      </c>
      <c r="J259" s="1" t="s">
        <v>13</v>
      </c>
      <c r="K259" s="1" t="str">
        <f t="shared" ref="K259:K322" si="14">IF(J259="&gt;5","Sin riesgo",IF(J259&gt;1.5,"Estado de alerta","Estado critico"))</f>
        <v>Sin riesgo</v>
      </c>
    </row>
    <row r="260" spans="1:11">
      <c r="A260" s="1" t="s">
        <v>101</v>
      </c>
      <c r="B260" s="6" t="s">
        <v>12</v>
      </c>
      <c r="C260" s="3">
        <v>7.09</v>
      </c>
      <c r="D260" s="3">
        <v>8.2799999999999994</v>
      </c>
      <c r="E260" s="3">
        <v>25</v>
      </c>
      <c r="F260" s="4">
        <v>6.4389810000000001</v>
      </c>
      <c r="G260" s="4">
        <v>-75.725166000000002</v>
      </c>
      <c r="H260" s="9">
        <f t="shared" si="12"/>
        <v>0.33119999999999999</v>
      </c>
      <c r="I260" s="4" t="str">
        <f t="shared" si="13"/>
        <v>Sin riesgo &lt;85%</v>
      </c>
      <c r="J260" s="1" t="s">
        <v>13</v>
      </c>
      <c r="K260" s="1" t="str">
        <f t="shared" si="14"/>
        <v>Sin riesgo</v>
      </c>
    </row>
    <row r="261" spans="1:11">
      <c r="A261" s="1" t="s">
        <v>101</v>
      </c>
      <c r="B261" s="6" t="s">
        <v>14</v>
      </c>
      <c r="C261" s="3">
        <v>7.1</v>
      </c>
      <c r="D261" s="3">
        <v>8.3000000000000007</v>
      </c>
      <c r="E261" s="3">
        <v>25</v>
      </c>
      <c r="F261" s="4">
        <v>6.4389810000000001</v>
      </c>
      <c r="G261" s="4">
        <v>-75.725166000000002</v>
      </c>
      <c r="H261" s="9">
        <f t="shared" si="12"/>
        <v>0.33200000000000002</v>
      </c>
      <c r="I261" s="4" t="str">
        <f t="shared" si="13"/>
        <v>Sin riesgo &lt;85%</v>
      </c>
      <c r="J261" s="1" t="s">
        <v>13</v>
      </c>
      <c r="K261" s="1" t="str">
        <f t="shared" si="14"/>
        <v>Sin riesgo</v>
      </c>
    </row>
    <row r="262" spans="1:11">
      <c r="A262" s="1" t="s">
        <v>101</v>
      </c>
      <c r="B262" s="6" t="s">
        <v>15</v>
      </c>
      <c r="C262" s="3">
        <v>7.1</v>
      </c>
      <c r="D262" s="3">
        <v>8.3000000000000007</v>
      </c>
      <c r="E262" s="3">
        <v>25</v>
      </c>
      <c r="F262" s="4">
        <v>6.4389810000000001</v>
      </c>
      <c r="G262" s="4">
        <v>-75.725166000000002</v>
      </c>
      <c r="H262" s="9">
        <f t="shared" si="12"/>
        <v>0.33200000000000002</v>
      </c>
      <c r="I262" s="4" t="str">
        <f t="shared" si="13"/>
        <v>Sin riesgo &lt;85%</v>
      </c>
      <c r="J262" s="1" t="s">
        <v>13</v>
      </c>
      <c r="K262" s="1" t="str">
        <f t="shared" si="14"/>
        <v>Sin riesgo</v>
      </c>
    </row>
    <row r="263" spans="1:11">
      <c r="A263" s="1" t="s">
        <v>102</v>
      </c>
      <c r="B263" s="6" t="s">
        <v>12</v>
      </c>
      <c r="C263" s="3">
        <v>11.57</v>
      </c>
      <c r="D263" s="3">
        <v>10.119999999999999</v>
      </c>
      <c r="E263" s="3">
        <v>40</v>
      </c>
      <c r="F263" s="4">
        <v>6.0380950000000002</v>
      </c>
      <c r="G263" s="4">
        <v>-75.116929999999996</v>
      </c>
      <c r="H263" s="9">
        <f t="shared" si="12"/>
        <v>0.28925000000000001</v>
      </c>
      <c r="I263" s="4" t="str">
        <f t="shared" si="13"/>
        <v>Sin riesgo &lt;85%</v>
      </c>
      <c r="J263" s="1" t="s">
        <v>13</v>
      </c>
      <c r="K263" s="1" t="str">
        <f t="shared" si="14"/>
        <v>Sin riesgo</v>
      </c>
    </row>
    <row r="264" spans="1:11">
      <c r="A264" s="1" t="s">
        <v>102</v>
      </c>
      <c r="B264" s="6" t="s">
        <v>14</v>
      </c>
      <c r="C264" s="3">
        <v>21.8</v>
      </c>
      <c r="D264" s="3">
        <v>19.010000000000002</v>
      </c>
      <c r="E264" s="3">
        <v>40</v>
      </c>
      <c r="F264" s="4">
        <v>6.0380950000000002</v>
      </c>
      <c r="G264" s="4">
        <v>-75.116929999999996</v>
      </c>
      <c r="H264" s="9">
        <f t="shared" si="12"/>
        <v>0.54500000000000004</v>
      </c>
      <c r="I264" s="4" t="str">
        <f t="shared" si="13"/>
        <v>Sin riesgo &lt;85%</v>
      </c>
      <c r="J264" s="1" t="s">
        <v>13</v>
      </c>
      <c r="K264" s="1" t="str">
        <f t="shared" si="14"/>
        <v>Sin riesgo</v>
      </c>
    </row>
    <row r="265" spans="1:11">
      <c r="A265" s="1" t="s">
        <v>102</v>
      </c>
      <c r="B265" s="6" t="s">
        <v>15</v>
      </c>
      <c r="C265" s="3">
        <v>21.8</v>
      </c>
      <c r="D265" s="3">
        <v>19.010000000000002</v>
      </c>
      <c r="E265" s="3">
        <v>40</v>
      </c>
      <c r="F265" s="4">
        <v>6.0380950000000002</v>
      </c>
      <c r="G265" s="4">
        <v>-75.116929999999996</v>
      </c>
      <c r="H265" s="9">
        <f t="shared" si="12"/>
        <v>0.54500000000000004</v>
      </c>
      <c r="I265" s="4" t="str">
        <f t="shared" si="13"/>
        <v>Sin riesgo &lt;85%</v>
      </c>
      <c r="J265" s="1" t="s">
        <v>13</v>
      </c>
      <c r="K265" s="1" t="str">
        <f t="shared" si="14"/>
        <v>Sin riesgo</v>
      </c>
    </row>
    <row r="266" spans="1:11">
      <c r="A266" s="1" t="s">
        <v>103</v>
      </c>
      <c r="B266" s="6" t="s">
        <v>12</v>
      </c>
      <c r="C266" s="3">
        <v>11.78</v>
      </c>
      <c r="D266" s="3">
        <v>10.55</v>
      </c>
      <c r="E266" s="3">
        <v>40</v>
      </c>
      <c r="F266" s="4">
        <v>6.0380950000000002</v>
      </c>
      <c r="G266" s="4">
        <v>-75.116929999999996</v>
      </c>
      <c r="H266" s="9">
        <f t="shared" si="12"/>
        <v>0.29449999999999998</v>
      </c>
      <c r="I266" s="4" t="str">
        <f t="shared" si="13"/>
        <v>Sin riesgo &lt;85%</v>
      </c>
      <c r="J266" s="1" t="s">
        <v>13</v>
      </c>
      <c r="K266" s="1" t="str">
        <f t="shared" si="14"/>
        <v>Sin riesgo</v>
      </c>
    </row>
    <row r="267" spans="1:11">
      <c r="A267" s="1" t="s">
        <v>103</v>
      </c>
      <c r="B267" s="6" t="s">
        <v>14</v>
      </c>
      <c r="C267" s="3">
        <v>19.91</v>
      </c>
      <c r="D267" s="3">
        <v>18.579999999999998</v>
      </c>
      <c r="E267" s="3">
        <v>40</v>
      </c>
      <c r="F267" s="4">
        <v>6.0380950000000002</v>
      </c>
      <c r="G267" s="4">
        <v>-75.116929999999996</v>
      </c>
      <c r="H267" s="9">
        <f t="shared" si="12"/>
        <v>0.49775000000000003</v>
      </c>
      <c r="I267" s="4" t="str">
        <f t="shared" si="13"/>
        <v>Sin riesgo &lt;85%</v>
      </c>
      <c r="J267" s="1" t="s">
        <v>13</v>
      </c>
      <c r="K267" s="1" t="str">
        <f t="shared" si="14"/>
        <v>Sin riesgo</v>
      </c>
    </row>
    <row r="268" spans="1:11">
      <c r="A268" s="1" t="s">
        <v>103</v>
      </c>
      <c r="B268" s="6" t="s">
        <v>15</v>
      </c>
      <c r="C268" s="3">
        <v>19.91</v>
      </c>
      <c r="D268" s="3">
        <v>18.579999999999998</v>
      </c>
      <c r="E268" s="3">
        <v>40</v>
      </c>
      <c r="F268" s="4">
        <v>6.0380950000000002</v>
      </c>
      <c r="G268" s="4">
        <v>-75.116929999999996</v>
      </c>
      <c r="H268" s="9">
        <f t="shared" si="12"/>
        <v>0.49775000000000003</v>
      </c>
      <c r="I268" s="4" t="str">
        <f t="shared" si="13"/>
        <v>Sin riesgo &lt;85%</v>
      </c>
      <c r="J268" s="1" t="s">
        <v>13</v>
      </c>
      <c r="K268" s="1" t="str">
        <f t="shared" si="14"/>
        <v>Sin riesgo</v>
      </c>
    </row>
    <row r="269" spans="1:11">
      <c r="A269" s="1" t="s">
        <v>104</v>
      </c>
      <c r="B269" s="6" t="s">
        <v>12</v>
      </c>
      <c r="C269" s="3">
        <v>4.91</v>
      </c>
      <c r="D269" s="3">
        <v>4.46</v>
      </c>
      <c r="E269" s="3">
        <v>40</v>
      </c>
      <c r="F269" s="4">
        <v>5.7056889999999996</v>
      </c>
      <c r="G269" s="4">
        <v>-75.314533999999995</v>
      </c>
      <c r="H269" s="9">
        <f t="shared" si="12"/>
        <v>0.12275</v>
      </c>
      <c r="I269" s="4" t="str">
        <f t="shared" si="13"/>
        <v>Sin riesgo &lt;85%</v>
      </c>
      <c r="J269" s="1" t="s">
        <v>13</v>
      </c>
      <c r="K269" s="1" t="str">
        <f t="shared" si="14"/>
        <v>Sin riesgo</v>
      </c>
    </row>
    <row r="270" spans="1:11">
      <c r="A270" s="1" t="s">
        <v>104</v>
      </c>
      <c r="B270" s="6" t="s">
        <v>14</v>
      </c>
      <c r="C270" s="3">
        <v>5.94</v>
      </c>
      <c r="D270" s="3">
        <v>5.34</v>
      </c>
      <c r="E270" s="3">
        <v>40</v>
      </c>
      <c r="F270" s="4">
        <v>5.7056889999999996</v>
      </c>
      <c r="G270" s="4">
        <v>-75.314533999999995</v>
      </c>
      <c r="H270" s="9">
        <f t="shared" si="12"/>
        <v>0.14850000000000002</v>
      </c>
      <c r="I270" s="4" t="str">
        <f t="shared" si="13"/>
        <v>Sin riesgo &lt;85%</v>
      </c>
      <c r="J270" s="1" t="s">
        <v>13</v>
      </c>
      <c r="K270" s="1" t="str">
        <f t="shared" si="14"/>
        <v>Sin riesgo</v>
      </c>
    </row>
    <row r="271" spans="1:11">
      <c r="A271" s="1" t="s">
        <v>104</v>
      </c>
      <c r="B271" s="6" t="s">
        <v>15</v>
      </c>
      <c r="C271" s="3">
        <v>5.94</v>
      </c>
      <c r="D271" s="3">
        <v>5.34</v>
      </c>
      <c r="E271" s="3">
        <v>40</v>
      </c>
      <c r="F271" s="4">
        <v>5.7056889999999996</v>
      </c>
      <c r="G271" s="4">
        <v>-75.314533999999995</v>
      </c>
      <c r="H271" s="9">
        <f t="shared" si="12"/>
        <v>0.14850000000000002</v>
      </c>
      <c r="I271" s="4" t="str">
        <f t="shared" si="13"/>
        <v>Sin riesgo &lt;85%</v>
      </c>
      <c r="J271" s="1" t="s">
        <v>13</v>
      </c>
      <c r="K271" s="1" t="str">
        <f t="shared" si="14"/>
        <v>Sin riesgo</v>
      </c>
    </row>
    <row r="272" spans="1:11">
      <c r="A272" s="1" t="s">
        <v>105</v>
      </c>
      <c r="B272" s="6" t="s">
        <v>12</v>
      </c>
      <c r="C272" s="3">
        <v>2.58</v>
      </c>
      <c r="D272" s="3">
        <v>3.66</v>
      </c>
      <c r="E272" s="3">
        <v>40</v>
      </c>
      <c r="F272" s="4">
        <v>6.8475109999999999</v>
      </c>
      <c r="G272" s="4">
        <v>-74.796987000000001</v>
      </c>
      <c r="H272" s="9">
        <f t="shared" si="12"/>
        <v>9.1499999999999998E-2</v>
      </c>
      <c r="I272" s="4" t="str">
        <f t="shared" si="13"/>
        <v>Sin riesgo &lt;85%</v>
      </c>
      <c r="J272" s="1" t="s">
        <v>13</v>
      </c>
      <c r="K272" s="1" t="str">
        <f t="shared" si="14"/>
        <v>Sin riesgo</v>
      </c>
    </row>
    <row r="273" spans="1:11">
      <c r="A273" s="1" t="s">
        <v>105</v>
      </c>
      <c r="B273" s="6" t="s">
        <v>14</v>
      </c>
      <c r="C273" s="3">
        <v>2.88</v>
      </c>
      <c r="D273" s="3">
        <v>3.89</v>
      </c>
      <c r="E273" s="3">
        <v>40</v>
      </c>
      <c r="F273" s="4">
        <v>6.8475109999999999</v>
      </c>
      <c r="G273" s="4">
        <v>-74.796987000000001</v>
      </c>
      <c r="H273" s="9">
        <f t="shared" si="12"/>
        <v>9.7250000000000003E-2</v>
      </c>
      <c r="I273" s="4" t="str">
        <f t="shared" si="13"/>
        <v>Sin riesgo &lt;85%</v>
      </c>
      <c r="J273" s="1" t="s">
        <v>13</v>
      </c>
      <c r="K273" s="1" t="str">
        <f t="shared" si="14"/>
        <v>Sin riesgo</v>
      </c>
    </row>
    <row r="274" spans="1:11">
      <c r="A274" s="1" t="s">
        <v>105</v>
      </c>
      <c r="B274" s="6" t="s">
        <v>15</v>
      </c>
      <c r="C274" s="3">
        <v>2.88</v>
      </c>
      <c r="D274" s="3">
        <v>3.89</v>
      </c>
      <c r="E274" s="3">
        <v>40</v>
      </c>
      <c r="F274" s="4">
        <v>6.8475109999999999</v>
      </c>
      <c r="G274" s="4">
        <v>-74.796987000000001</v>
      </c>
      <c r="H274" s="9">
        <f t="shared" si="12"/>
        <v>9.7250000000000003E-2</v>
      </c>
      <c r="I274" s="4" t="str">
        <f t="shared" si="13"/>
        <v>Sin riesgo &lt;85%</v>
      </c>
      <c r="J274" s="1" t="s">
        <v>13</v>
      </c>
      <c r="K274" s="1" t="str">
        <f t="shared" si="14"/>
        <v>Sin riesgo</v>
      </c>
    </row>
    <row r="275" spans="1:11">
      <c r="A275" s="1" t="s">
        <v>106</v>
      </c>
      <c r="B275" s="6" t="s">
        <v>12</v>
      </c>
      <c r="C275" s="3">
        <v>6.77</v>
      </c>
      <c r="D275" s="3">
        <v>6.04</v>
      </c>
      <c r="E275" s="3">
        <v>31.5</v>
      </c>
      <c r="F275" s="4">
        <v>4.8888913408787298</v>
      </c>
      <c r="G275" s="4">
        <v>-75.871467140057106</v>
      </c>
      <c r="H275" s="9">
        <f t="shared" si="12"/>
        <v>0.2149206349206349</v>
      </c>
      <c r="I275" s="4" t="str">
        <f t="shared" si="13"/>
        <v>Sin riesgo &lt;85%</v>
      </c>
      <c r="J275" s="1" t="s">
        <v>13</v>
      </c>
      <c r="K275" s="1" t="str">
        <f t="shared" si="14"/>
        <v>Sin riesgo</v>
      </c>
    </row>
    <row r="276" spans="1:11">
      <c r="A276" s="1" t="s">
        <v>106</v>
      </c>
      <c r="B276" s="6" t="s">
        <v>14</v>
      </c>
      <c r="C276" s="3">
        <v>6.85</v>
      </c>
      <c r="D276" s="3">
        <v>6.1</v>
      </c>
      <c r="E276" s="3">
        <v>31.5</v>
      </c>
      <c r="F276" s="4">
        <v>4.8888913408787298</v>
      </c>
      <c r="G276" s="4">
        <v>-75.871467140057106</v>
      </c>
      <c r="H276" s="9">
        <f t="shared" si="12"/>
        <v>0.21746031746031744</v>
      </c>
      <c r="I276" s="4" t="str">
        <f t="shared" si="13"/>
        <v>Sin riesgo &lt;85%</v>
      </c>
      <c r="J276" s="1" t="s">
        <v>13</v>
      </c>
      <c r="K276" s="1" t="str">
        <f t="shared" si="14"/>
        <v>Sin riesgo</v>
      </c>
    </row>
    <row r="277" spans="1:11">
      <c r="A277" s="1" t="s">
        <v>106</v>
      </c>
      <c r="B277" s="6" t="s">
        <v>15</v>
      </c>
      <c r="C277" s="3">
        <v>6.84</v>
      </c>
      <c r="D277" s="3">
        <v>6.1</v>
      </c>
      <c r="E277" s="3">
        <v>31.5</v>
      </c>
      <c r="F277" s="4">
        <v>4.8888913408787298</v>
      </c>
      <c r="G277" s="4">
        <v>-75.871467140057106</v>
      </c>
      <c r="H277" s="9">
        <f t="shared" si="12"/>
        <v>0.21714285714285714</v>
      </c>
      <c r="I277" s="4" t="str">
        <f t="shared" si="13"/>
        <v>Sin riesgo &lt;85%</v>
      </c>
      <c r="J277" s="1" t="s">
        <v>13</v>
      </c>
      <c r="K277" s="1" t="str">
        <f t="shared" si="14"/>
        <v>Sin riesgo</v>
      </c>
    </row>
    <row r="278" spans="1:11">
      <c r="A278" s="1" t="s">
        <v>107</v>
      </c>
      <c r="B278" s="6" t="s">
        <v>12</v>
      </c>
      <c r="C278" s="3">
        <v>17.940000000000001</v>
      </c>
      <c r="D278" s="3">
        <v>23.72</v>
      </c>
      <c r="E278" s="3">
        <v>40</v>
      </c>
      <c r="F278" s="11"/>
      <c r="G278" s="11"/>
      <c r="H278" s="9">
        <f t="shared" si="12"/>
        <v>0.59299999999999997</v>
      </c>
      <c r="I278" s="4" t="str">
        <f t="shared" si="13"/>
        <v>Sin riesgo &lt;85%</v>
      </c>
      <c r="J278" s="1" t="s">
        <v>13</v>
      </c>
      <c r="K278" s="1" t="str">
        <f t="shared" si="14"/>
        <v>Sin riesgo</v>
      </c>
    </row>
    <row r="279" spans="1:11">
      <c r="A279" s="1" t="s">
        <v>107</v>
      </c>
      <c r="B279" s="6" t="s">
        <v>14</v>
      </c>
      <c r="C279" s="3">
        <v>18.350000000000001</v>
      </c>
      <c r="D279" s="3">
        <v>24.47</v>
      </c>
      <c r="E279" s="3">
        <v>40</v>
      </c>
      <c r="F279" s="11"/>
      <c r="G279" s="11"/>
      <c r="H279" s="9">
        <f t="shared" si="12"/>
        <v>0.61175000000000002</v>
      </c>
      <c r="I279" s="4" t="str">
        <f t="shared" si="13"/>
        <v>Sin riesgo &lt;85%</v>
      </c>
      <c r="J279" s="1" t="s">
        <v>13</v>
      </c>
      <c r="K279" s="1" t="str">
        <f t="shared" si="14"/>
        <v>Sin riesgo</v>
      </c>
    </row>
    <row r="280" spans="1:11">
      <c r="A280" s="1" t="s">
        <v>107</v>
      </c>
      <c r="B280" s="6" t="s">
        <v>15</v>
      </c>
      <c r="C280" s="3">
        <v>18.350000000000001</v>
      </c>
      <c r="D280" s="3">
        <v>24.47</v>
      </c>
      <c r="E280" s="3">
        <v>40</v>
      </c>
      <c r="F280" s="11"/>
      <c r="G280" s="11"/>
      <c r="H280" s="9">
        <f t="shared" si="12"/>
        <v>0.61175000000000002</v>
      </c>
      <c r="I280" s="4" t="str">
        <f t="shared" si="13"/>
        <v>Sin riesgo &lt;85%</v>
      </c>
      <c r="J280" s="1" t="s">
        <v>13</v>
      </c>
      <c r="K280" s="1" t="str">
        <f t="shared" si="14"/>
        <v>Sin riesgo</v>
      </c>
    </row>
    <row r="281" spans="1:11">
      <c r="A281" s="1" t="s">
        <v>108</v>
      </c>
      <c r="B281" s="6" t="s">
        <v>12</v>
      </c>
      <c r="C281" s="3">
        <v>5.66</v>
      </c>
      <c r="D281" s="3">
        <v>6.93</v>
      </c>
      <c r="E281" s="3">
        <v>40</v>
      </c>
      <c r="F281" s="11"/>
      <c r="G281" s="11"/>
      <c r="H281" s="9">
        <f t="shared" si="12"/>
        <v>0.17324999999999999</v>
      </c>
      <c r="I281" s="4" t="str">
        <f t="shared" si="13"/>
        <v>Sin riesgo &lt;85%</v>
      </c>
      <c r="J281" s="1" t="s">
        <v>13</v>
      </c>
      <c r="K281" s="1" t="str">
        <f t="shared" si="14"/>
        <v>Sin riesgo</v>
      </c>
    </row>
    <row r="282" spans="1:11">
      <c r="A282" s="1" t="s">
        <v>108</v>
      </c>
      <c r="B282" s="6" t="s">
        <v>14</v>
      </c>
      <c r="C282" s="3">
        <v>5.99</v>
      </c>
      <c r="D282" s="3">
        <v>7.06</v>
      </c>
      <c r="E282" s="3">
        <v>40</v>
      </c>
      <c r="F282" s="11"/>
      <c r="G282" s="11"/>
      <c r="H282" s="9">
        <f t="shared" si="12"/>
        <v>0.17649999999999999</v>
      </c>
      <c r="I282" s="4" t="str">
        <f t="shared" si="13"/>
        <v>Sin riesgo &lt;85%</v>
      </c>
      <c r="J282" s="1" t="s">
        <v>13</v>
      </c>
      <c r="K282" s="1" t="str">
        <f t="shared" si="14"/>
        <v>Sin riesgo</v>
      </c>
    </row>
    <row r="283" spans="1:11">
      <c r="A283" s="1" t="s">
        <v>108</v>
      </c>
      <c r="B283" s="6" t="s">
        <v>15</v>
      </c>
      <c r="C283" s="3">
        <v>5.99</v>
      </c>
      <c r="D283" s="3">
        <v>7.06</v>
      </c>
      <c r="E283" s="3">
        <v>40</v>
      </c>
      <c r="F283" s="11"/>
      <c r="G283" s="11"/>
      <c r="H283" s="9">
        <f t="shared" si="12"/>
        <v>0.17649999999999999</v>
      </c>
      <c r="I283" s="4" t="str">
        <f t="shared" si="13"/>
        <v>Sin riesgo &lt;85%</v>
      </c>
      <c r="J283" s="1" t="s">
        <v>13</v>
      </c>
      <c r="K283" s="1" t="str">
        <f t="shared" si="14"/>
        <v>Sin riesgo</v>
      </c>
    </row>
    <row r="284" spans="1:11">
      <c r="A284" s="1" t="s">
        <v>109</v>
      </c>
      <c r="B284" s="6" t="s">
        <v>12</v>
      </c>
      <c r="C284" s="3">
        <v>5.93</v>
      </c>
      <c r="D284" s="3">
        <v>7.27</v>
      </c>
      <c r="E284" s="3">
        <v>65</v>
      </c>
      <c r="F284" s="11"/>
      <c r="G284" s="11"/>
      <c r="H284" s="9">
        <f t="shared" si="12"/>
        <v>0.11184615384615385</v>
      </c>
      <c r="I284" s="4" t="str">
        <f t="shared" si="13"/>
        <v>Sin riesgo &lt;85%</v>
      </c>
      <c r="J284" s="1" t="s">
        <v>13</v>
      </c>
      <c r="K284" s="1" t="str">
        <f t="shared" si="14"/>
        <v>Sin riesgo</v>
      </c>
    </row>
    <row r="285" spans="1:11">
      <c r="A285" s="1" t="s">
        <v>109</v>
      </c>
      <c r="B285" s="6" t="s">
        <v>14</v>
      </c>
      <c r="C285" s="3">
        <v>6.25</v>
      </c>
      <c r="D285" s="3">
        <v>7.41</v>
      </c>
      <c r="E285" s="3">
        <v>65</v>
      </c>
      <c r="F285" s="11"/>
      <c r="G285" s="11"/>
      <c r="H285" s="9">
        <f t="shared" si="12"/>
        <v>0.114</v>
      </c>
      <c r="I285" s="4" t="str">
        <f t="shared" si="13"/>
        <v>Sin riesgo &lt;85%</v>
      </c>
      <c r="J285" s="1" t="s">
        <v>13</v>
      </c>
      <c r="K285" s="1" t="str">
        <f t="shared" si="14"/>
        <v>Sin riesgo</v>
      </c>
    </row>
    <row r="286" spans="1:11">
      <c r="A286" s="1" t="s">
        <v>109</v>
      </c>
      <c r="B286" s="6" t="s">
        <v>15</v>
      </c>
      <c r="C286" s="3">
        <v>6.25</v>
      </c>
      <c r="D286" s="3">
        <v>7.41</v>
      </c>
      <c r="E286" s="3">
        <v>65</v>
      </c>
      <c r="F286" s="11"/>
      <c r="G286" s="11"/>
      <c r="H286" s="9">
        <f t="shared" si="12"/>
        <v>0.114</v>
      </c>
      <c r="I286" s="4" t="str">
        <f t="shared" si="13"/>
        <v>Sin riesgo &lt;85%</v>
      </c>
      <c r="J286" s="1" t="s">
        <v>13</v>
      </c>
      <c r="K286" s="1" t="str">
        <f t="shared" si="14"/>
        <v>Sin riesgo</v>
      </c>
    </row>
    <row r="287" spans="1:11">
      <c r="A287" s="1" t="s">
        <v>110</v>
      </c>
      <c r="B287" s="6" t="s">
        <v>12</v>
      </c>
      <c r="C287" s="3">
        <v>14.61</v>
      </c>
      <c r="D287" s="3">
        <v>20.28</v>
      </c>
      <c r="E287" s="3">
        <v>21</v>
      </c>
      <c r="F287" s="4">
        <v>6.3234139999999996</v>
      </c>
      <c r="G287" s="4">
        <v>-75.556269999999998</v>
      </c>
      <c r="H287" s="9">
        <f t="shared" si="12"/>
        <v>0.96571428571428575</v>
      </c>
      <c r="I287" s="4" t="str">
        <f t="shared" si="13"/>
        <v>Critico &gt;95%</v>
      </c>
      <c r="J287" s="1" t="s">
        <v>13</v>
      </c>
      <c r="K287" s="1" t="str">
        <f t="shared" si="14"/>
        <v>Sin riesgo</v>
      </c>
    </row>
    <row r="288" spans="1:11">
      <c r="A288" s="1" t="s">
        <v>110</v>
      </c>
      <c r="B288" s="6" t="s">
        <v>14</v>
      </c>
      <c r="C288" s="3">
        <v>14.66</v>
      </c>
      <c r="D288" s="3">
        <v>20.399999999999999</v>
      </c>
      <c r="E288" s="3">
        <v>21</v>
      </c>
      <c r="F288" s="4">
        <v>6.3234139999999996</v>
      </c>
      <c r="G288" s="4">
        <v>-75.556269999999998</v>
      </c>
      <c r="H288" s="9">
        <f t="shared" si="12"/>
        <v>0.97142857142857131</v>
      </c>
      <c r="I288" s="4" t="str">
        <f t="shared" si="13"/>
        <v>Critico &gt;95%</v>
      </c>
      <c r="J288" s="1" t="s">
        <v>13</v>
      </c>
      <c r="K288" s="1" t="str">
        <f t="shared" si="14"/>
        <v>Sin riesgo</v>
      </c>
    </row>
    <row r="289" spans="1:11">
      <c r="A289" s="1" t="s">
        <v>110</v>
      </c>
      <c r="B289" s="6" t="s">
        <v>15</v>
      </c>
      <c r="C289" s="3">
        <v>14.66</v>
      </c>
      <c r="D289" s="3">
        <v>20.399999999999999</v>
      </c>
      <c r="E289" s="3">
        <v>21</v>
      </c>
      <c r="F289" s="4">
        <v>6.3234139999999996</v>
      </c>
      <c r="G289" s="4">
        <v>-75.556269999999998</v>
      </c>
      <c r="H289" s="9">
        <f t="shared" si="12"/>
        <v>0.97142857142857131</v>
      </c>
      <c r="I289" s="4" t="str">
        <f t="shared" si="13"/>
        <v>Critico &gt;95%</v>
      </c>
      <c r="J289" s="1" t="s">
        <v>13</v>
      </c>
      <c r="K289" s="1" t="str">
        <f t="shared" si="14"/>
        <v>Sin riesgo</v>
      </c>
    </row>
    <row r="290" spans="1:11">
      <c r="A290" s="1" t="s">
        <v>111</v>
      </c>
      <c r="B290" s="6" t="s">
        <v>12</v>
      </c>
      <c r="C290" s="3">
        <v>3.32</v>
      </c>
      <c r="D290" s="3">
        <v>2.59</v>
      </c>
      <c r="E290" s="3">
        <v>12.5</v>
      </c>
      <c r="F290" s="11"/>
      <c r="G290" s="11"/>
      <c r="H290" s="9">
        <f t="shared" si="12"/>
        <v>0.2656</v>
      </c>
      <c r="I290" s="4" t="str">
        <f t="shared" si="13"/>
        <v>Sin riesgo &lt;85%</v>
      </c>
      <c r="J290" s="1" t="s">
        <v>13</v>
      </c>
      <c r="K290" s="1" t="str">
        <f t="shared" si="14"/>
        <v>Sin riesgo</v>
      </c>
    </row>
    <row r="291" spans="1:11">
      <c r="A291" s="1" t="s">
        <v>111</v>
      </c>
      <c r="B291" s="6" t="s">
        <v>14</v>
      </c>
      <c r="C291" s="3">
        <v>3.87</v>
      </c>
      <c r="D291" s="3">
        <v>3.09</v>
      </c>
      <c r="E291" s="3">
        <v>12.5</v>
      </c>
      <c r="F291" s="11"/>
      <c r="G291" s="11"/>
      <c r="H291" s="9">
        <f t="shared" si="12"/>
        <v>0.30959999999999999</v>
      </c>
      <c r="I291" s="4" t="str">
        <f t="shared" si="13"/>
        <v>Sin riesgo &lt;85%</v>
      </c>
      <c r="J291" s="1" t="s">
        <v>13</v>
      </c>
      <c r="K291" s="1" t="str">
        <f t="shared" si="14"/>
        <v>Sin riesgo</v>
      </c>
    </row>
    <row r="292" spans="1:11">
      <c r="A292" s="1" t="s">
        <v>111</v>
      </c>
      <c r="B292" s="6" t="s">
        <v>15</v>
      </c>
      <c r="C292" s="3">
        <v>3.86</v>
      </c>
      <c r="D292" s="3">
        <v>3.08</v>
      </c>
      <c r="E292" s="3">
        <v>12.5</v>
      </c>
      <c r="F292" s="11"/>
      <c r="G292" s="11"/>
      <c r="H292" s="9">
        <f t="shared" si="12"/>
        <v>0.30879999999999996</v>
      </c>
      <c r="I292" s="4" t="str">
        <f t="shared" si="13"/>
        <v>Sin riesgo &lt;85%</v>
      </c>
      <c r="J292" s="1" t="s">
        <v>13</v>
      </c>
      <c r="K292" s="1" t="str">
        <f t="shared" si="14"/>
        <v>Sin riesgo</v>
      </c>
    </row>
    <row r="293" spans="1:11">
      <c r="A293" s="1" t="s">
        <v>112</v>
      </c>
      <c r="B293" s="6" t="s">
        <v>12</v>
      </c>
      <c r="C293" s="3">
        <v>2.89</v>
      </c>
      <c r="D293" s="3">
        <v>2.4700000000000002</v>
      </c>
      <c r="E293" s="3">
        <v>12.5</v>
      </c>
      <c r="F293" s="11"/>
      <c r="G293" s="11"/>
      <c r="H293" s="9">
        <f t="shared" si="12"/>
        <v>0.23120000000000002</v>
      </c>
      <c r="I293" s="4" t="str">
        <f t="shared" si="13"/>
        <v>Sin riesgo &lt;85%</v>
      </c>
      <c r="J293" s="1" t="s">
        <v>13</v>
      </c>
      <c r="K293" s="1" t="str">
        <f t="shared" si="14"/>
        <v>Sin riesgo</v>
      </c>
    </row>
    <row r="294" spans="1:11">
      <c r="A294" s="1" t="s">
        <v>112</v>
      </c>
      <c r="B294" s="6" t="s">
        <v>14</v>
      </c>
      <c r="C294" s="3">
        <v>4.21</v>
      </c>
      <c r="D294" s="3">
        <v>3.71</v>
      </c>
      <c r="E294" s="3">
        <v>12.5</v>
      </c>
      <c r="F294" s="11"/>
      <c r="G294" s="11"/>
      <c r="H294" s="9">
        <f t="shared" si="12"/>
        <v>0.33679999999999999</v>
      </c>
      <c r="I294" s="4" t="str">
        <f t="shared" si="13"/>
        <v>Sin riesgo &lt;85%</v>
      </c>
      <c r="J294" s="1" t="s">
        <v>13</v>
      </c>
      <c r="K294" s="1" t="str">
        <f t="shared" si="14"/>
        <v>Sin riesgo</v>
      </c>
    </row>
    <row r="295" spans="1:11">
      <c r="A295" s="1" t="s">
        <v>112</v>
      </c>
      <c r="B295" s="6" t="s">
        <v>15</v>
      </c>
      <c r="C295" s="3">
        <v>4.2</v>
      </c>
      <c r="D295" s="3">
        <v>3.71</v>
      </c>
      <c r="E295" s="3">
        <v>12.5</v>
      </c>
      <c r="F295" s="11"/>
      <c r="G295" s="11"/>
      <c r="H295" s="9">
        <f t="shared" si="12"/>
        <v>0.33600000000000002</v>
      </c>
      <c r="I295" s="4" t="str">
        <f t="shared" si="13"/>
        <v>Sin riesgo &lt;85%</v>
      </c>
      <c r="J295" s="1" t="s">
        <v>13</v>
      </c>
      <c r="K295" s="1" t="str">
        <f t="shared" si="14"/>
        <v>Sin riesgo</v>
      </c>
    </row>
    <row r="296" spans="1:11">
      <c r="A296" s="1" t="s">
        <v>113</v>
      </c>
      <c r="B296" s="6" t="s">
        <v>12</v>
      </c>
      <c r="C296" s="3">
        <v>1.94</v>
      </c>
      <c r="D296" s="3">
        <v>1.56</v>
      </c>
      <c r="E296" s="3">
        <v>12.5</v>
      </c>
      <c r="F296" s="11"/>
      <c r="G296" s="11"/>
      <c r="H296" s="9">
        <f t="shared" si="12"/>
        <v>0.1552</v>
      </c>
      <c r="I296" s="4" t="str">
        <f t="shared" si="13"/>
        <v>Sin riesgo &lt;85%</v>
      </c>
      <c r="J296" s="1" t="s">
        <v>13</v>
      </c>
      <c r="K296" s="1" t="str">
        <f t="shared" si="14"/>
        <v>Sin riesgo</v>
      </c>
    </row>
    <row r="297" spans="1:11">
      <c r="A297" s="1" t="s">
        <v>113</v>
      </c>
      <c r="B297" s="6" t="s">
        <v>14</v>
      </c>
      <c r="C297" s="3">
        <v>3.13</v>
      </c>
      <c r="D297" s="3">
        <v>2.59</v>
      </c>
      <c r="E297" s="3">
        <v>12.5</v>
      </c>
      <c r="F297" s="11"/>
      <c r="G297" s="11"/>
      <c r="H297" s="9">
        <f t="shared" si="12"/>
        <v>0.25040000000000001</v>
      </c>
      <c r="I297" s="4" t="str">
        <f t="shared" si="13"/>
        <v>Sin riesgo &lt;85%</v>
      </c>
      <c r="J297" s="1" t="s">
        <v>13</v>
      </c>
      <c r="K297" s="1" t="str">
        <f t="shared" si="14"/>
        <v>Sin riesgo</v>
      </c>
    </row>
    <row r="298" spans="1:11">
      <c r="A298" s="1" t="s">
        <v>113</v>
      </c>
      <c r="B298" s="6" t="s">
        <v>15</v>
      </c>
      <c r="C298" s="3">
        <v>3.13</v>
      </c>
      <c r="D298" s="3">
        <v>2.59</v>
      </c>
      <c r="E298" s="3">
        <v>12.5</v>
      </c>
      <c r="F298" s="11"/>
      <c r="G298" s="11"/>
      <c r="H298" s="9">
        <f t="shared" si="12"/>
        <v>0.25040000000000001</v>
      </c>
      <c r="I298" s="4" t="str">
        <f t="shared" si="13"/>
        <v>Sin riesgo &lt;85%</v>
      </c>
      <c r="J298" s="1" t="s">
        <v>13</v>
      </c>
      <c r="K298" s="1" t="str">
        <f t="shared" si="14"/>
        <v>Sin riesgo</v>
      </c>
    </row>
    <row r="299" spans="1:11">
      <c r="A299" s="1" t="s">
        <v>114</v>
      </c>
      <c r="B299" s="6" t="s">
        <v>12</v>
      </c>
      <c r="C299" s="3">
        <v>0</v>
      </c>
      <c r="D299" s="3">
        <v>0</v>
      </c>
      <c r="E299" s="3">
        <v>40</v>
      </c>
      <c r="F299" s="11"/>
      <c r="G299" s="11"/>
      <c r="H299" s="9">
        <f t="shared" si="12"/>
        <v>0</v>
      </c>
      <c r="I299" s="4" t="str">
        <f t="shared" si="13"/>
        <v>Sin riesgo &lt;85%</v>
      </c>
      <c r="J299" s="1" t="s">
        <v>13</v>
      </c>
      <c r="K299" s="1" t="str">
        <f t="shared" si="14"/>
        <v>Sin riesgo</v>
      </c>
    </row>
    <row r="300" spans="1:11">
      <c r="A300" s="1" t="s">
        <v>114</v>
      </c>
      <c r="B300" s="6" t="s">
        <v>14</v>
      </c>
      <c r="C300" s="3">
        <v>3.66</v>
      </c>
      <c r="D300" s="3">
        <v>2.88</v>
      </c>
      <c r="E300" s="3">
        <v>40</v>
      </c>
      <c r="F300" s="11"/>
      <c r="G300" s="11"/>
      <c r="H300" s="9">
        <f t="shared" si="12"/>
        <v>9.1499999999999998E-2</v>
      </c>
      <c r="I300" s="4" t="str">
        <f t="shared" si="13"/>
        <v>Sin riesgo &lt;85%</v>
      </c>
      <c r="J300" s="1" t="s">
        <v>13</v>
      </c>
      <c r="K300" s="1" t="str">
        <f t="shared" si="14"/>
        <v>Sin riesgo</v>
      </c>
    </row>
    <row r="301" spans="1:11">
      <c r="A301" s="1" t="s">
        <v>114</v>
      </c>
      <c r="B301" s="6" t="s">
        <v>15</v>
      </c>
      <c r="C301" s="3">
        <v>3.66</v>
      </c>
      <c r="D301" s="3">
        <v>2.88</v>
      </c>
      <c r="E301" s="3">
        <v>40</v>
      </c>
      <c r="F301" s="11"/>
      <c r="G301" s="11"/>
      <c r="H301" s="9">
        <f t="shared" si="12"/>
        <v>9.1499999999999998E-2</v>
      </c>
      <c r="I301" s="4" t="str">
        <f t="shared" si="13"/>
        <v>Sin riesgo &lt;85%</v>
      </c>
      <c r="J301" s="1" t="s">
        <v>13</v>
      </c>
      <c r="K301" s="1" t="str">
        <f t="shared" si="14"/>
        <v>Sin riesgo</v>
      </c>
    </row>
    <row r="302" spans="1:11">
      <c r="A302" s="1" t="s">
        <v>115</v>
      </c>
      <c r="B302" s="6" t="s">
        <v>12</v>
      </c>
      <c r="C302" s="3">
        <v>0</v>
      </c>
      <c r="D302" s="3">
        <v>0</v>
      </c>
      <c r="E302" s="3">
        <v>40</v>
      </c>
      <c r="F302" s="11"/>
      <c r="G302" s="11"/>
      <c r="H302" s="9">
        <f t="shared" si="12"/>
        <v>0</v>
      </c>
      <c r="I302" s="4" t="str">
        <f t="shared" si="13"/>
        <v>Sin riesgo &lt;85%</v>
      </c>
      <c r="J302" s="1" t="s">
        <v>13</v>
      </c>
      <c r="K302" s="1" t="str">
        <f t="shared" si="14"/>
        <v>Sin riesgo</v>
      </c>
    </row>
    <row r="303" spans="1:11">
      <c r="A303" s="1" t="s">
        <v>115</v>
      </c>
      <c r="B303" s="6" t="s">
        <v>14</v>
      </c>
      <c r="C303" s="3">
        <v>3.09</v>
      </c>
      <c r="D303" s="3">
        <v>2.56</v>
      </c>
      <c r="E303" s="3">
        <v>40</v>
      </c>
      <c r="F303" s="11"/>
      <c r="G303" s="11"/>
      <c r="H303" s="9">
        <f t="shared" si="12"/>
        <v>7.7249999999999999E-2</v>
      </c>
      <c r="I303" s="4" t="str">
        <f t="shared" si="13"/>
        <v>Sin riesgo &lt;85%</v>
      </c>
      <c r="J303" s="1" t="s">
        <v>13</v>
      </c>
      <c r="K303" s="1" t="str">
        <f t="shared" si="14"/>
        <v>Sin riesgo</v>
      </c>
    </row>
    <row r="304" spans="1:11">
      <c r="A304" s="1" t="s">
        <v>115</v>
      </c>
      <c r="B304" s="6" t="s">
        <v>15</v>
      </c>
      <c r="C304" s="3">
        <v>3.09</v>
      </c>
      <c r="D304" s="3">
        <v>2.56</v>
      </c>
      <c r="E304" s="3">
        <v>40</v>
      </c>
      <c r="F304" s="11"/>
      <c r="G304" s="11"/>
      <c r="H304" s="9">
        <f t="shared" si="12"/>
        <v>7.7249999999999999E-2</v>
      </c>
      <c r="I304" s="4" t="str">
        <f t="shared" si="13"/>
        <v>Sin riesgo &lt;85%</v>
      </c>
      <c r="J304" s="1" t="s">
        <v>13</v>
      </c>
      <c r="K304" s="1" t="str">
        <f t="shared" si="14"/>
        <v>Sin riesgo</v>
      </c>
    </row>
    <row r="305" spans="1:11">
      <c r="A305" s="1" t="s">
        <v>116</v>
      </c>
      <c r="B305" s="6" t="s">
        <v>12</v>
      </c>
      <c r="C305" s="3">
        <v>1.02</v>
      </c>
      <c r="D305" s="3">
        <v>0.78</v>
      </c>
      <c r="E305" s="3">
        <v>12.5</v>
      </c>
      <c r="F305" s="11"/>
      <c r="G305" s="11"/>
      <c r="H305" s="9">
        <f t="shared" si="12"/>
        <v>8.1600000000000006E-2</v>
      </c>
      <c r="I305" s="4" t="str">
        <f t="shared" si="13"/>
        <v>Sin riesgo &lt;85%</v>
      </c>
      <c r="J305" s="1" t="s">
        <v>13</v>
      </c>
      <c r="K305" s="1" t="str">
        <f t="shared" si="14"/>
        <v>Sin riesgo</v>
      </c>
    </row>
    <row r="306" spans="1:11">
      <c r="A306" s="1" t="s">
        <v>116</v>
      </c>
      <c r="B306" s="6" t="s">
        <v>14</v>
      </c>
      <c r="C306" s="3">
        <v>2.48</v>
      </c>
      <c r="D306" s="3">
        <v>2.17</v>
      </c>
      <c r="E306" s="3">
        <v>12.5</v>
      </c>
      <c r="F306" s="11"/>
      <c r="G306" s="11"/>
      <c r="H306" s="9">
        <f t="shared" si="12"/>
        <v>0.19839999999999999</v>
      </c>
      <c r="I306" s="4" t="str">
        <f t="shared" si="13"/>
        <v>Sin riesgo &lt;85%</v>
      </c>
      <c r="J306" s="1" t="s">
        <v>13</v>
      </c>
      <c r="K306" s="1" t="str">
        <f t="shared" si="14"/>
        <v>Sin riesgo</v>
      </c>
    </row>
    <row r="307" spans="1:11">
      <c r="A307" s="1" t="s">
        <v>116</v>
      </c>
      <c r="B307" s="6" t="s">
        <v>15</v>
      </c>
      <c r="C307" s="3">
        <v>2.48</v>
      </c>
      <c r="D307" s="3">
        <v>2.17</v>
      </c>
      <c r="E307" s="3">
        <v>12.5</v>
      </c>
      <c r="F307" s="11"/>
      <c r="G307" s="11"/>
      <c r="H307" s="9">
        <f t="shared" si="12"/>
        <v>0.19839999999999999</v>
      </c>
      <c r="I307" s="4" t="str">
        <f t="shared" si="13"/>
        <v>Sin riesgo &lt;85%</v>
      </c>
      <c r="J307" s="1" t="s">
        <v>13</v>
      </c>
      <c r="K307" s="1" t="str">
        <f t="shared" si="14"/>
        <v>Sin riesgo</v>
      </c>
    </row>
    <row r="308" spans="1:11">
      <c r="A308" s="1" t="s">
        <v>117</v>
      </c>
      <c r="B308" s="6" t="s">
        <v>12</v>
      </c>
      <c r="C308" s="3">
        <v>2.99</v>
      </c>
      <c r="D308" s="3">
        <v>3.03</v>
      </c>
      <c r="E308" s="3">
        <v>31.5</v>
      </c>
      <c r="F308" s="4">
        <v>7.0706090000000001</v>
      </c>
      <c r="G308" s="4">
        <v>-72.237752999999998</v>
      </c>
      <c r="H308" s="9">
        <f t="shared" si="12"/>
        <v>9.6190476190476187E-2</v>
      </c>
      <c r="I308" s="4" t="str">
        <f t="shared" si="13"/>
        <v>Sin riesgo &lt;85%</v>
      </c>
      <c r="J308" s="1" t="s">
        <v>13</v>
      </c>
      <c r="K308" s="1" t="str">
        <f t="shared" si="14"/>
        <v>Sin riesgo</v>
      </c>
    </row>
    <row r="309" spans="1:11">
      <c r="A309" s="1" t="s">
        <v>117</v>
      </c>
      <c r="B309" s="6" t="s">
        <v>14</v>
      </c>
      <c r="C309" s="3">
        <v>3.64</v>
      </c>
      <c r="D309" s="3">
        <v>3.91</v>
      </c>
      <c r="E309" s="3">
        <v>31.5</v>
      </c>
      <c r="F309" s="4">
        <v>7.0706090000000001</v>
      </c>
      <c r="G309" s="4">
        <v>-72.237752999999998</v>
      </c>
      <c r="H309" s="9">
        <f t="shared" si="12"/>
        <v>0.12412698412698413</v>
      </c>
      <c r="I309" s="4" t="str">
        <f t="shared" si="13"/>
        <v>Sin riesgo &lt;85%</v>
      </c>
      <c r="J309" s="1" t="s">
        <v>13</v>
      </c>
      <c r="K309" s="1" t="str">
        <f t="shared" si="14"/>
        <v>Sin riesgo</v>
      </c>
    </row>
    <row r="310" spans="1:11">
      <c r="A310" s="1" t="s">
        <v>117</v>
      </c>
      <c r="B310" s="6" t="s">
        <v>15</v>
      </c>
      <c r="C310" s="3">
        <v>3.64</v>
      </c>
      <c r="D310" s="3">
        <v>3.91</v>
      </c>
      <c r="E310" s="3">
        <v>31.5</v>
      </c>
      <c r="F310" s="4">
        <v>7.0706090000000001</v>
      </c>
      <c r="G310" s="4">
        <v>-72.237752999999998</v>
      </c>
      <c r="H310" s="9">
        <f t="shared" si="12"/>
        <v>0.12412698412698413</v>
      </c>
      <c r="I310" s="4" t="str">
        <f t="shared" si="13"/>
        <v>Sin riesgo &lt;85%</v>
      </c>
      <c r="J310" s="1" t="s">
        <v>13</v>
      </c>
      <c r="K310" s="1" t="str">
        <f t="shared" si="14"/>
        <v>Sin riesgo</v>
      </c>
    </row>
    <row r="311" spans="1:11">
      <c r="A311" s="1" t="s">
        <v>118</v>
      </c>
      <c r="B311" s="6" t="s">
        <v>12</v>
      </c>
      <c r="C311" s="3">
        <v>2.2999999999999998</v>
      </c>
      <c r="D311" s="3">
        <v>1.81</v>
      </c>
      <c r="E311" s="3">
        <v>31.5</v>
      </c>
      <c r="F311" s="11"/>
      <c r="G311" s="11"/>
      <c r="H311" s="9">
        <f t="shared" si="12"/>
        <v>7.3015873015873006E-2</v>
      </c>
      <c r="I311" s="4" t="str">
        <f t="shared" si="13"/>
        <v>Sin riesgo &lt;85%</v>
      </c>
      <c r="J311" s="1" t="s">
        <v>13</v>
      </c>
      <c r="K311" s="1" t="str">
        <f t="shared" si="14"/>
        <v>Sin riesgo</v>
      </c>
    </row>
    <row r="312" spans="1:11">
      <c r="A312" s="1" t="s">
        <v>118</v>
      </c>
      <c r="B312" s="6" t="s">
        <v>14</v>
      </c>
      <c r="C312" s="3">
        <v>2.79</v>
      </c>
      <c r="D312" s="3">
        <v>2.3199999999999998</v>
      </c>
      <c r="E312" s="3">
        <v>31.5</v>
      </c>
      <c r="F312" s="11"/>
      <c r="G312" s="11"/>
      <c r="H312" s="9">
        <f t="shared" si="12"/>
        <v>8.8571428571428579E-2</v>
      </c>
      <c r="I312" s="4" t="str">
        <f t="shared" si="13"/>
        <v>Sin riesgo &lt;85%</v>
      </c>
      <c r="J312" s="1" t="s">
        <v>13</v>
      </c>
      <c r="K312" s="1" t="str">
        <f t="shared" si="14"/>
        <v>Sin riesgo</v>
      </c>
    </row>
    <row r="313" spans="1:11">
      <c r="A313" s="1" t="s">
        <v>118</v>
      </c>
      <c r="B313" s="6" t="s">
        <v>15</v>
      </c>
      <c r="C313" s="3">
        <v>2.79</v>
      </c>
      <c r="D313" s="3">
        <v>2.3199999999999998</v>
      </c>
      <c r="E313" s="3">
        <v>31.5</v>
      </c>
      <c r="F313" s="11"/>
      <c r="G313" s="11"/>
      <c r="H313" s="9">
        <f t="shared" si="12"/>
        <v>8.8571428571428579E-2</v>
      </c>
      <c r="I313" s="4" t="str">
        <f t="shared" si="13"/>
        <v>Sin riesgo &lt;85%</v>
      </c>
      <c r="J313" s="1" t="s">
        <v>13</v>
      </c>
      <c r="K313" s="1" t="str">
        <f t="shared" si="14"/>
        <v>Sin riesgo</v>
      </c>
    </row>
    <row r="314" spans="1:11">
      <c r="A314" s="1" t="s">
        <v>119</v>
      </c>
      <c r="B314" s="6" t="s">
        <v>12</v>
      </c>
      <c r="C314" s="3">
        <v>3.61</v>
      </c>
      <c r="D314" s="3">
        <v>4.0599999999999996</v>
      </c>
      <c r="E314" s="3">
        <v>31.5</v>
      </c>
      <c r="F314" s="4">
        <v>7.3243559999999999</v>
      </c>
      <c r="G314" s="4">
        <v>-72.487414999999999</v>
      </c>
      <c r="H314" s="9">
        <f t="shared" si="12"/>
        <v>0.12888888888888889</v>
      </c>
      <c r="I314" s="4" t="str">
        <f t="shared" si="13"/>
        <v>Sin riesgo &lt;85%</v>
      </c>
      <c r="J314" s="1" t="s">
        <v>13</v>
      </c>
      <c r="K314" s="1" t="str">
        <f t="shared" si="14"/>
        <v>Sin riesgo</v>
      </c>
    </row>
    <row r="315" spans="1:11">
      <c r="A315" s="1" t="s">
        <v>119</v>
      </c>
      <c r="B315" s="6" t="s">
        <v>14</v>
      </c>
      <c r="C315" s="3">
        <v>4.03</v>
      </c>
      <c r="D315" s="3">
        <v>4.75</v>
      </c>
      <c r="E315" s="3">
        <v>31.5</v>
      </c>
      <c r="F315" s="4">
        <v>7.3243559999999999</v>
      </c>
      <c r="G315" s="4">
        <v>-72.487414999999999</v>
      </c>
      <c r="H315" s="9">
        <f t="shared" si="12"/>
        <v>0.15079365079365079</v>
      </c>
      <c r="I315" s="4" t="str">
        <f t="shared" si="13"/>
        <v>Sin riesgo &lt;85%</v>
      </c>
      <c r="J315" s="1" t="s">
        <v>13</v>
      </c>
      <c r="K315" s="1" t="str">
        <f t="shared" si="14"/>
        <v>Sin riesgo</v>
      </c>
    </row>
    <row r="316" spans="1:11">
      <c r="A316" s="1" t="s">
        <v>119</v>
      </c>
      <c r="B316" s="6" t="s">
        <v>15</v>
      </c>
      <c r="C316" s="3">
        <v>4.03</v>
      </c>
      <c r="D316" s="3">
        <v>4.75</v>
      </c>
      <c r="E316" s="3">
        <v>31.5</v>
      </c>
      <c r="F316" s="4">
        <v>7.3243559999999999</v>
      </c>
      <c r="G316" s="4">
        <v>-72.487414999999999</v>
      </c>
      <c r="H316" s="9">
        <f t="shared" si="12"/>
        <v>0.15079365079365079</v>
      </c>
      <c r="I316" s="4" t="str">
        <f t="shared" si="13"/>
        <v>Sin riesgo &lt;85%</v>
      </c>
      <c r="J316" s="1" t="s">
        <v>13</v>
      </c>
      <c r="K316" s="1" t="str">
        <f t="shared" si="14"/>
        <v>Sin riesgo</v>
      </c>
    </row>
    <row r="317" spans="1:11">
      <c r="A317" s="1" t="s">
        <v>120</v>
      </c>
      <c r="B317" s="6" t="s">
        <v>12</v>
      </c>
      <c r="C317" s="3">
        <v>39.33</v>
      </c>
      <c r="D317" s="3">
        <v>35.700000000000003</v>
      </c>
      <c r="E317" s="3">
        <v>40</v>
      </c>
      <c r="F317" s="4">
        <v>10.888921</v>
      </c>
      <c r="G317" s="4">
        <v>-74.828963000000002</v>
      </c>
      <c r="H317" s="9">
        <f t="shared" si="12"/>
        <v>0.98324999999999996</v>
      </c>
      <c r="I317" s="4" t="str">
        <f t="shared" si="13"/>
        <v>Critico &gt;95%</v>
      </c>
      <c r="J317" s="1">
        <v>1.0900000000000001</v>
      </c>
      <c r="K317" s="1" t="str">
        <f t="shared" si="14"/>
        <v>Estado critico</v>
      </c>
    </row>
    <row r="318" spans="1:11">
      <c r="A318" s="1" t="s">
        <v>120</v>
      </c>
      <c r="B318" s="6" t="s">
        <v>14</v>
      </c>
      <c r="C318" s="3">
        <v>39.450000000000003</v>
      </c>
      <c r="D318" s="3">
        <v>35.74</v>
      </c>
      <c r="E318" s="3">
        <v>40</v>
      </c>
      <c r="F318" s="4">
        <v>10.888921</v>
      </c>
      <c r="G318" s="4">
        <v>-74.828963000000002</v>
      </c>
      <c r="H318" s="9">
        <f t="shared" si="12"/>
        <v>0.98625000000000007</v>
      </c>
      <c r="I318" s="4" t="str">
        <f t="shared" si="13"/>
        <v>Critico &gt;95%</v>
      </c>
      <c r="J318" s="1">
        <v>1.0900000000000001</v>
      </c>
      <c r="K318" s="1" t="str">
        <f t="shared" si="14"/>
        <v>Estado critico</v>
      </c>
    </row>
    <row r="319" spans="1:11">
      <c r="A319" s="1" t="s">
        <v>120</v>
      </c>
      <c r="B319" s="6" t="s">
        <v>15</v>
      </c>
      <c r="C319" s="3">
        <v>39.450000000000003</v>
      </c>
      <c r="D319" s="3">
        <v>35.74</v>
      </c>
      <c r="E319" s="3">
        <v>40</v>
      </c>
      <c r="F319" s="4">
        <v>10.888921</v>
      </c>
      <c r="G319" s="4">
        <v>-74.828963000000002</v>
      </c>
      <c r="H319" s="9">
        <f t="shared" si="12"/>
        <v>0.98625000000000007</v>
      </c>
      <c r="I319" s="4" t="str">
        <f t="shared" si="13"/>
        <v>Critico &gt;95%</v>
      </c>
      <c r="J319" s="1">
        <v>1.0900000000000001</v>
      </c>
      <c r="K319" s="1" t="str">
        <f t="shared" si="14"/>
        <v>Estado critico</v>
      </c>
    </row>
    <row r="320" spans="1:11">
      <c r="A320" s="1" t="s">
        <v>121</v>
      </c>
      <c r="B320" s="6" t="s">
        <v>12</v>
      </c>
      <c r="C320" s="3">
        <v>34.33</v>
      </c>
      <c r="D320" s="3">
        <v>35.29</v>
      </c>
      <c r="E320" s="3">
        <v>40</v>
      </c>
      <c r="F320" s="4">
        <v>10.888921</v>
      </c>
      <c r="G320" s="4">
        <v>-74.828963000000002</v>
      </c>
      <c r="H320" s="9">
        <f t="shared" si="12"/>
        <v>0.88224999999999998</v>
      </c>
      <c r="I320" s="4" t="str">
        <f t="shared" si="13"/>
        <v>En riesgo &gt;85%</v>
      </c>
      <c r="J320" s="1" t="s">
        <v>13</v>
      </c>
      <c r="K320" s="1" t="str">
        <f t="shared" si="14"/>
        <v>Sin riesgo</v>
      </c>
    </row>
    <row r="321" spans="1:11">
      <c r="A321" s="1" t="s">
        <v>121</v>
      </c>
      <c r="B321" s="6" t="s">
        <v>14</v>
      </c>
      <c r="C321" s="3">
        <v>34.46</v>
      </c>
      <c r="D321" s="3">
        <v>35.450000000000003</v>
      </c>
      <c r="E321" s="3">
        <v>40</v>
      </c>
      <c r="F321" s="4">
        <v>10.888921</v>
      </c>
      <c r="G321" s="4">
        <v>-74.828963000000002</v>
      </c>
      <c r="H321" s="9">
        <f t="shared" si="12"/>
        <v>0.88625000000000009</v>
      </c>
      <c r="I321" s="4" t="str">
        <f t="shared" si="13"/>
        <v>En riesgo &gt;85%</v>
      </c>
      <c r="J321" s="1" t="s">
        <v>13</v>
      </c>
      <c r="K321" s="1" t="str">
        <f t="shared" si="14"/>
        <v>Sin riesgo</v>
      </c>
    </row>
    <row r="322" spans="1:11">
      <c r="A322" s="1" t="s">
        <v>121</v>
      </c>
      <c r="B322" s="6" t="s">
        <v>15</v>
      </c>
      <c r="C322" s="3">
        <v>34.46</v>
      </c>
      <c r="D322" s="3">
        <v>35.450000000000003</v>
      </c>
      <c r="E322" s="3">
        <v>40</v>
      </c>
      <c r="F322" s="4">
        <v>10.888921</v>
      </c>
      <c r="G322" s="4">
        <v>-74.828963000000002</v>
      </c>
      <c r="H322" s="9">
        <f t="shared" si="12"/>
        <v>0.88625000000000009</v>
      </c>
      <c r="I322" s="4" t="str">
        <f t="shared" si="13"/>
        <v>En riesgo &gt;85%</v>
      </c>
      <c r="J322" s="1" t="s">
        <v>13</v>
      </c>
      <c r="K322" s="1" t="str">
        <f t="shared" si="14"/>
        <v>Sin riesgo</v>
      </c>
    </row>
    <row r="323" spans="1:11">
      <c r="A323" s="1" t="s">
        <v>122</v>
      </c>
      <c r="B323" s="6" t="s">
        <v>12</v>
      </c>
      <c r="C323" s="3">
        <v>40.49</v>
      </c>
      <c r="D323" s="3">
        <v>35.69</v>
      </c>
      <c r="E323" s="3">
        <v>31.5</v>
      </c>
      <c r="F323" s="4">
        <v>10.975923</v>
      </c>
      <c r="G323" s="4">
        <v>-74.789855000000003</v>
      </c>
      <c r="H323" s="9">
        <f t="shared" ref="H323:H386" si="15">IF(C323&gt;D323,C323/E323,D323/E323)</f>
        <v>1.2853968253968255</v>
      </c>
      <c r="I323" s="4" t="str">
        <f t="shared" ref="I323:I386" si="16">IF(H323&gt;100%,"Altamente critico &gt;100%",IF(H323&gt;95%,"Critico &gt;95%",IF(H323&gt;85%,"En riesgo &gt;85%","Sin riesgo &lt;85%")))</f>
        <v>Altamente critico &gt;100%</v>
      </c>
      <c r="J323" s="1" t="s">
        <v>13</v>
      </c>
      <c r="K323" s="1" t="str">
        <f t="shared" ref="K323:K386" si="17">IF(J323="&gt;5","Sin riesgo",IF(J323&gt;1.5,"Estado de alerta","Estado critico"))</f>
        <v>Sin riesgo</v>
      </c>
    </row>
    <row r="324" spans="1:11">
      <c r="A324" s="1" t="s">
        <v>122</v>
      </c>
      <c r="B324" s="6" t="s">
        <v>14</v>
      </c>
      <c r="C324" s="3">
        <v>40.53</v>
      </c>
      <c r="D324" s="3">
        <v>35.729999999999997</v>
      </c>
      <c r="E324" s="3">
        <v>31.5</v>
      </c>
      <c r="F324" s="4">
        <v>10.975923</v>
      </c>
      <c r="G324" s="4">
        <v>-74.789855000000003</v>
      </c>
      <c r="H324" s="9">
        <f t="shared" si="15"/>
        <v>1.2866666666666666</v>
      </c>
      <c r="I324" s="4" t="str">
        <f t="shared" si="16"/>
        <v>Altamente critico &gt;100%</v>
      </c>
      <c r="J324" s="1" t="s">
        <v>13</v>
      </c>
      <c r="K324" s="1" t="str">
        <f t="shared" si="17"/>
        <v>Sin riesgo</v>
      </c>
    </row>
    <row r="325" spans="1:11">
      <c r="A325" s="1" t="s">
        <v>122</v>
      </c>
      <c r="B325" s="6" t="s">
        <v>15</v>
      </c>
      <c r="C325" s="3">
        <v>40.53</v>
      </c>
      <c r="D325" s="3">
        <v>35.729999999999997</v>
      </c>
      <c r="E325" s="3">
        <v>31.5</v>
      </c>
      <c r="F325" s="4">
        <v>10.975923</v>
      </c>
      <c r="G325" s="4">
        <v>-74.789855000000003</v>
      </c>
      <c r="H325" s="9">
        <f t="shared" si="15"/>
        <v>1.2866666666666666</v>
      </c>
      <c r="I325" s="4" t="str">
        <f t="shared" si="16"/>
        <v>Altamente critico &gt;100%</v>
      </c>
      <c r="J325" s="1" t="s">
        <v>13</v>
      </c>
      <c r="K325" s="1" t="str">
        <f t="shared" si="17"/>
        <v>Sin riesgo</v>
      </c>
    </row>
    <row r="326" spans="1:11">
      <c r="A326" s="1" t="s">
        <v>123</v>
      </c>
      <c r="B326" s="6" t="s">
        <v>12</v>
      </c>
      <c r="C326" s="3">
        <v>15.38</v>
      </c>
      <c r="D326" s="3">
        <v>20.9</v>
      </c>
      <c r="E326" s="3">
        <v>31.5</v>
      </c>
      <c r="F326" s="11"/>
      <c r="G326" s="11"/>
      <c r="H326" s="9">
        <f t="shared" si="15"/>
        <v>0.66349206349206347</v>
      </c>
      <c r="I326" s="4" t="str">
        <f t="shared" si="16"/>
        <v>Sin riesgo &lt;85%</v>
      </c>
      <c r="J326" s="1" t="s">
        <v>13</v>
      </c>
      <c r="K326" s="1" t="str">
        <f t="shared" si="17"/>
        <v>Sin riesgo</v>
      </c>
    </row>
    <row r="327" spans="1:11">
      <c r="A327" s="1" t="s">
        <v>123</v>
      </c>
      <c r="B327" s="6" t="s">
        <v>14</v>
      </c>
      <c r="C327" s="3">
        <v>15.39</v>
      </c>
      <c r="D327" s="3">
        <v>20.91</v>
      </c>
      <c r="E327" s="3">
        <v>31.5</v>
      </c>
      <c r="F327" s="11"/>
      <c r="G327" s="11"/>
      <c r="H327" s="9">
        <f t="shared" si="15"/>
        <v>0.66380952380952385</v>
      </c>
      <c r="I327" s="4" t="str">
        <f t="shared" si="16"/>
        <v>Sin riesgo &lt;85%</v>
      </c>
      <c r="J327" s="1" t="s">
        <v>13</v>
      </c>
      <c r="K327" s="1" t="str">
        <f t="shared" si="17"/>
        <v>Sin riesgo</v>
      </c>
    </row>
    <row r="328" spans="1:11">
      <c r="A328" s="1" t="s">
        <v>123</v>
      </c>
      <c r="B328" s="6" t="s">
        <v>15</v>
      </c>
      <c r="C328" s="3">
        <v>15.39</v>
      </c>
      <c r="D328" s="3">
        <v>20.91</v>
      </c>
      <c r="E328" s="3">
        <v>31.5</v>
      </c>
      <c r="F328" s="11"/>
      <c r="G328" s="11"/>
      <c r="H328" s="9">
        <f t="shared" si="15"/>
        <v>0.66380952380952385</v>
      </c>
      <c r="I328" s="4" t="str">
        <f t="shared" si="16"/>
        <v>Sin riesgo &lt;85%</v>
      </c>
      <c r="J328" s="1" t="s">
        <v>13</v>
      </c>
      <c r="K328" s="1" t="str">
        <f t="shared" si="17"/>
        <v>Sin riesgo</v>
      </c>
    </row>
    <row r="329" spans="1:11">
      <c r="A329" s="1" t="s">
        <v>124</v>
      </c>
      <c r="B329" s="6" t="s">
        <v>12</v>
      </c>
      <c r="C329" s="3">
        <v>47.66</v>
      </c>
      <c r="D329" s="3">
        <v>40.75</v>
      </c>
      <c r="E329" s="3">
        <v>31.5</v>
      </c>
      <c r="F329" s="4">
        <v>10.984071999999999</v>
      </c>
      <c r="G329" s="4">
        <v>-74.765203999999997</v>
      </c>
      <c r="H329" s="9">
        <f t="shared" si="15"/>
        <v>1.5130158730158729</v>
      </c>
      <c r="I329" s="4" t="str">
        <f t="shared" si="16"/>
        <v>Altamente critico &gt;100%</v>
      </c>
      <c r="J329" s="1" t="s">
        <v>13</v>
      </c>
      <c r="K329" s="1" t="str">
        <f t="shared" si="17"/>
        <v>Sin riesgo</v>
      </c>
    </row>
    <row r="330" spans="1:11">
      <c r="A330" s="1" t="s">
        <v>124</v>
      </c>
      <c r="B330" s="6" t="s">
        <v>14</v>
      </c>
      <c r="C330" s="3">
        <v>47.73</v>
      </c>
      <c r="D330" s="3">
        <v>40.81</v>
      </c>
      <c r="E330" s="3">
        <v>31.5</v>
      </c>
      <c r="F330" s="4">
        <v>10.984071999999999</v>
      </c>
      <c r="G330" s="4">
        <v>-74.765203999999997</v>
      </c>
      <c r="H330" s="9">
        <f t="shared" si="15"/>
        <v>1.5152380952380951</v>
      </c>
      <c r="I330" s="4" t="str">
        <f t="shared" si="16"/>
        <v>Altamente critico &gt;100%</v>
      </c>
      <c r="J330" s="1" t="s">
        <v>13</v>
      </c>
      <c r="K330" s="1" t="str">
        <f t="shared" si="17"/>
        <v>Sin riesgo</v>
      </c>
    </row>
    <row r="331" spans="1:11">
      <c r="A331" s="1" t="s">
        <v>124</v>
      </c>
      <c r="B331" s="6" t="s">
        <v>15</v>
      </c>
      <c r="C331" s="3">
        <v>47.73</v>
      </c>
      <c r="D331" s="3">
        <v>40.81</v>
      </c>
      <c r="E331" s="3">
        <v>31.5</v>
      </c>
      <c r="F331" s="4">
        <v>10.984071999999999</v>
      </c>
      <c r="G331" s="4">
        <v>-74.765203999999997</v>
      </c>
      <c r="H331" s="9">
        <f t="shared" si="15"/>
        <v>1.5152380952380951</v>
      </c>
      <c r="I331" s="4" t="str">
        <f t="shared" si="16"/>
        <v>Altamente critico &gt;100%</v>
      </c>
      <c r="J331" s="1" t="s">
        <v>13</v>
      </c>
      <c r="K331" s="1" t="str">
        <f t="shared" si="17"/>
        <v>Sin riesgo</v>
      </c>
    </row>
    <row r="332" spans="1:11">
      <c r="A332" s="1" t="s">
        <v>125</v>
      </c>
      <c r="B332" s="6" t="s">
        <v>12</v>
      </c>
      <c r="C332" s="3">
        <v>46.82</v>
      </c>
      <c r="D332" s="3">
        <v>41.64</v>
      </c>
      <c r="E332" s="3">
        <v>40</v>
      </c>
      <c r="F332" s="4">
        <v>10.984071999999999</v>
      </c>
      <c r="G332" s="4">
        <v>-74.765203999999997</v>
      </c>
      <c r="H332" s="9">
        <f t="shared" si="15"/>
        <v>1.1705000000000001</v>
      </c>
      <c r="I332" s="4" t="str">
        <f t="shared" si="16"/>
        <v>Altamente critico &gt;100%</v>
      </c>
      <c r="J332" s="1" t="s">
        <v>13</v>
      </c>
      <c r="K332" s="1" t="str">
        <f t="shared" si="17"/>
        <v>Sin riesgo</v>
      </c>
    </row>
    <row r="333" spans="1:11">
      <c r="A333" s="1" t="s">
        <v>125</v>
      </c>
      <c r="B333" s="6" t="s">
        <v>14</v>
      </c>
      <c r="C333" s="3">
        <v>47.02</v>
      </c>
      <c r="D333" s="3">
        <v>41.83</v>
      </c>
      <c r="E333" s="3">
        <v>40</v>
      </c>
      <c r="F333" s="4">
        <v>10.984071999999999</v>
      </c>
      <c r="G333" s="4">
        <v>-74.765203999999997</v>
      </c>
      <c r="H333" s="9">
        <f t="shared" si="15"/>
        <v>1.1755</v>
      </c>
      <c r="I333" s="4" t="str">
        <f t="shared" si="16"/>
        <v>Altamente critico &gt;100%</v>
      </c>
      <c r="J333" s="1" t="s">
        <v>13</v>
      </c>
      <c r="K333" s="1" t="str">
        <f t="shared" si="17"/>
        <v>Sin riesgo</v>
      </c>
    </row>
    <row r="334" spans="1:11">
      <c r="A334" s="1" t="s">
        <v>125</v>
      </c>
      <c r="B334" s="6" t="s">
        <v>15</v>
      </c>
      <c r="C334" s="3">
        <v>47.02</v>
      </c>
      <c r="D334" s="3">
        <v>41.83</v>
      </c>
      <c r="E334" s="3">
        <v>40</v>
      </c>
      <c r="F334" s="4">
        <v>10.984071999999999</v>
      </c>
      <c r="G334" s="4">
        <v>-74.765203999999997</v>
      </c>
      <c r="H334" s="9">
        <f t="shared" si="15"/>
        <v>1.1755</v>
      </c>
      <c r="I334" s="4" t="str">
        <f t="shared" si="16"/>
        <v>Altamente critico &gt;100%</v>
      </c>
      <c r="J334" s="1" t="s">
        <v>13</v>
      </c>
      <c r="K334" s="1" t="str">
        <f t="shared" si="17"/>
        <v>Sin riesgo</v>
      </c>
    </row>
    <row r="335" spans="1:11">
      <c r="A335" s="1" t="s">
        <v>126</v>
      </c>
      <c r="B335" s="6" t="s">
        <v>12</v>
      </c>
      <c r="C335" s="3">
        <v>40.68</v>
      </c>
      <c r="D335" s="3">
        <v>35.51</v>
      </c>
      <c r="E335" s="3">
        <v>40</v>
      </c>
      <c r="F335" s="11"/>
      <c r="G335" s="11"/>
      <c r="H335" s="9">
        <f t="shared" si="15"/>
        <v>1.0169999999999999</v>
      </c>
      <c r="I335" s="4" t="str">
        <f t="shared" si="16"/>
        <v>Altamente critico &gt;100%</v>
      </c>
      <c r="J335" s="1" t="s">
        <v>13</v>
      </c>
      <c r="K335" s="1" t="str">
        <f t="shared" si="17"/>
        <v>Sin riesgo</v>
      </c>
    </row>
    <row r="336" spans="1:11">
      <c r="A336" s="1" t="s">
        <v>126</v>
      </c>
      <c r="B336" s="6" t="s">
        <v>14</v>
      </c>
      <c r="C336" s="3">
        <v>40.729999999999997</v>
      </c>
      <c r="D336" s="3">
        <v>35.549999999999997</v>
      </c>
      <c r="E336" s="3">
        <v>40</v>
      </c>
      <c r="F336" s="11"/>
      <c r="G336" s="11"/>
      <c r="H336" s="9">
        <f t="shared" si="15"/>
        <v>1.0182499999999999</v>
      </c>
      <c r="I336" s="4" t="str">
        <f t="shared" si="16"/>
        <v>Altamente critico &gt;100%</v>
      </c>
      <c r="J336" s="1" t="s">
        <v>13</v>
      </c>
      <c r="K336" s="1" t="str">
        <f t="shared" si="17"/>
        <v>Sin riesgo</v>
      </c>
    </row>
    <row r="337" spans="1:11">
      <c r="A337" s="1" t="s">
        <v>126</v>
      </c>
      <c r="B337" s="6" t="s">
        <v>15</v>
      </c>
      <c r="C337" s="3">
        <v>40.72</v>
      </c>
      <c r="D337" s="3">
        <v>35.549999999999997</v>
      </c>
      <c r="E337" s="3">
        <v>40</v>
      </c>
      <c r="F337" s="11"/>
      <c r="G337" s="11"/>
      <c r="H337" s="9">
        <f t="shared" si="15"/>
        <v>1.018</v>
      </c>
      <c r="I337" s="4" t="str">
        <f t="shared" si="16"/>
        <v>Altamente critico &gt;100%</v>
      </c>
      <c r="J337" s="1" t="s">
        <v>13</v>
      </c>
      <c r="K337" s="1" t="str">
        <f t="shared" si="17"/>
        <v>Sin riesgo</v>
      </c>
    </row>
    <row r="338" spans="1:11">
      <c r="A338" s="1" t="s">
        <v>127</v>
      </c>
      <c r="B338" s="6" t="s">
        <v>12</v>
      </c>
      <c r="C338" s="3">
        <v>45.11</v>
      </c>
      <c r="D338" s="3">
        <v>40.479999999999997</v>
      </c>
      <c r="E338" s="3">
        <v>31.5</v>
      </c>
      <c r="F338" s="4">
        <v>11.029361</v>
      </c>
      <c r="G338" s="4">
        <v>-74.807345999999995</v>
      </c>
      <c r="H338" s="9">
        <f t="shared" si="15"/>
        <v>1.432063492063492</v>
      </c>
      <c r="I338" s="4" t="str">
        <f t="shared" si="16"/>
        <v>Altamente critico &gt;100%</v>
      </c>
      <c r="J338" s="1" t="s">
        <v>13</v>
      </c>
      <c r="K338" s="1" t="str">
        <f t="shared" si="17"/>
        <v>Sin riesgo</v>
      </c>
    </row>
    <row r="339" spans="1:11">
      <c r="A339" s="1" t="s">
        <v>127</v>
      </c>
      <c r="B339" s="6" t="s">
        <v>14</v>
      </c>
      <c r="C339" s="3">
        <v>45.3</v>
      </c>
      <c r="D339" s="3">
        <v>40.67</v>
      </c>
      <c r="E339" s="3">
        <v>31.5</v>
      </c>
      <c r="F339" s="4">
        <v>11.029361</v>
      </c>
      <c r="G339" s="4">
        <v>-74.807345999999995</v>
      </c>
      <c r="H339" s="9">
        <f t="shared" si="15"/>
        <v>1.4380952380952381</v>
      </c>
      <c r="I339" s="4" t="str">
        <f t="shared" si="16"/>
        <v>Altamente critico &gt;100%</v>
      </c>
      <c r="J339" s="1" t="s">
        <v>13</v>
      </c>
      <c r="K339" s="1" t="str">
        <f t="shared" si="17"/>
        <v>Sin riesgo</v>
      </c>
    </row>
    <row r="340" spans="1:11">
      <c r="A340" s="1" t="s">
        <v>127</v>
      </c>
      <c r="B340" s="6" t="s">
        <v>15</v>
      </c>
      <c r="C340" s="3">
        <v>45.29</v>
      </c>
      <c r="D340" s="3">
        <v>40.67</v>
      </c>
      <c r="E340" s="3">
        <v>31.5</v>
      </c>
      <c r="F340" s="4">
        <v>11.029361</v>
      </c>
      <c r="G340" s="4">
        <v>-74.807345999999995</v>
      </c>
      <c r="H340" s="9">
        <f t="shared" si="15"/>
        <v>1.4377777777777778</v>
      </c>
      <c r="I340" s="4" t="str">
        <f t="shared" si="16"/>
        <v>Altamente critico &gt;100%</v>
      </c>
      <c r="J340" s="1" t="s">
        <v>13</v>
      </c>
      <c r="K340" s="1" t="str">
        <f t="shared" si="17"/>
        <v>Sin riesgo</v>
      </c>
    </row>
    <row r="341" spans="1:11">
      <c r="A341" s="1" t="s">
        <v>128</v>
      </c>
      <c r="B341" s="6" t="s">
        <v>12</v>
      </c>
      <c r="C341" s="3">
        <v>13.93</v>
      </c>
      <c r="D341" s="3">
        <v>17.440000000000001</v>
      </c>
      <c r="E341" s="3">
        <v>40</v>
      </c>
      <c r="F341" s="11"/>
      <c r="G341" s="11"/>
      <c r="H341" s="9">
        <f t="shared" si="15"/>
        <v>0.43600000000000005</v>
      </c>
      <c r="I341" s="4" t="str">
        <f t="shared" si="16"/>
        <v>Sin riesgo &lt;85%</v>
      </c>
      <c r="J341" s="1">
        <v>1.41</v>
      </c>
      <c r="K341" s="1" t="str">
        <f t="shared" si="17"/>
        <v>Estado critico</v>
      </c>
    </row>
    <row r="342" spans="1:11">
      <c r="A342" s="1" t="s">
        <v>128</v>
      </c>
      <c r="B342" s="6" t="s">
        <v>14</v>
      </c>
      <c r="C342" s="3">
        <v>15</v>
      </c>
      <c r="D342" s="3">
        <v>17.489999999999998</v>
      </c>
      <c r="E342" s="3">
        <v>40</v>
      </c>
      <c r="F342" s="11"/>
      <c r="G342" s="11"/>
      <c r="H342" s="9">
        <f t="shared" si="15"/>
        <v>0.43724999999999997</v>
      </c>
      <c r="I342" s="4" t="str">
        <f t="shared" si="16"/>
        <v>Sin riesgo &lt;85%</v>
      </c>
      <c r="J342" s="1">
        <v>1.41</v>
      </c>
      <c r="K342" s="1" t="str">
        <f t="shared" si="17"/>
        <v>Estado critico</v>
      </c>
    </row>
    <row r="343" spans="1:11">
      <c r="A343" s="1" t="s">
        <v>128</v>
      </c>
      <c r="B343" s="6" t="s">
        <v>15</v>
      </c>
      <c r="C343" s="3">
        <v>15</v>
      </c>
      <c r="D343" s="3">
        <v>17.489999999999998</v>
      </c>
      <c r="E343" s="3">
        <v>40</v>
      </c>
      <c r="F343" s="11"/>
      <c r="G343" s="11"/>
      <c r="H343" s="9">
        <f t="shared" si="15"/>
        <v>0.43724999999999997</v>
      </c>
      <c r="I343" s="4" t="str">
        <f t="shared" si="16"/>
        <v>Sin riesgo &lt;85%</v>
      </c>
      <c r="J343" s="1">
        <v>1.41</v>
      </c>
      <c r="K343" s="1" t="str">
        <f t="shared" si="17"/>
        <v>Estado critico</v>
      </c>
    </row>
    <row r="344" spans="1:11">
      <c r="A344" s="1" t="s">
        <v>129</v>
      </c>
      <c r="B344" s="6" t="s">
        <v>12</v>
      </c>
      <c r="C344" s="3">
        <v>13.37</v>
      </c>
      <c r="D344" s="3">
        <v>15.26</v>
      </c>
      <c r="E344" s="3">
        <v>31.5</v>
      </c>
      <c r="F344" s="4">
        <v>10.952553</v>
      </c>
      <c r="G344" s="4">
        <v>-74.901617999999999</v>
      </c>
      <c r="H344" s="9">
        <f t="shared" si="15"/>
        <v>0.48444444444444446</v>
      </c>
      <c r="I344" s="4" t="str">
        <f t="shared" si="16"/>
        <v>Sin riesgo &lt;85%</v>
      </c>
      <c r="J344" s="1">
        <v>1.9</v>
      </c>
      <c r="K344" s="1" t="str">
        <f t="shared" si="17"/>
        <v>Estado de alerta</v>
      </c>
    </row>
    <row r="345" spans="1:11">
      <c r="A345" s="1" t="s">
        <v>129</v>
      </c>
      <c r="B345" s="6" t="s">
        <v>14</v>
      </c>
      <c r="C345" s="3">
        <v>13.55</v>
      </c>
      <c r="D345" s="3">
        <v>15.29</v>
      </c>
      <c r="E345" s="3">
        <v>31.5</v>
      </c>
      <c r="F345" s="4">
        <v>10.952553</v>
      </c>
      <c r="G345" s="4">
        <v>-74.901617999999999</v>
      </c>
      <c r="H345" s="9">
        <f t="shared" si="15"/>
        <v>0.48539682539682538</v>
      </c>
      <c r="I345" s="4" t="str">
        <f t="shared" si="16"/>
        <v>Sin riesgo &lt;85%</v>
      </c>
      <c r="J345" s="1">
        <v>1.9</v>
      </c>
      <c r="K345" s="1" t="str">
        <f t="shared" si="17"/>
        <v>Estado de alerta</v>
      </c>
    </row>
    <row r="346" spans="1:11">
      <c r="A346" s="1" t="s">
        <v>129</v>
      </c>
      <c r="B346" s="6" t="s">
        <v>15</v>
      </c>
      <c r="C346" s="3">
        <v>13.55</v>
      </c>
      <c r="D346" s="3">
        <v>15.29</v>
      </c>
      <c r="E346" s="3">
        <v>31.5</v>
      </c>
      <c r="F346" s="4">
        <v>10.952553</v>
      </c>
      <c r="G346" s="4">
        <v>-74.901617999999999</v>
      </c>
      <c r="H346" s="9">
        <f t="shared" si="15"/>
        <v>0.48539682539682538</v>
      </c>
      <c r="I346" s="4" t="str">
        <f t="shared" si="16"/>
        <v>Sin riesgo &lt;85%</v>
      </c>
      <c r="J346" s="1">
        <v>1.9</v>
      </c>
      <c r="K346" s="1" t="str">
        <f t="shared" si="17"/>
        <v>Estado de alerta</v>
      </c>
    </row>
    <row r="347" spans="1:11">
      <c r="A347" s="1" t="s">
        <v>130</v>
      </c>
      <c r="B347" s="6" t="s">
        <v>12</v>
      </c>
      <c r="C347" s="3">
        <v>46.98</v>
      </c>
      <c r="D347" s="3">
        <v>41.52</v>
      </c>
      <c r="E347" s="3">
        <v>31.5</v>
      </c>
      <c r="F347" s="4">
        <v>11.029361</v>
      </c>
      <c r="G347" s="4">
        <v>-74.807345999999995</v>
      </c>
      <c r="H347" s="9">
        <f t="shared" si="15"/>
        <v>1.4914285714285713</v>
      </c>
      <c r="I347" s="4" t="str">
        <f t="shared" si="16"/>
        <v>Altamente critico &gt;100%</v>
      </c>
      <c r="J347" s="1" t="s">
        <v>13</v>
      </c>
      <c r="K347" s="1" t="str">
        <f t="shared" si="17"/>
        <v>Sin riesgo</v>
      </c>
    </row>
    <row r="348" spans="1:11">
      <c r="A348" s="1" t="s">
        <v>130</v>
      </c>
      <c r="B348" s="6" t="s">
        <v>14</v>
      </c>
      <c r="C348" s="3">
        <v>47.04</v>
      </c>
      <c r="D348" s="3">
        <v>41.58</v>
      </c>
      <c r="E348" s="3">
        <v>31.5</v>
      </c>
      <c r="F348" s="4">
        <v>11.029361</v>
      </c>
      <c r="G348" s="4">
        <v>-74.807345999999995</v>
      </c>
      <c r="H348" s="9">
        <f t="shared" si="15"/>
        <v>1.4933333333333334</v>
      </c>
      <c r="I348" s="4" t="str">
        <f t="shared" si="16"/>
        <v>Altamente critico &gt;100%</v>
      </c>
      <c r="J348" s="1" t="s">
        <v>13</v>
      </c>
      <c r="K348" s="1" t="str">
        <f t="shared" si="17"/>
        <v>Sin riesgo</v>
      </c>
    </row>
    <row r="349" spans="1:11">
      <c r="A349" s="1" t="s">
        <v>130</v>
      </c>
      <c r="B349" s="6" t="s">
        <v>15</v>
      </c>
      <c r="C349" s="3">
        <v>47.04</v>
      </c>
      <c r="D349" s="3">
        <v>41.58</v>
      </c>
      <c r="E349" s="3">
        <v>31.5</v>
      </c>
      <c r="F349" s="4">
        <v>11.029361</v>
      </c>
      <c r="G349" s="4">
        <v>-74.807345999999995</v>
      </c>
      <c r="H349" s="9">
        <f t="shared" si="15"/>
        <v>1.4933333333333334</v>
      </c>
      <c r="I349" s="4" t="str">
        <f t="shared" si="16"/>
        <v>Altamente critico &gt;100%</v>
      </c>
      <c r="J349" s="1" t="s">
        <v>13</v>
      </c>
      <c r="K349" s="1" t="str">
        <f t="shared" si="17"/>
        <v>Sin riesgo</v>
      </c>
    </row>
    <row r="350" spans="1:11">
      <c r="A350" s="1" t="s">
        <v>131</v>
      </c>
      <c r="B350" s="6" t="s">
        <v>12</v>
      </c>
      <c r="C350" s="3">
        <v>19.05</v>
      </c>
      <c r="D350" s="3">
        <v>21.25</v>
      </c>
      <c r="E350" s="3">
        <v>25</v>
      </c>
      <c r="F350" s="4">
        <v>10.839086</v>
      </c>
      <c r="G350" s="4">
        <v>-74.770043999999999</v>
      </c>
      <c r="H350" s="9">
        <f t="shared" si="15"/>
        <v>0.85</v>
      </c>
      <c r="I350" s="4" t="str">
        <f t="shared" si="16"/>
        <v>Sin riesgo &lt;85%</v>
      </c>
      <c r="J350" s="1">
        <v>1.1000000000000001</v>
      </c>
      <c r="K350" s="1" t="str">
        <f t="shared" si="17"/>
        <v>Estado critico</v>
      </c>
    </row>
    <row r="351" spans="1:11">
      <c r="A351" s="1" t="s">
        <v>131</v>
      </c>
      <c r="B351" s="6" t="s">
        <v>14</v>
      </c>
      <c r="C351" s="3">
        <v>19.04</v>
      </c>
      <c r="D351" s="3">
        <v>21.24</v>
      </c>
      <c r="E351" s="3">
        <v>25</v>
      </c>
      <c r="F351" s="4">
        <v>10.839086</v>
      </c>
      <c r="G351" s="4">
        <v>-74.770043999999999</v>
      </c>
      <c r="H351" s="9">
        <f t="shared" si="15"/>
        <v>0.84959999999999991</v>
      </c>
      <c r="I351" s="4" t="str">
        <f t="shared" si="16"/>
        <v>Sin riesgo &lt;85%</v>
      </c>
      <c r="J351" s="1">
        <v>1.1000000000000001</v>
      </c>
      <c r="K351" s="1" t="str">
        <f t="shared" si="17"/>
        <v>Estado critico</v>
      </c>
    </row>
    <row r="352" spans="1:11">
      <c r="A352" s="1" t="s">
        <v>131</v>
      </c>
      <c r="B352" s="6" t="s">
        <v>15</v>
      </c>
      <c r="C352" s="3">
        <v>19.04</v>
      </c>
      <c r="D352" s="3">
        <v>21.24</v>
      </c>
      <c r="E352" s="3">
        <v>25</v>
      </c>
      <c r="F352" s="4">
        <v>10.839086</v>
      </c>
      <c r="G352" s="4">
        <v>-74.770043999999999</v>
      </c>
      <c r="H352" s="9">
        <f t="shared" si="15"/>
        <v>0.84959999999999991</v>
      </c>
      <c r="I352" s="4" t="str">
        <f t="shared" si="16"/>
        <v>Sin riesgo &lt;85%</v>
      </c>
      <c r="J352" s="1">
        <v>1.1000000000000001</v>
      </c>
      <c r="K352" s="1" t="str">
        <f t="shared" si="17"/>
        <v>Estado critico</v>
      </c>
    </row>
    <row r="353" spans="1:11">
      <c r="A353" s="1" t="s">
        <v>132</v>
      </c>
      <c r="B353" s="6" t="s">
        <v>12</v>
      </c>
      <c r="C353" s="3">
        <v>15.53</v>
      </c>
      <c r="D353" s="3">
        <v>14.54</v>
      </c>
      <c r="E353" s="3">
        <v>40</v>
      </c>
      <c r="F353" s="4">
        <v>11.024070999999999</v>
      </c>
      <c r="G353" s="4">
        <v>-74.849114999999998</v>
      </c>
      <c r="H353" s="9">
        <f t="shared" si="15"/>
        <v>0.38824999999999998</v>
      </c>
      <c r="I353" s="4" t="str">
        <f t="shared" si="16"/>
        <v>Sin riesgo &lt;85%</v>
      </c>
      <c r="J353" s="1" t="s">
        <v>13</v>
      </c>
      <c r="K353" s="1" t="str">
        <f t="shared" si="17"/>
        <v>Sin riesgo</v>
      </c>
    </row>
    <row r="354" spans="1:11">
      <c r="A354" s="1" t="s">
        <v>132</v>
      </c>
      <c r="B354" s="6" t="s">
        <v>14</v>
      </c>
      <c r="C354" s="3">
        <v>15.57</v>
      </c>
      <c r="D354" s="3">
        <v>14.57</v>
      </c>
      <c r="E354" s="3">
        <v>40</v>
      </c>
      <c r="F354" s="4">
        <v>11.024070999999999</v>
      </c>
      <c r="G354" s="4">
        <v>-74.849114999999998</v>
      </c>
      <c r="H354" s="9">
        <f t="shared" si="15"/>
        <v>0.38924999999999998</v>
      </c>
      <c r="I354" s="4" t="str">
        <f t="shared" si="16"/>
        <v>Sin riesgo &lt;85%</v>
      </c>
      <c r="J354" s="1" t="s">
        <v>13</v>
      </c>
      <c r="K354" s="1" t="str">
        <f t="shared" si="17"/>
        <v>Sin riesgo</v>
      </c>
    </row>
    <row r="355" spans="1:11">
      <c r="A355" s="1" t="s">
        <v>132</v>
      </c>
      <c r="B355" s="6" t="s">
        <v>15</v>
      </c>
      <c r="C355" s="3">
        <v>15.57</v>
      </c>
      <c r="D355" s="3">
        <v>14.57</v>
      </c>
      <c r="E355" s="3">
        <v>40</v>
      </c>
      <c r="F355" s="4">
        <v>11.024070999999999</v>
      </c>
      <c r="G355" s="4">
        <v>-74.849114999999998</v>
      </c>
      <c r="H355" s="9">
        <f t="shared" si="15"/>
        <v>0.38924999999999998</v>
      </c>
      <c r="I355" s="4" t="str">
        <f t="shared" si="16"/>
        <v>Sin riesgo &lt;85%</v>
      </c>
      <c r="J355" s="1" t="s">
        <v>13</v>
      </c>
      <c r="K355" s="1" t="str">
        <f t="shared" si="17"/>
        <v>Sin riesgo</v>
      </c>
    </row>
    <row r="356" spans="1:11">
      <c r="A356" s="1" t="s">
        <v>133</v>
      </c>
      <c r="B356" s="6" t="s">
        <v>12</v>
      </c>
      <c r="C356" s="3">
        <v>12.63</v>
      </c>
      <c r="D356" s="3">
        <v>12.91</v>
      </c>
      <c r="E356" s="3">
        <v>25</v>
      </c>
      <c r="F356" s="4">
        <v>10.774076000000001</v>
      </c>
      <c r="G356" s="4">
        <v>-74.908449000000005</v>
      </c>
      <c r="H356" s="9">
        <f t="shared" si="15"/>
        <v>0.51639999999999997</v>
      </c>
      <c r="I356" s="4" t="str">
        <f t="shared" si="16"/>
        <v>Sin riesgo &lt;85%</v>
      </c>
      <c r="J356" s="1" t="s">
        <v>13</v>
      </c>
      <c r="K356" s="1" t="str">
        <f t="shared" si="17"/>
        <v>Sin riesgo</v>
      </c>
    </row>
    <row r="357" spans="1:11">
      <c r="A357" s="1" t="s">
        <v>133</v>
      </c>
      <c r="B357" s="6" t="s">
        <v>14</v>
      </c>
      <c r="C357" s="3">
        <v>12.57</v>
      </c>
      <c r="D357" s="3">
        <v>12.85</v>
      </c>
      <c r="E357" s="3">
        <v>25</v>
      </c>
      <c r="F357" s="4">
        <v>10.774076000000001</v>
      </c>
      <c r="G357" s="4">
        <v>-74.908449000000005</v>
      </c>
      <c r="H357" s="9">
        <f t="shared" si="15"/>
        <v>0.51400000000000001</v>
      </c>
      <c r="I357" s="4" t="str">
        <f t="shared" si="16"/>
        <v>Sin riesgo &lt;85%</v>
      </c>
      <c r="J357" s="1" t="s">
        <v>13</v>
      </c>
      <c r="K357" s="1" t="str">
        <f t="shared" si="17"/>
        <v>Sin riesgo</v>
      </c>
    </row>
    <row r="358" spans="1:11">
      <c r="A358" s="1" t="s">
        <v>133</v>
      </c>
      <c r="B358" s="6" t="s">
        <v>15</v>
      </c>
      <c r="C358" s="3">
        <v>12.57</v>
      </c>
      <c r="D358" s="3">
        <v>12.85</v>
      </c>
      <c r="E358" s="3">
        <v>25</v>
      </c>
      <c r="F358" s="4">
        <v>10.774076000000001</v>
      </c>
      <c r="G358" s="4">
        <v>-74.908449000000005</v>
      </c>
      <c r="H358" s="9">
        <f t="shared" si="15"/>
        <v>0.51400000000000001</v>
      </c>
      <c r="I358" s="4" t="str">
        <f t="shared" si="16"/>
        <v>Sin riesgo &lt;85%</v>
      </c>
      <c r="J358" s="1" t="s">
        <v>13</v>
      </c>
      <c r="K358" s="1" t="str">
        <f t="shared" si="17"/>
        <v>Sin riesgo</v>
      </c>
    </row>
    <row r="359" spans="1:11">
      <c r="A359" s="1" t="s">
        <v>134</v>
      </c>
      <c r="B359" s="6" t="s">
        <v>12</v>
      </c>
      <c r="C359" s="3">
        <v>16.79</v>
      </c>
      <c r="D359" s="3">
        <v>15.77</v>
      </c>
      <c r="E359" s="3">
        <v>31.5</v>
      </c>
      <c r="F359" s="11"/>
      <c r="G359" s="11"/>
      <c r="H359" s="9">
        <f t="shared" si="15"/>
        <v>0.53301587301587294</v>
      </c>
      <c r="I359" s="4" t="str">
        <f t="shared" si="16"/>
        <v>Sin riesgo &lt;85%</v>
      </c>
      <c r="J359" s="1" t="s">
        <v>13</v>
      </c>
      <c r="K359" s="1" t="str">
        <f t="shared" si="17"/>
        <v>Sin riesgo</v>
      </c>
    </row>
    <row r="360" spans="1:11">
      <c r="A360" s="1" t="s">
        <v>134</v>
      </c>
      <c r="B360" s="6" t="s">
        <v>14</v>
      </c>
      <c r="C360" s="3">
        <v>16.84</v>
      </c>
      <c r="D360" s="3">
        <v>15.8</v>
      </c>
      <c r="E360" s="3">
        <v>31.5</v>
      </c>
      <c r="F360" s="11"/>
      <c r="G360" s="11"/>
      <c r="H360" s="9">
        <f t="shared" si="15"/>
        <v>0.53460317460317464</v>
      </c>
      <c r="I360" s="4" t="str">
        <f t="shared" si="16"/>
        <v>Sin riesgo &lt;85%</v>
      </c>
      <c r="J360" s="1" t="s">
        <v>13</v>
      </c>
      <c r="K360" s="1" t="str">
        <f t="shared" si="17"/>
        <v>Sin riesgo</v>
      </c>
    </row>
    <row r="361" spans="1:11">
      <c r="A361" s="1" t="s">
        <v>134</v>
      </c>
      <c r="B361" s="6" t="s">
        <v>15</v>
      </c>
      <c r="C361" s="3">
        <v>16.84</v>
      </c>
      <c r="D361" s="3">
        <v>15.8</v>
      </c>
      <c r="E361" s="3">
        <v>31.5</v>
      </c>
      <c r="F361" s="11"/>
      <c r="G361" s="11"/>
      <c r="H361" s="9">
        <f t="shared" si="15"/>
        <v>0.53460317460317464</v>
      </c>
      <c r="I361" s="4" t="str">
        <f t="shared" si="16"/>
        <v>Sin riesgo &lt;85%</v>
      </c>
      <c r="J361" s="1" t="s">
        <v>13</v>
      </c>
      <c r="K361" s="1" t="str">
        <f t="shared" si="17"/>
        <v>Sin riesgo</v>
      </c>
    </row>
    <row r="362" spans="1:11">
      <c r="A362" s="1" t="s">
        <v>135</v>
      </c>
      <c r="B362" s="6" t="s">
        <v>12</v>
      </c>
      <c r="C362" s="3">
        <v>36.49</v>
      </c>
      <c r="D362" s="3">
        <v>37.229999999999997</v>
      </c>
      <c r="E362" s="3">
        <v>31.5</v>
      </c>
      <c r="F362" s="11"/>
      <c r="G362" s="11"/>
      <c r="H362" s="9">
        <f t="shared" si="15"/>
        <v>1.1819047619047618</v>
      </c>
      <c r="I362" s="4" t="str">
        <f t="shared" si="16"/>
        <v>Altamente critico &gt;100%</v>
      </c>
      <c r="J362" s="1" t="s">
        <v>13</v>
      </c>
      <c r="K362" s="1" t="str">
        <f t="shared" si="17"/>
        <v>Sin riesgo</v>
      </c>
    </row>
    <row r="363" spans="1:11">
      <c r="A363" s="1" t="s">
        <v>135</v>
      </c>
      <c r="B363" s="6" t="s">
        <v>14</v>
      </c>
      <c r="C363" s="3">
        <v>36.65</v>
      </c>
      <c r="D363" s="3">
        <v>37.42</v>
      </c>
      <c r="E363" s="3">
        <v>31.5</v>
      </c>
      <c r="F363" s="11"/>
      <c r="G363" s="11"/>
      <c r="H363" s="9">
        <f t="shared" si="15"/>
        <v>1.1879365079365081</v>
      </c>
      <c r="I363" s="4" t="str">
        <f t="shared" si="16"/>
        <v>Altamente critico &gt;100%</v>
      </c>
      <c r="J363" s="1" t="s">
        <v>13</v>
      </c>
      <c r="K363" s="1" t="str">
        <f t="shared" si="17"/>
        <v>Sin riesgo</v>
      </c>
    </row>
    <row r="364" spans="1:11">
      <c r="A364" s="1" t="s">
        <v>135</v>
      </c>
      <c r="B364" s="6" t="s">
        <v>15</v>
      </c>
      <c r="C364" s="3">
        <v>36.65</v>
      </c>
      <c r="D364" s="3">
        <v>37.409999999999997</v>
      </c>
      <c r="E364" s="3">
        <v>31.5</v>
      </c>
      <c r="F364" s="11"/>
      <c r="G364" s="11"/>
      <c r="H364" s="9">
        <f t="shared" si="15"/>
        <v>1.1876190476190476</v>
      </c>
      <c r="I364" s="4" t="str">
        <f t="shared" si="16"/>
        <v>Altamente critico &gt;100%</v>
      </c>
      <c r="J364" s="1" t="s">
        <v>13</v>
      </c>
      <c r="K364" s="1" t="str">
        <f t="shared" si="17"/>
        <v>Sin riesgo</v>
      </c>
    </row>
    <row r="365" spans="1:11">
      <c r="A365" s="1" t="s">
        <v>136</v>
      </c>
      <c r="B365" s="6" t="s">
        <v>12</v>
      </c>
      <c r="C365" s="3">
        <v>47.93</v>
      </c>
      <c r="D365" s="3">
        <v>39.979999999999997</v>
      </c>
      <c r="E365" s="3">
        <v>40</v>
      </c>
      <c r="F365" s="11"/>
      <c r="G365" s="11"/>
      <c r="H365" s="9">
        <f t="shared" si="15"/>
        <v>1.19825</v>
      </c>
      <c r="I365" s="4" t="str">
        <f t="shared" si="16"/>
        <v>Altamente critico &gt;100%</v>
      </c>
      <c r="J365" s="1" t="s">
        <v>13</v>
      </c>
      <c r="K365" s="1" t="str">
        <f t="shared" si="17"/>
        <v>Sin riesgo</v>
      </c>
    </row>
    <row r="366" spans="1:11">
      <c r="A366" s="1" t="s">
        <v>136</v>
      </c>
      <c r="B366" s="6" t="s">
        <v>14</v>
      </c>
      <c r="C366" s="3">
        <v>48</v>
      </c>
      <c r="D366" s="3">
        <v>40.04</v>
      </c>
      <c r="E366" s="3">
        <v>40</v>
      </c>
      <c r="F366" s="11"/>
      <c r="G366" s="11"/>
      <c r="H366" s="9">
        <f t="shared" si="15"/>
        <v>1.2</v>
      </c>
      <c r="I366" s="4" t="str">
        <f t="shared" si="16"/>
        <v>Altamente critico &gt;100%</v>
      </c>
      <c r="J366" s="1" t="s">
        <v>13</v>
      </c>
      <c r="K366" s="1" t="str">
        <f t="shared" si="17"/>
        <v>Sin riesgo</v>
      </c>
    </row>
    <row r="367" spans="1:11">
      <c r="A367" s="1" t="s">
        <v>136</v>
      </c>
      <c r="B367" s="6" t="s">
        <v>15</v>
      </c>
      <c r="C367" s="3">
        <v>48</v>
      </c>
      <c r="D367" s="3">
        <v>40.04</v>
      </c>
      <c r="E367" s="3">
        <v>40</v>
      </c>
      <c r="F367" s="11"/>
      <c r="G367" s="11"/>
      <c r="H367" s="9">
        <f t="shared" si="15"/>
        <v>1.2</v>
      </c>
      <c r="I367" s="4" t="str">
        <f t="shared" si="16"/>
        <v>Altamente critico &gt;100%</v>
      </c>
      <c r="J367" s="1" t="s">
        <v>13</v>
      </c>
      <c r="K367" s="1" t="str">
        <f t="shared" si="17"/>
        <v>Sin riesgo</v>
      </c>
    </row>
    <row r="368" spans="1:11">
      <c r="A368" s="1" t="s">
        <v>137</v>
      </c>
      <c r="B368" s="6" t="s">
        <v>12</v>
      </c>
      <c r="C368" s="3">
        <v>45.48</v>
      </c>
      <c r="D368" s="3">
        <v>40.01</v>
      </c>
      <c r="E368" s="3">
        <v>31.5</v>
      </c>
      <c r="F368" s="4">
        <v>11.008924</v>
      </c>
      <c r="G368" s="4">
        <v>-74.795500000000004</v>
      </c>
      <c r="H368" s="9">
        <f t="shared" si="15"/>
        <v>1.4438095238095237</v>
      </c>
      <c r="I368" s="4" t="str">
        <f t="shared" si="16"/>
        <v>Altamente critico &gt;100%</v>
      </c>
      <c r="J368" s="1" t="s">
        <v>13</v>
      </c>
      <c r="K368" s="1" t="str">
        <f t="shared" si="17"/>
        <v>Sin riesgo</v>
      </c>
    </row>
    <row r="369" spans="1:11">
      <c r="A369" s="1" t="s">
        <v>137</v>
      </c>
      <c r="B369" s="6" t="s">
        <v>14</v>
      </c>
      <c r="C369" s="3">
        <v>45.53</v>
      </c>
      <c r="D369" s="3">
        <v>40.06</v>
      </c>
      <c r="E369" s="3">
        <v>31.5</v>
      </c>
      <c r="F369" s="4">
        <v>11.008924</v>
      </c>
      <c r="G369" s="4">
        <v>-74.795500000000004</v>
      </c>
      <c r="H369" s="9">
        <f t="shared" si="15"/>
        <v>1.4453968253968255</v>
      </c>
      <c r="I369" s="4" t="str">
        <f t="shared" si="16"/>
        <v>Altamente critico &gt;100%</v>
      </c>
      <c r="J369" s="1" t="s">
        <v>13</v>
      </c>
      <c r="K369" s="1" t="str">
        <f t="shared" si="17"/>
        <v>Sin riesgo</v>
      </c>
    </row>
    <row r="370" spans="1:11">
      <c r="A370" s="1" t="s">
        <v>137</v>
      </c>
      <c r="B370" s="6" t="s">
        <v>15</v>
      </c>
      <c r="C370" s="3">
        <v>45.53</v>
      </c>
      <c r="D370" s="3">
        <v>40.06</v>
      </c>
      <c r="E370" s="3">
        <v>31.5</v>
      </c>
      <c r="F370" s="4">
        <v>11.008924</v>
      </c>
      <c r="G370" s="4">
        <v>-74.795500000000004</v>
      </c>
      <c r="H370" s="9">
        <f t="shared" si="15"/>
        <v>1.4453968253968255</v>
      </c>
      <c r="I370" s="4" t="str">
        <f t="shared" si="16"/>
        <v>Altamente critico &gt;100%</v>
      </c>
      <c r="J370" s="1" t="s">
        <v>13</v>
      </c>
      <c r="K370" s="1" t="str">
        <f t="shared" si="17"/>
        <v>Sin riesgo</v>
      </c>
    </row>
    <row r="371" spans="1:11">
      <c r="A371" s="1" t="s">
        <v>138</v>
      </c>
      <c r="B371" s="6" t="s">
        <v>12</v>
      </c>
      <c r="C371" s="3">
        <v>31.67</v>
      </c>
      <c r="D371" s="3">
        <v>34.07</v>
      </c>
      <c r="E371" s="3">
        <v>40</v>
      </c>
      <c r="F371" s="11"/>
      <c r="G371" s="11"/>
      <c r="H371" s="9">
        <f t="shared" si="15"/>
        <v>0.85175000000000001</v>
      </c>
      <c r="I371" s="4" t="str">
        <f t="shared" si="16"/>
        <v>En riesgo &gt;85%</v>
      </c>
      <c r="J371" s="1" t="s">
        <v>13</v>
      </c>
      <c r="K371" s="1" t="str">
        <f t="shared" si="17"/>
        <v>Sin riesgo</v>
      </c>
    </row>
    <row r="372" spans="1:11">
      <c r="A372" s="1" t="s">
        <v>138</v>
      </c>
      <c r="B372" s="6" t="s">
        <v>14</v>
      </c>
      <c r="C372" s="3">
        <v>31.7</v>
      </c>
      <c r="D372" s="3">
        <v>34.11</v>
      </c>
      <c r="E372" s="3">
        <v>40</v>
      </c>
      <c r="F372" s="11"/>
      <c r="G372" s="11"/>
      <c r="H372" s="9">
        <f t="shared" si="15"/>
        <v>0.85275000000000001</v>
      </c>
      <c r="I372" s="4" t="str">
        <f t="shared" si="16"/>
        <v>En riesgo &gt;85%</v>
      </c>
      <c r="J372" s="1" t="s">
        <v>13</v>
      </c>
      <c r="K372" s="1" t="str">
        <f t="shared" si="17"/>
        <v>Sin riesgo</v>
      </c>
    </row>
    <row r="373" spans="1:11">
      <c r="A373" s="1" t="s">
        <v>138</v>
      </c>
      <c r="B373" s="6" t="s">
        <v>15</v>
      </c>
      <c r="C373" s="3">
        <v>31.7</v>
      </c>
      <c r="D373" s="3">
        <v>34.11</v>
      </c>
      <c r="E373" s="3">
        <v>40</v>
      </c>
      <c r="F373" s="11"/>
      <c r="G373" s="11"/>
      <c r="H373" s="9">
        <f t="shared" si="15"/>
        <v>0.85275000000000001</v>
      </c>
      <c r="I373" s="4" t="str">
        <f t="shared" si="16"/>
        <v>En riesgo &gt;85%</v>
      </c>
      <c r="J373" s="1" t="s">
        <v>13</v>
      </c>
      <c r="K373" s="1" t="str">
        <f t="shared" si="17"/>
        <v>Sin riesgo</v>
      </c>
    </row>
    <row r="374" spans="1:11">
      <c r="A374" s="1" t="s">
        <v>139</v>
      </c>
      <c r="B374" s="6" t="s">
        <v>12</v>
      </c>
      <c r="C374" s="3">
        <v>18.66</v>
      </c>
      <c r="D374" s="3">
        <v>16.73</v>
      </c>
      <c r="E374" s="3">
        <v>31.5</v>
      </c>
      <c r="F374" s="11"/>
      <c r="G374" s="11"/>
      <c r="H374" s="9">
        <f t="shared" si="15"/>
        <v>0.59238095238095234</v>
      </c>
      <c r="I374" s="4" t="str">
        <f t="shared" si="16"/>
        <v>Sin riesgo &lt;85%</v>
      </c>
      <c r="J374" s="1">
        <v>1.24</v>
      </c>
      <c r="K374" s="1" t="str">
        <f t="shared" si="17"/>
        <v>Estado critico</v>
      </c>
    </row>
    <row r="375" spans="1:11">
      <c r="A375" s="1" t="s">
        <v>139</v>
      </c>
      <c r="B375" s="6" t="s">
        <v>14</v>
      </c>
      <c r="C375" s="3">
        <v>18.63</v>
      </c>
      <c r="D375" s="3">
        <v>16.71</v>
      </c>
      <c r="E375" s="3">
        <v>31.5</v>
      </c>
      <c r="F375" s="11"/>
      <c r="G375" s="11"/>
      <c r="H375" s="9">
        <f t="shared" si="15"/>
        <v>0.59142857142857141</v>
      </c>
      <c r="I375" s="4" t="str">
        <f t="shared" si="16"/>
        <v>Sin riesgo &lt;85%</v>
      </c>
      <c r="J375" s="1">
        <v>1.24</v>
      </c>
      <c r="K375" s="1" t="str">
        <f t="shared" si="17"/>
        <v>Estado critico</v>
      </c>
    </row>
    <row r="376" spans="1:11">
      <c r="A376" s="1" t="s">
        <v>139</v>
      </c>
      <c r="B376" s="6" t="s">
        <v>15</v>
      </c>
      <c r="C376" s="3">
        <v>18.63</v>
      </c>
      <c r="D376" s="3">
        <v>16.71</v>
      </c>
      <c r="E376" s="3">
        <v>31.5</v>
      </c>
      <c r="F376" s="11"/>
      <c r="G376" s="11"/>
      <c r="H376" s="9">
        <f t="shared" si="15"/>
        <v>0.59142857142857141</v>
      </c>
      <c r="I376" s="4" t="str">
        <f t="shared" si="16"/>
        <v>Sin riesgo &lt;85%</v>
      </c>
      <c r="J376" s="1">
        <v>1.24</v>
      </c>
      <c r="K376" s="1" t="str">
        <f t="shared" si="17"/>
        <v>Estado critico</v>
      </c>
    </row>
    <row r="377" spans="1:11">
      <c r="A377" s="1" t="s">
        <v>140</v>
      </c>
      <c r="B377" s="6" t="s">
        <v>12</v>
      </c>
      <c r="C377" s="3">
        <v>56.33</v>
      </c>
      <c r="D377" s="3">
        <v>49.87</v>
      </c>
      <c r="E377" s="3">
        <v>40</v>
      </c>
      <c r="F377" s="11"/>
      <c r="G377" s="11"/>
      <c r="H377" s="9">
        <f t="shared" si="15"/>
        <v>1.40825</v>
      </c>
      <c r="I377" s="4" t="str">
        <f t="shared" si="16"/>
        <v>Altamente critico &gt;100%</v>
      </c>
      <c r="J377" s="1">
        <v>1.04</v>
      </c>
      <c r="K377" s="1" t="str">
        <f t="shared" si="17"/>
        <v>Estado critico</v>
      </c>
    </row>
    <row r="378" spans="1:11">
      <c r="A378" s="1" t="s">
        <v>140</v>
      </c>
      <c r="B378" s="6" t="s">
        <v>14</v>
      </c>
      <c r="C378" s="3">
        <v>57.01</v>
      </c>
      <c r="D378" s="3">
        <v>50.42</v>
      </c>
      <c r="E378" s="3">
        <v>40</v>
      </c>
      <c r="F378" s="11"/>
      <c r="G378" s="11"/>
      <c r="H378" s="9">
        <f t="shared" si="15"/>
        <v>1.4252499999999999</v>
      </c>
      <c r="I378" s="4" t="str">
        <f t="shared" si="16"/>
        <v>Altamente critico &gt;100%</v>
      </c>
      <c r="J378" s="1">
        <v>1.04</v>
      </c>
      <c r="K378" s="1" t="str">
        <f t="shared" si="17"/>
        <v>Estado critico</v>
      </c>
    </row>
    <row r="379" spans="1:11">
      <c r="A379" s="1" t="s">
        <v>140</v>
      </c>
      <c r="B379" s="6" t="s">
        <v>15</v>
      </c>
      <c r="C379" s="3">
        <v>57.01</v>
      </c>
      <c r="D379" s="3">
        <v>50.42</v>
      </c>
      <c r="E379" s="3">
        <v>40</v>
      </c>
      <c r="F379" s="11"/>
      <c r="G379" s="11"/>
      <c r="H379" s="9">
        <f t="shared" si="15"/>
        <v>1.4252499999999999</v>
      </c>
      <c r="I379" s="4" t="str">
        <f t="shared" si="16"/>
        <v>Altamente critico &gt;100%</v>
      </c>
      <c r="J379" s="1">
        <v>1.04</v>
      </c>
      <c r="K379" s="1" t="str">
        <f t="shared" si="17"/>
        <v>Estado critico</v>
      </c>
    </row>
    <row r="380" spans="1:11">
      <c r="A380" s="1" t="s">
        <v>141</v>
      </c>
      <c r="B380" s="6" t="s">
        <v>12</v>
      </c>
      <c r="C380" s="3">
        <v>25.14</v>
      </c>
      <c r="D380" s="3">
        <v>21.85</v>
      </c>
      <c r="E380" s="3">
        <v>40</v>
      </c>
      <c r="F380" s="11"/>
      <c r="G380" s="11"/>
      <c r="H380" s="9">
        <f t="shared" si="15"/>
        <v>0.62850000000000006</v>
      </c>
      <c r="I380" s="4" t="str">
        <f t="shared" si="16"/>
        <v>Sin riesgo &lt;85%</v>
      </c>
      <c r="J380" s="1">
        <v>1.01</v>
      </c>
      <c r="K380" s="1" t="str">
        <f t="shared" si="17"/>
        <v>Estado critico</v>
      </c>
    </row>
    <row r="381" spans="1:11">
      <c r="A381" s="1" t="s">
        <v>141</v>
      </c>
      <c r="B381" s="6" t="s">
        <v>14</v>
      </c>
      <c r="C381" s="3">
        <v>26</v>
      </c>
      <c r="D381" s="3">
        <v>22.39</v>
      </c>
      <c r="E381" s="3">
        <v>40</v>
      </c>
      <c r="F381" s="11"/>
      <c r="G381" s="11"/>
      <c r="H381" s="9">
        <f t="shared" si="15"/>
        <v>0.65</v>
      </c>
      <c r="I381" s="4" t="str">
        <f t="shared" si="16"/>
        <v>Sin riesgo &lt;85%</v>
      </c>
      <c r="J381" s="1">
        <v>1.01</v>
      </c>
      <c r="K381" s="1" t="str">
        <f t="shared" si="17"/>
        <v>Estado critico</v>
      </c>
    </row>
    <row r="382" spans="1:11">
      <c r="A382" s="1" t="s">
        <v>141</v>
      </c>
      <c r="B382" s="6" t="s">
        <v>15</v>
      </c>
      <c r="C382" s="3">
        <v>25.99</v>
      </c>
      <c r="D382" s="3">
        <v>22.39</v>
      </c>
      <c r="E382" s="3">
        <v>40</v>
      </c>
      <c r="F382" s="11"/>
      <c r="G382" s="11"/>
      <c r="H382" s="9">
        <f t="shared" si="15"/>
        <v>0.64974999999999994</v>
      </c>
      <c r="I382" s="4" t="str">
        <f t="shared" si="16"/>
        <v>Sin riesgo &lt;85%</v>
      </c>
      <c r="J382" s="1">
        <v>1.01</v>
      </c>
      <c r="K382" s="1" t="str">
        <f t="shared" si="17"/>
        <v>Estado critico</v>
      </c>
    </row>
    <row r="383" spans="1:11">
      <c r="A383" s="1" t="s">
        <v>142</v>
      </c>
      <c r="B383" s="6" t="s">
        <v>12</v>
      </c>
      <c r="C383" s="3">
        <v>3.73</v>
      </c>
      <c r="D383" s="3">
        <v>5.34</v>
      </c>
      <c r="E383" s="3">
        <v>31.5</v>
      </c>
      <c r="F383" s="4">
        <v>10.500514000000001</v>
      </c>
      <c r="G383" s="4">
        <v>-74.789775000000006</v>
      </c>
      <c r="H383" s="9">
        <f t="shared" si="15"/>
        <v>0.16952380952380952</v>
      </c>
      <c r="I383" s="4" t="str">
        <f t="shared" si="16"/>
        <v>Sin riesgo &lt;85%</v>
      </c>
      <c r="J383" s="1" t="s">
        <v>13</v>
      </c>
      <c r="K383" s="1" t="str">
        <f t="shared" si="17"/>
        <v>Sin riesgo</v>
      </c>
    </row>
    <row r="384" spans="1:11">
      <c r="A384" s="1" t="s">
        <v>142</v>
      </c>
      <c r="B384" s="6" t="s">
        <v>14</v>
      </c>
      <c r="C384" s="3">
        <v>3.72</v>
      </c>
      <c r="D384" s="3">
        <v>5.32</v>
      </c>
      <c r="E384" s="3">
        <v>31.5</v>
      </c>
      <c r="F384" s="4">
        <v>10.500514000000001</v>
      </c>
      <c r="G384" s="4">
        <v>-74.789775000000006</v>
      </c>
      <c r="H384" s="9">
        <f t="shared" si="15"/>
        <v>0.16888888888888889</v>
      </c>
      <c r="I384" s="4" t="str">
        <f t="shared" si="16"/>
        <v>Sin riesgo &lt;85%</v>
      </c>
      <c r="J384" s="1" t="s">
        <v>13</v>
      </c>
      <c r="K384" s="1" t="str">
        <f t="shared" si="17"/>
        <v>Sin riesgo</v>
      </c>
    </row>
    <row r="385" spans="1:11">
      <c r="A385" s="1" t="s">
        <v>142</v>
      </c>
      <c r="B385" s="6" t="s">
        <v>15</v>
      </c>
      <c r="C385" s="3">
        <v>3.72</v>
      </c>
      <c r="D385" s="3">
        <v>5.32</v>
      </c>
      <c r="E385" s="3">
        <v>31.5</v>
      </c>
      <c r="F385" s="4">
        <v>10.500514000000001</v>
      </c>
      <c r="G385" s="4">
        <v>-74.789775000000006</v>
      </c>
      <c r="H385" s="9">
        <f t="shared" si="15"/>
        <v>0.16888888888888889</v>
      </c>
      <c r="I385" s="4" t="str">
        <f t="shared" si="16"/>
        <v>Sin riesgo &lt;85%</v>
      </c>
      <c r="J385" s="1" t="s">
        <v>13</v>
      </c>
      <c r="K385" s="1" t="str">
        <f t="shared" si="17"/>
        <v>Sin riesgo</v>
      </c>
    </row>
    <row r="386" spans="1:11">
      <c r="A386" s="1" t="s">
        <v>143</v>
      </c>
      <c r="B386" s="6" t="s">
        <v>12</v>
      </c>
      <c r="C386" s="3">
        <v>41.51</v>
      </c>
      <c r="D386" s="3">
        <v>37.28</v>
      </c>
      <c r="E386" s="3">
        <v>31.5</v>
      </c>
      <c r="F386" s="4">
        <v>10.981706000000001</v>
      </c>
      <c r="G386" s="4">
        <v>-74.817373000000003</v>
      </c>
      <c r="H386" s="9">
        <f t="shared" si="15"/>
        <v>1.3177777777777777</v>
      </c>
      <c r="I386" s="4" t="str">
        <f t="shared" si="16"/>
        <v>Altamente critico &gt;100%</v>
      </c>
      <c r="J386" s="1" t="s">
        <v>13</v>
      </c>
      <c r="K386" s="1" t="str">
        <f t="shared" si="17"/>
        <v>Sin riesgo</v>
      </c>
    </row>
    <row r="387" spans="1:11">
      <c r="A387" s="1" t="s">
        <v>143</v>
      </c>
      <c r="B387" s="6" t="s">
        <v>14</v>
      </c>
      <c r="C387" s="3">
        <v>41.55</v>
      </c>
      <c r="D387" s="3">
        <v>37.32</v>
      </c>
      <c r="E387" s="3">
        <v>31.5</v>
      </c>
      <c r="F387" s="4">
        <v>10.981706000000001</v>
      </c>
      <c r="G387" s="4">
        <v>-74.817373000000003</v>
      </c>
      <c r="H387" s="9">
        <f t="shared" ref="H387:H450" si="18">IF(C387&gt;D387,C387/E387,D387/E387)</f>
        <v>1.319047619047619</v>
      </c>
      <c r="I387" s="4" t="str">
        <f t="shared" ref="I387:I450" si="19">IF(H387&gt;100%,"Altamente critico &gt;100%",IF(H387&gt;95%,"Critico &gt;95%",IF(H387&gt;85%,"En riesgo &gt;85%","Sin riesgo &lt;85%")))</f>
        <v>Altamente critico &gt;100%</v>
      </c>
      <c r="J387" s="1" t="s">
        <v>13</v>
      </c>
      <c r="K387" s="1" t="str">
        <f t="shared" ref="K387:K450" si="20">IF(J387="&gt;5","Sin riesgo",IF(J387&gt;1.5,"Estado de alerta","Estado critico"))</f>
        <v>Sin riesgo</v>
      </c>
    </row>
    <row r="388" spans="1:11">
      <c r="A388" s="1" t="s">
        <v>143</v>
      </c>
      <c r="B388" s="6" t="s">
        <v>15</v>
      </c>
      <c r="C388" s="3">
        <v>41.55</v>
      </c>
      <c r="D388" s="3">
        <v>37.32</v>
      </c>
      <c r="E388" s="3">
        <v>31.5</v>
      </c>
      <c r="F388" s="4">
        <v>10.981706000000001</v>
      </c>
      <c r="G388" s="4">
        <v>-74.817373000000003</v>
      </c>
      <c r="H388" s="9">
        <f t="shared" si="18"/>
        <v>1.319047619047619</v>
      </c>
      <c r="I388" s="4" t="str">
        <f t="shared" si="19"/>
        <v>Altamente critico &gt;100%</v>
      </c>
      <c r="J388" s="1" t="s">
        <v>13</v>
      </c>
      <c r="K388" s="1" t="str">
        <f t="shared" si="20"/>
        <v>Sin riesgo</v>
      </c>
    </row>
    <row r="389" spans="1:11">
      <c r="A389" s="1" t="s">
        <v>144</v>
      </c>
      <c r="B389" s="6" t="s">
        <v>12</v>
      </c>
      <c r="C389" s="3">
        <v>49.63</v>
      </c>
      <c r="D389" s="3">
        <v>41.69</v>
      </c>
      <c r="E389" s="3">
        <v>40</v>
      </c>
      <c r="F389" s="5">
        <v>10.937182</v>
      </c>
      <c r="G389" s="5">
        <v>-74.764686999999995</v>
      </c>
      <c r="H389" s="9">
        <f t="shared" si="18"/>
        <v>1.24075</v>
      </c>
      <c r="I389" s="4" t="str">
        <f t="shared" si="19"/>
        <v>Altamente critico &gt;100%</v>
      </c>
      <c r="J389" s="1" t="s">
        <v>13</v>
      </c>
      <c r="K389" s="1" t="str">
        <f t="shared" si="20"/>
        <v>Sin riesgo</v>
      </c>
    </row>
    <row r="390" spans="1:11">
      <c r="A390" s="1" t="s">
        <v>144</v>
      </c>
      <c r="B390" s="6" t="s">
        <v>14</v>
      </c>
      <c r="C390" s="3">
        <v>49.7</v>
      </c>
      <c r="D390" s="3">
        <v>41.75</v>
      </c>
      <c r="E390" s="3">
        <v>40</v>
      </c>
      <c r="F390" s="5">
        <v>10.937182</v>
      </c>
      <c r="G390" s="5">
        <v>-74.764686999999995</v>
      </c>
      <c r="H390" s="9">
        <f t="shared" si="18"/>
        <v>1.2425000000000002</v>
      </c>
      <c r="I390" s="4" t="str">
        <f t="shared" si="19"/>
        <v>Altamente critico &gt;100%</v>
      </c>
      <c r="J390" s="1" t="s">
        <v>13</v>
      </c>
      <c r="K390" s="1" t="str">
        <f t="shared" si="20"/>
        <v>Sin riesgo</v>
      </c>
    </row>
    <row r="391" spans="1:11">
      <c r="A391" s="1" t="s">
        <v>144</v>
      </c>
      <c r="B391" s="6" t="s">
        <v>15</v>
      </c>
      <c r="C391" s="3">
        <v>49.7</v>
      </c>
      <c r="D391" s="3">
        <v>41.75</v>
      </c>
      <c r="E391" s="3">
        <v>40</v>
      </c>
      <c r="F391" s="5">
        <v>10.937182</v>
      </c>
      <c r="G391" s="5">
        <v>-74.764686999999995</v>
      </c>
      <c r="H391" s="9">
        <f t="shared" si="18"/>
        <v>1.2425000000000002</v>
      </c>
      <c r="I391" s="4" t="str">
        <f t="shared" si="19"/>
        <v>Altamente critico &gt;100%</v>
      </c>
      <c r="J391" s="1" t="s">
        <v>13</v>
      </c>
      <c r="K391" s="1" t="str">
        <f t="shared" si="20"/>
        <v>Sin riesgo</v>
      </c>
    </row>
    <row r="392" spans="1:11">
      <c r="A392" s="1" t="s">
        <v>145</v>
      </c>
      <c r="B392" s="6" t="s">
        <v>12</v>
      </c>
      <c r="C392" s="3">
        <v>50.06</v>
      </c>
      <c r="D392" s="3">
        <v>44.89</v>
      </c>
      <c r="E392" s="3">
        <v>31.5</v>
      </c>
      <c r="F392" s="5">
        <v>10.937182</v>
      </c>
      <c r="G392" s="5">
        <v>-74.764686999999995</v>
      </c>
      <c r="H392" s="9">
        <f t="shared" si="18"/>
        <v>1.5892063492063493</v>
      </c>
      <c r="I392" s="4" t="str">
        <f t="shared" si="19"/>
        <v>Altamente critico &gt;100%</v>
      </c>
      <c r="J392" s="1" t="s">
        <v>13</v>
      </c>
      <c r="K392" s="1" t="str">
        <f t="shared" si="20"/>
        <v>Sin riesgo</v>
      </c>
    </row>
    <row r="393" spans="1:11">
      <c r="A393" s="1" t="s">
        <v>145</v>
      </c>
      <c r="B393" s="6" t="s">
        <v>14</v>
      </c>
      <c r="C393" s="3">
        <v>50.28</v>
      </c>
      <c r="D393" s="3">
        <v>45.11</v>
      </c>
      <c r="E393" s="3">
        <v>31.5</v>
      </c>
      <c r="F393" s="5">
        <v>10.937182</v>
      </c>
      <c r="G393" s="5">
        <v>-74.764686999999995</v>
      </c>
      <c r="H393" s="9">
        <f t="shared" si="18"/>
        <v>1.5961904761904762</v>
      </c>
      <c r="I393" s="4" t="str">
        <f t="shared" si="19"/>
        <v>Altamente critico &gt;100%</v>
      </c>
      <c r="J393" s="1" t="s">
        <v>13</v>
      </c>
      <c r="K393" s="1" t="str">
        <f t="shared" si="20"/>
        <v>Sin riesgo</v>
      </c>
    </row>
    <row r="394" spans="1:11">
      <c r="A394" s="1" t="s">
        <v>145</v>
      </c>
      <c r="B394" s="6" t="s">
        <v>15</v>
      </c>
      <c r="C394" s="3">
        <v>50.28</v>
      </c>
      <c r="D394" s="3">
        <v>45.11</v>
      </c>
      <c r="E394" s="3">
        <v>31.5</v>
      </c>
      <c r="F394" s="5">
        <v>10.937182</v>
      </c>
      <c r="G394" s="5">
        <v>-74.764686999999995</v>
      </c>
      <c r="H394" s="9">
        <f t="shared" si="18"/>
        <v>1.5961904761904762</v>
      </c>
      <c r="I394" s="4" t="str">
        <f t="shared" si="19"/>
        <v>Altamente critico &gt;100%</v>
      </c>
      <c r="J394" s="1" t="s">
        <v>13</v>
      </c>
      <c r="K394" s="1" t="str">
        <f t="shared" si="20"/>
        <v>Sin riesgo</v>
      </c>
    </row>
    <row r="395" spans="1:11">
      <c r="A395" s="1" t="s">
        <v>146</v>
      </c>
      <c r="B395" s="6" t="s">
        <v>12</v>
      </c>
      <c r="C395" s="3">
        <v>18.86</v>
      </c>
      <c r="D395" s="3">
        <v>15.69</v>
      </c>
      <c r="E395" s="3">
        <v>40</v>
      </c>
      <c r="F395" s="5">
        <v>10.937182</v>
      </c>
      <c r="G395" s="5">
        <v>-74.764686999999995</v>
      </c>
      <c r="H395" s="9">
        <f t="shared" si="18"/>
        <v>0.47149999999999997</v>
      </c>
      <c r="I395" s="4" t="str">
        <f t="shared" si="19"/>
        <v>Sin riesgo &lt;85%</v>
      </c>
      <c r="J395" s="1" t="s">
        <v>13</v>
      </c>
      <c r="K395" s="1" t="str">
        <f t="shared" si="20"/>
        <v>Sin riesgo</v>
      </c>
    </row>
    <row r="396" spans="1:11">
      <c r="A396" s="1" t="s">
        <v>146</v>
      </c>
      <c r="B396" s="6" t="s">
        <v>14</v>
      </c>
      <c r="C396" s="3">
        <v>18.87</v>
      </c>
      <c r="D396" s="3">
        <v>15.71</v>
      </c>
      <c r="E396" s="3">
        <v>40</v>
      </c>
      <c r="F396" s="5">
        <v>10.937182</v>
      </c>
      <c r="G396" s="5">
        <v>-74.764686999999995</v>
      </c>
      <c r="H396" s="9">
        <f t="shared" si="18"/>
        <v>0.47175</v>
      </c>
      <c r="I396" s="4" t="str">
        <f t="shared" si="19"/>
        <v>Sin riesgo &lt;85%</v>
      </c>
      <c r="J396" s="1" t="s">
        <v>13</v>
      </c>
      <c r="K396" s="1" t="str">
        <f t="shared" si="20"/>
        <v>Sin riesgo</v>
      </c>
    </row>
    <row r="397" spans="1:11">
      <c r="A397" s="1" t="s">
        <v>146</v>
      </c>
      <c r="B397" s="6" t="s">
        <v>15</v>
      </c>
      <c r="C397" s="3">
        <v>18.87</v>
      </c>
      <c r="D397" s="3">
        <v>15.71</v>
      </c>
      <c r="E397" s="3">
        <v>40</v>
      </c>
      <c r="F397" s="5">
        <v>10.937182</v>
      </c>
      <c r="G397" s="5">
        <v>-74.764686999999995</v>
      </c>
      <c r="H397" s="9">
        <f t="shared" si="18"/>
        <v>0.47175</v>
      </c>
      <c r="I397" s="4" t="str">
        <f t="shared" si="19"/>
        <v>Sin riesgo &lt;85%</v>
      </c>
      <c r="J397" s="1" t="s">
        <v>13</v>
      </c>
      <c r="K397" s="1" t="str">
        <f t="shared" si="20"/>
        <v>Sin riesgo</v>
      </c>
    </row>
    <row r="398" spans="1:11">
      <c r="A398" s="1" t="s">
        <v>147</v>
      </c>
      <c r="B398" s="6" t="s">
        <v>12</v>
      </c>
      <c r="C398" s="3">
        <v>48.91</v>
      </c>
      <c r="D398" s="3">
        <v>42.61</v>
      </c>
      <c r="E398" s="3">
        <v>40</v>
      </c>
      <c r="F398" s="4">
        <v>11.026308999999999</v>
      </c>
      <c r="G398" s="4">
        <v>-74.811912000000007</v>
      </c>
      <c r="H398" s="9">
        <f t="shared" si="18"/>
        <v>1.22275</v>
      </c>
      <c r="I398" s="4" t="str">
        <f t="shared" si="19"/>
        <v>Altamente critico &gt;100%</v>
      </c>
      <c r="J398" s="1" t="s">
        <v>13</v>
      </c>
      <c r="K398" s="1" t="str">
        <f t="shared" si="20"/>
        <v>Sin riesgo</v>
      </c>
    </row>
    <row r="399" spans="1:11">
      <c r="A399" s="1" t="s">
        <v>147</v>
      </c>
      <c r="B399" s="6" t="s">
        <v>14</v>
      </c>
      <c r="C399" s="3">
        <v>48.97</v>
      </c>
      <c r="D399" s="3">
        <v>42.66</v>
      </c>
      <c r="E399" s="3">
        <v>40</v>
      </c>
      <c r="F399" s="4">
        <v>11.026308999999999</v>
      </c>
      <c r="G399" s="4">
        <v>-74.811912000000007</v>
      </c>
      <c r="H399" s="9">
        <f t="shared" si="18"/>
        <v>1.2242500000000001</v>
      </c>
      <c r="I399" s="4" t="str">
        <f t="shared" si="19"/>
        <v>Altamente critico &gt;100%</v>
      </c>
      <c r="J399" s="1" t="s">
        <v>13</v>
      </c>
      <c r="K399" s="1" t="str">
        <f t="shared" si="20"/>
        <v>Sin riesgo</v>
      </c>
    </row>
    <row r="400" spans="1:11">
      <c r="A400" s="1" t="s">
        <v>147</v>
      </c>
      <c r="B400" s="6" t="s">
        <v>15</v>
      </c>
      <c r="C400" s="3">
        <v>48.97</v>
      </c>
      <c r="D400" s="3">
        <v>42.66</v>
      </c>
      <c r="E400" s="3">
        <v>40</v>
      </c>
      <c r="F400" s="4">
        <v>11.026308999999999</v>
      </c>
      <c r="G400" s="4">
        <v>-74.811912000000007</v>
      </c>
      <c r="H400" s="9">
        <f t="shared" si="18"/>
        <v>1.2242500000000001</v>
      </c>
      <c r="I400" s="4" t="str">
        <f t="shared" si="19"/>
        <v>Altamente critico &gt;100%</v>
      </c>
      <c r="J400" s="1" t="s">
        <v>13</v>
      </c>
      <c r="K400" s="1" t="str">
        <f t="shared" si="20"/>
        <v>Sin riesgo</v>
      </c>
    </row>
    <row r="401" spans="1:11">
      <c r="A401" s="1" t="s">
        <v>148</v>
      </c>
      <c r="B401" s="6" t="s">
        <v>12</v>
      </c>
      <c r="C401" s="3">
        <v>44.16</v>
      </c>
      <c r="D401" s="3">
        <v>36.840000000000003</v>
      </c>
      <c r="E401" s="3">
        <v>31.5</v>
      </c>
      <c r="F401" s="4">
        <v>10.949057</v>
      </c>
      <c r="G401" s="4">
        <v>-74.786045999999999</v>
      </c>
      <c r="H401" s="9">
        <f t="shared" si="18"/>
        <v>1.4019047619047618</v>
      </c>
      <c r="I401" s="4" t="str">
        <f t="shared" si="19"/>
        <v>Altamente critico &gt;100%</v>
      </c>
      <c r="J401" s="1" t="s">
        <v>13</v>
      </c>
      <c r="K401" s="1" t="str">
        <f t="shared" si="20"/>
        <v>Sin riesgo</v>
      </c>
    </row>
    <row r="402" spans="1:11">
      <c r="A402" s="1" t="s">
        <v>148</v>
      </c>
      <c r="B402" s="6" t="s">
        <v>14</v>
      </c>
      <c r="C402" s="3">
        <v>44.22</v>
      </c>
      <c r="D402" s="3">
        <v>36.89</v>
      </c>
      <c r="E402" s="3">
        <v>31.5</v>
      </c>
      <c r="F402" s="4">
        <v>10.949057</v>
      </c>
      <c r="G402" s="4">
        <v>-74.786045999999999</v>
      </c>
      <c r="H402" s="9">
        <f t="shared" si="18"/>
        <v>1.4038095238095238</v>
      </c>
      <c r="I402" s="4" t="str">
        <f t="shared" si="19"/>
        <v>Altamente critico &gt;100%</v>
      </c>
      <c r="J402" s="1" t="s">
        <v>13</v>
      </c>
      <c r="K402" s="1" t="str">
        <f t="shared" si="20"/>
        <v>Sin riesgo</v>
      </c>
    </row>
    <row r="403" spans="1:11">
      <c r="A403" s="1" t="s">
        <v>148</v>
      </c>
      <c r="B403" s="6" t="s">
        <v>15</v>
      </c>
      <c r="C403" s="3">
        <v>44.22</v>
      </c>
      <c r="D403" s="3">
        <v>36.89</v>
      </c>
      <c r="E403" s="3">
        <v>31.5</v>
      </c>
      <c r="F403" s="4">
        <v>10.949057</v>
      </c>
      <c r="G403" s="4">
        <v>-74.786045999999999</v>
      </c>
      <c r="H403" s="9">
        <f t="shared" si="18"/>
        <v>1.4038095238095238</v>
      </c>
      <c r="I403" s="4" t="str">
        <f t="shared" si="19"/>
        <v>Altamente critico &gt;100%</v>
      </c>
      <c r="J403" s="1" t="s">
        <v>13</v>
      </c>
      <c r="K403" s="1" t="str">
        <f t="shared" si="20"/>
        <v>Sin riesgo</v>
      </c>
    </row>
    <row r="404" spans="1:11">
      <c r="A404" s="1" t="s">
        <v>149</v>
      </c>
      <c r="B404" s="6" t="s">
        <v>12</v>
      </c>
      <c r="C404" s="3">
        <v>27.01</v>
      </c>
      <c r="D404" s="3">
        <v>30.17</v>
      </c>
      <c r="E404" s="3">
        <v>31.5</v>
      </c>
      <c r="F404" s="4">
        <v>10.92808</v>
      </c>
      <c r="G404" s="4">
        <v>-74.793099999999995</v>
      </c>
      <c r="H404" s="9">
        <f t="shared" si="18"/>
        <v>0.95777777777777784</v>
      </c>
      <c r="I404" s="4" t="str">
        <f t="shared" si="19"/>
        <v>Critico &gt;95%</v>
      </c>
      <c r="J404" s="1" t="s">
        <v>13</v>
      </c>
      <c r="K404" s="1" t="str">
        <f t="shared" si="20"/>
        <v>Sin riesgo</v>
      </c>
    </row>
    <row r="405" spans="1:11">
      <c r="A405" s="1" t="s">
        <v>149</v>
      </c>
      <c r="B405" s="6" t="s">
        <v>14</v>
      </c>
      <c r="C405" s="3">
        <v>27.03</v>
      </c>
      <c r="D405" s="3">
        <v>30.2</v>
      </c>
      <c r="E405" s="3">
        <v>31.5</v>
      </c>
      <c r="F405" s="4">
        <v>10.92808</v>
      </c>
      <c r="G405" s="4">
        <v>-74.793099999999995</v>
      </c>
      <c r="H405" s="9">
        <f t="shared" si="18"/>
        <v>0.95873015873015865</v>
      </c>
      <c r="I405" s="4" t="str">
        <f t="shared" si="19"/>
        <v>Critico &gt;95%</v>
      </c>
      <c r="J405" s="1" t="s">
        <v>13</v>
      </c>
      <c r="K405" s="1" t="str">
        <f t="shared" si="20"/>
        <v>Sin riesgo</v>
      </c>
    </row>
    <row r="406" spans="1:11">
      <c r="A406" s="1" t="s">
        <v>149</v>
      </c>
      <c r="B406" s="6" t="s">
        <v>15</v>
      </c>
      <c r="C406" s="3">
        <v>27.03</v>
      </c>
      <c r="D406" s="3">
        <v>30.2</v>
      </c>
      <c r="E406" s="3">
        <v>31.5</v>
      </c>
      <c r="F406" s="4">
        <v>10.92808</v>
      </c>
      <c r="G406" s="4">
        <v>-74.793099999999995</v>
      </c>
      <c r="H406" s="9">
        <f t="shared" si="18"/>
        <v>0.95873015873015865</v>
      </c>
      <c r="I406" s="4" t="str">
        <f t="shared" si="19"/>
        <v>Critico &gt;95%</v>
      </c>
      <c r="J406" s="1" t="s">
        <v>13</v>
      </c>
      <c r="K406" s="1" t="str">
        <f t="shared" si="20"/>
        <v>Sin riesgo</v>
      </c>
    </row>
    <row r="407" spans="1:11">
      <c r="A407" s="1" t="s">
        <v>150</v>
      </c>
      <c r="B407" s="6" t="s">
        <v>12</v>
      </c>
      <c r="C407" s="3">
        <v>19.03</v>
      </c>
      <c r="D407" s="3">
        <v>23.73</v>
      </c>
      <c r="E407" s="3">
        <v>31.5</v>
      </c>
      <c r="F407" s="4">
        <v>4.7366223500000002</v>
      </c>
      <c r="G407" s="4">
        <v>-74.032607380000002</v>
      </c>
      <c r="H407" s="9">
        <f t="shared" si="18"/>
        <v>0.7533333333333333</v>
      </c>
      <c r="I407" s="4" t="str">
        <f t="shared" si="19"/>
        <v>Sin riesgo &lt;85%</v>
      </c>
      <c r="J407" s="1" t="s">
        <v>13</v>
      </c>
      <c r="K407" s="1" t="str">
        <f t="shared" si="20"/>
        <v>Sin riesgo</v>
      </c>
    </row>
    <row r="408" spans="1:11">
      <c r="A408" s="1" t="s">
        <v>150</v>
      </c>
      <c r="B408" s="6" t="s">
        <v>14</v>
      </c>
      <c r="C408" s="3">
        <v>19.38</v>
      </c>
      <c r="D408" s="3">
        <v>24.23</v>
      </c>
      <c r="E408" s="3">
        <v>31.5</v>
      </c>
      <c r="F408" s="4">
        <v>4.7366223500000002</v>
      </c>
      <c r="G408" s="4">
        <v>-74.032607380000002</v>
      </c>
      <c r="H408" s="9">
        <f t="shared" si="18"/>
        <v>0.76920634920634923</v>
      </c>
      <c r="I408" s="4" t="str">
        <f t="shared" si="19"/>
        <v>Sin riesgo &lt;85%</v>
      </c>
      <c r="J408" s="1" t="s">
        <v>13</v>
      </c>
      <c r="K408" s="1" t="str">
        <f t="shared" si="20"/>
        <v>Sin riesgo</v>
      </c>
    </row>
    <row r="409" spans="1:11">
      <c r="A409" s="1" t="s">
        <v>150</v>
      </c>
      <c r="B409" s="6" t="s">
        <v>15</v>
      </c>
      <c r="C409" s="3">
        <v>19.399999999999999</v>
      </c>
      <c r="D409" s="3">
        <v>24.26</v>
      </c>
      <c r="E409" s="3">
        <v>31.5</v>
      </c>
      <c r="F409" s="4">
        <v>4.7366223500000002</v>
      </c>
      <c r="G409" s="4">
        <v>-74.032607380000002</v>
      </c>
      <c r="H409" s="9">
        <f t="shared" si="18"/>
        <v>0.77015873015873015</v>
      </c>
      <c r="I409" s="4" t="str">
        <f t="shared" si="19"/>
        <v>Sin riesgo &lt;85%</v>
      </c>
      <c r="J409" s="1" t="s">
        <v>13</v>
      </c>
      <c r="K409" s="1" t="str">
        <f t="shared" si="20"/>
        <v>Sin riesgo</v>
      </c>
    </row>
    <row r="410" spans="1:11">
      <c r="A410" s="1" t="s">
        <v>151</v>
      </c>
      <c r="B410" s="6" t="s">
        <v>12</v>
      </c>
      <c r="C410" s="3">
        <v>26.2</v>
      </c>
      <c r="D410" s="3">
        <v>31.17</v>
      </c>
      <c r="E410" s="3">
        <v>40</v>
      </c>
      <c r="F410" s="4">
        <v>4.7142485199999999</v>
      </c>
      <c r="G410" s="4">
        <v>-74.052063840000002</v>
      </c>
      <c r="H410" s="9">
        <f t="shared" si="18"/>
        <v>0.77925</v>
      </c>
      <c r="I410" s="4" t="str">
        <f t="shared" si="19"/>
        <v>Sin riesgo &lt;85%</v>
      </c>
      <c r="J410" s="1" t="s">
        <v>13</v>
      </c>
      <c r="K410" s="1" t="str">
        <f t="shared" si="20"/>
        <v>Sin riesgo</v>
      </c>
    </row>
    <row r="411" spans="1:11">
      <c r="A411" s="1" t="s">
        <v>151</v>
      </c>
      <c r="B411" s="6" t="s">
        <v>14</v>
      </c>
      <c r="C411" s="3">
        <v>26.79</v>
      </c>
      <c r="D411" s="3">
        <v>31.92</v>
      </c>
      <c r="E411" s="3">
        <v>40</v>
      </c>
      <c r="F411" s="4">
        <v>4.7142485199999999</v>
      </c>
      <c r="G411" s="4">
        <v>-74.052063840000002</v>
      </c>
      <c r="H411" s="9">
        <f t="shared" si="18"/>
        <v>0.79800000000000004</v>
      </c>
      <c r="I411" s="4" t="str">
        <f t="shared" si="19"/>
        <v>Sin riesgo &lt;85%</v>
      </c>
      <c r="J411" s="1" t="s">
        <v>13</v>
      </c>
      <c r="K411" s="1" t="str">
        <f t="shared" si="20"/>
        <v>Sin riesgo</v>
      </c>
    </row>
    <row r="412" spans="1:11">
      <c r="A412" s="1" t="s">
        <v>151</v>
      </c>
      <c r="B412" s="6" t="s">
        <v>15</v>
      </c>
      <c r="C412" s="3">
        <v>26.81</v>
      </c>
      <c r="D412" s="3">
        <v>31.98</v>
      </c>
      <c r="E412" s="3">
        <v>40</v>
      </c>
      <c r="F412" s="4">
        <v>4.7142485199999999</v>
      </c>
      <c r="G412" s="4">
        <v>-74.052063840000002</v>
      </c>
      <c r="H412" s="9">
        <f t="shared" si="18"/>
        <v>0.79949999999999999</v>
      </c>
      <c r="I412" s="4" t="str">
        <f t="shared" si="19"/>
        <v>Sin riesgo &lt;85%</v>
      </c>
      <c r="J412" s="1" t="s">
        <v>13</v>
      </c>
      <c r="K412" s="1" t="str">
        <f t="shared" si="20"/>
        <v>Sin riesgo</v>
      </c>
    </row>
    <row r="413" spans="1:11">
      <c r="A413" s="1" t="s">
        <v>152</v>
      </c>
      <c r="B413" s="6" t="s">
        <v>12</v>
      </c>
      <c r="C413" s="3">
        <v>23.61</v>
      </c>
      <c r="D413" s="3">
        <v>27.64</v>
      </c>
      <c r="E413" s="3">
        <v>40</v>
      </c>
      <c r="F413" s="4">
        <v>4.5921557000000002</v>
      </c>
      <c r="G413" s="4">
        <v>-74.091468950000007</v>
      </c>
      <c r="H413" s="9">
        <f t="shared" si="18"/>
        <v>0.69100000000000006</v>
      </c>
      <c r="I413" s="4" t="str">
        <f t="shared" si="19"/>
        <v>Sin riesgo &lt;85%</v>
      </c>
      <c r="J413" s="1" t="s">
        <v>13</v>
      </c>
      <c r="K413" s="1" t="str">
        <f t="shared" si="20"/>
        <v>Sin riesgo</v>
      </c>
    </row>
    <row r="414" spans="1:11">
      <c r="A414" s="1" t="s">
        <v>152</v>
      </c>
      <c r="B414" s="6" t="s">
        <v>14</v>
      </c>
      <c r="C414" s="3">
        <v>24.25</v>
      </c>
      <c r="D414" s="3">
        <v>28.42</v>
      </c>
      <c r="E414" s="3">
        <v>40</v>
      </c>
      <c r="F414" s="4">
        <v>4.5921557000000002</v>
      </c>
      <c r="G414" s="4">
        <v>-74.091468950000007</v>
      </c>
      <c r="H414" s="9">
        <f t="shared" si="18"/>
        <v>0.71050000000000002</v>
      </c>
      <c r="I414" s="4" t="str">
        <f t="shared" si="19"/>
        <v>Sin riesgo &lt;85%</v>
      </c>
      <c r="J414" s="1" t="s">
        <v>13</v>
      </c>
      <c r="K414" s="1" t="str">
        <f t="shared" si="20"/>
        <v>Sin riesgo</v>
      </c>
    </row>
    <row r="415" spans="1:11">
      <c r="A415" s="1" t="s">
        <v>152</v>
      </c>
      <c r="B415" s="6" t="s">
        <v>15</v>
      </c>
      <c r="C415" s="3">
        <v>24.27</v>
      </c>
      <c r="D415" s="3">
        <v>28.47</v>
      </c>
      <c r="E415" s="3">
        <v>40</v>
      </c>
      <c r="F415" s="4">
        <v>4.5921557000000002</v>
      </c>
      <c r="G415" s="4">
        <v>-74.091468950000007</v>
      </c>
      <c r="H415" s="9">
        <f t="shared" si="18"/>
        <v>0.71174999999999999</v>
      </c>
      <c r="I415" s="4" t="str">
        <f t="shared" si="19"/>
        <v>Sin riesgo &lt;85%</v>
      </c>
      <c r="J415" s="1" t="s">
        <v>13</v>
      </c>
      <c r="K415" s="1" t="str">
        <f t="shared" si="20"/>
        <v>Sin riesgo</v>
      </c>
    </row>
    <row r="416" spans="1:11">
      <c r="A416" s="1" t="s">
        <v>153</v>
      </c>
      <c r="B416" s="6" t="s">
        <v>12</v>
      </c>
      <c r="C416" s="3">
        <v>40.28</v>
      </c>
      <c r="D416" s="3">
        <v>40.94</v>
      </c>
      <c r="E416" s="3">
        <v>50</v>
      </c>
      <c r="F416" s="4">
        <v>4.7989785100000004</v>
      </c>
      <c r="G416" s="4">
        <v>-74.177319909999994</v>
      </c>
      <c r="H416" s="9">
        <f t="shared" si="18"/>
        <v>0.81879999999999997</v>
      </c>
      <c r="I416" s="4" t="str">
        <f t="shared" si="19"/>
        <v>Sin riesgo &lt;85%</v>
      </c>
      <c r="J416" s="1" t="s">
        <v>13</v>
      </c>
      <c r="K416" s="1" t="str">
        <f t="shared" si="20"/>
        <v>Sin riesgo</v>
      </c>
    </row>
    <row r="417" spans="1:11">
      <c r="A417" s="1" t="s">
        <v>153</v>
      </c>
      <c r="B417" s="6" t="s">
        <v>14</v>
      </c>
      <c r="C417" s="3">
        <v>41.17</v>
      </c>
      <c r="D417" s="3">
        <v>41.98</v>
      </c>
      <c r="E417" s="3">
        <v>50</v>
      </c>
      <c r="F417" s="4">
        <v>4.7989785100000004</v>
      </c>
      <c r="G417" s="4">
        <v>-74.177319909999994</v>
      </c>
      <c r="H417" s="9">
        <f t="shared" si="18"/>
        <v>0.8395999999999999</v>
      </c>
      <c r="I417" s="4" t="str">
        <f t="shared" si="19"/>
        <v>Sin riesgo &lt;85%</v>
      </c>
      <c r="J417" s="1" t="s">
        <v>13</v>
      </c>
      <c r="K417" s="1" t="str">
        <f t="shared" si="20"/>
        <v>Sin riesgo</v>
      </c>
    </row>
    <row r="418" spans="1:11">
      <c r="A418" s="1" t="s">
        <v>153</v>
      </c>
      <c r="B418" s="6" t="s">
        <v>15</v>
      </c>
      <c r="C418" s="3">
        <v>41.21</v>
      </c>
      <c r="D418" s="3">
        <v>42.05</v>
      </c>
      <c r="E418" s="3">
        <v>50</v>
      </c>
      <c r="F418" s="4">
        <v>4.7989785100000004</v>
      </c>
      <c r="G418" s="4">
        <v>-74.177319909999994</v>
      </c>
      <c r="H418" s="9">
        <f t="shared" si="18"/>
        <v>0.84099999999999997</v>
      </c>
      <c r="I418" s="4" t="str">
        <f t="shared" si="19"/>
        <v>Sin riesgo &lt;85%</v>
      </c>
      <c r="J418" s="1" t="s">
        <v>13</v>
      </c>
      <c r="K418" s="1" t="str">
        <f t="shared" si="20"/>
        <v>Sin riesgo</v>
      </c>
    </row>
    <row r="419" spans="1:11">
      <c r="A419" s="1" t="s">
        <v>154</v>
      </c>
      <c r="B419" s="6" t="s">
        <v>12</v>
      </c>
      <c r="C419" s="3">
        <v>35.049999999999997</v>
      </c>
      <c r="D419" s="3">
        <v>34.82</v>
      </c>
      <c r="E419" s="3">
        <v>40</v>
      </c>
      <c r="F419" s="4">
        <v>4.7989785100000004</v>
      </c>
      <c r="G419" s="4">
        <v>-74.177319909999994</v>
      </c>
      <c r="H419" s="9">
        <f t="shared" si="18"/>
        <v>0.87624999999999997</v>
      </c>
      <c r="I419" s="4" t="str">
        <f t="shared" si="19"/>
        <v>En riesgo &gt;85%</v>
      </c>
      <c r="J419" s="1" t="s">
        <v>13</v>
      </c>
      <c r="K419" s="1" t="str">
        <f t="shared" si="20"/>
        <v>Sin riesgo</v>
      </c>
    </row>
    <row r="420" spans="1:11">
      <c r="A420" s="1" t="s">
        <v>154</v>
      </c>
      <c r="B420" s="6" t="s">
        <v>14</v>
      </c>
      <c r="C420" s="3">
        <v>35.65</v>
      </c>
      <c r="D420" s="3">
        <v>35.44</v>
      </c>
      <c r="E420" s="3">
        <v>40</v>
      </c>
      <c r="F420" s="4">
        <v>4.7989785100000004</v>
      </c>
      <c r="G420" s="4">
        <v>-74.177319909999994</v>
      </c>
      <c r="H420" s="9">
        <f t="shared" si="18"/>
        <v>0.89124999999999999</v>
      </c>
      <c r="I420" s="4" t="str">
        <f t="shared" si="19"/>
        <v>En riesgo &gt;85%</v>
      </c>
      <c r="J420" s="1" t="s">
        <v>13</v>
      </c>
      <c r="K420" s="1" t="str">
        <f t="shared" si="20"/>
        <v>Sin riesgo</v>
      </c>
    </row>
    <row r="421" spans="1:11">
      <c r="A421" s="1" t="s">
        <v>154</v>
      </c>
      <c r="B421" s="6" t="s">
        <v>15</v>
      </c>
      <c r="C421" s="3">
        <v>35.72</v>
      </c>
      <c r="D421" s="3">
        <v>35.549999999999997</v>
      </c>
      <c r="E421" s="3">
        <v>40</v>
      </c>
      <c r="F421" s="4">
        <v>4.7989785100000004</v>
      </c>
      <c r="G421" s="4">
        <v>-74.177319909999994</v>
      </c>
      <c r="H421" s="9">
        <f t="shared" si="18"/>
        <v>0.89300000000000002</v>
      </c>
      <c r="I421" s="4" t="str">
        <f t="shared" si="19"/>
        <v>En riesgo &gt;85%</v>
      </c>
      <c r="J421" s="1" t="s">
        <v>13</v>
      </c>
      <c r="K421" s="1" t="str">
        <f t="shared" si="20"/>
        <v>Sin riesgo</v>
      </c>
    </row>
    <row r="422" spans="1:11">
      <c r="A422" s="1" t="s">
        <v>155</v>
      </c>
      <c r="B422" s="6" t="s">
        <v>12</v>
      </c>
      <c r="C422" s="3">
        <v>15.89</v>
      </c>
      <c r="D422" s="3">
        <v>16.7</v>
      </c>
      <c r="E422" s="3">
        <v>40</v>
      </c>
      <c r="F422" s="4">
        <v>4.7989785100000004</v>
      </c>
      <c r="G422" s="4">
        <v>-74.177319909999994</v>
      </c>
      <c r="H422" s="9">
        <f t="shared" si="18"/>
        <v>0.41749999999999998</v>
      </c>
      <c r="I422" s="4" t="str">
        <f t="shared" si="19"/>
        <v>Sin riesgo &lt;85%</v>
      </c>
      <c r="J422" s="1" t="s">
        <v>13</v>
      </c>
      <c r="K422" s="1" t="str">
        <f t="shared" si="20"/>
        <v>Sin riesgo</v>
      </c>
    </row>
    <row r="423" spans="1:11">
      <c r="A423" s="1" t="s">
        <v>155</v>
      </c>
      <c r="B423" s="6" t="s">
        <v>14</v>
      </c>
      <c r="C423" s="3">
        <v>16.18</v>
      </c>
      <c r="D423" s="3">
        <v>17.04</v>
      </c>
      <c r="E423" s="3">
        <v>40</v>
      </c>
      <c r="F423" s="4">
        <v>4.7989785100000004</v>
      </c>
      <c r="G423" s="4">
        <v>-74.177319909999994</v>
      </c>
      <c r="H423" s="9">
        <f t="shared" si="18"/>
        <v>0.42599999999999999</v>
      </c>
      <c r="I423" s="4" t="str">
        <f t="shared" si="19"/>
        <v>Sin riesgo &lt;85%</v>
      </c>
      <c r="J423" s="1" t="s">
        <v>13</v>
      </c>
      <c r="K423" s="1" t="str">
        <f t="shared" si="20"/>
        <v>Sin riesgo</v>
      </c>
    </row>
    <row r="424" spans="1:11">
      <c r="A424" s="1" t="s">
        <v>155</v>
      </c>
      <c r="B424" s="6" t="s">
        <v>15</v>
      </c>
      <c r="C424" s="3">
        <v>16.2</v>
      </c>
      <c r="D424" s="3">
        <v>17.059999999999999</v>
      </c>
      <c r="E424" s="3">
        <v>40</v>
      </c>
      <c r="F424" s="4">
        <v>4.7989785100000004</v>
      </c>
      <c r="G424" s="4">
        <v>-74.177319909999994</v>
      </c>
      <c r="H424" s="9">
        <f t="shared" si="18"/>
        <v>0.42649999999999999</v>
      </c>
      <c r="I424" s="4" t="str">
        <f t="shared" si="19"/>
        <v>Sin riesgo &lt;85%</v>
      </c>
      <c r="J424" s="1" t="s">
        <v>13</v>
      </c>
      <c r="K424" s="1" t="str">
        <f t="shared" si="20"/>
        <v>Sin riesgo</v>
      </c>
    </row>
    <row r="425" spans="1:11">
      <c r="A425" s="1" t="s">
        <v>156</v>
      </c>
      <c r="B425" s="6" t="s">
        <v>12</v>
      </c>
      <c r="C425" s="3">
        <v>30.27</v>
      </c>
      <c r="D425" s="3">
        <v>28.76</v>
      </c>
      <c r="E425" s="3">
        <v>31.5</v>
      </c>
      <c r="F425" s="4">
        <v>4.6839421400000001</v>
      </c>
      <c r="G425" s="4">
        <v>-74.258715949999996</v>
      </c>
      <c r="H425" s="9">
        <f t="shared" si="18"/>
        <v>0.96095238095238089</v>
      </c>
      <c r="I425" s="4" t="str">
        <f t="shared" si="19"/>
        <v>Critico &gt;95%</v>
      </c>
      <c r="J425" s="1" t="s">
        <v>13</v>
      </c>
      <c r="K425" s="1" t="str">
        <f t="shared" si="20"/>
        <v>Sin riesgo</v>
      </c>
    </row>
    <row r="426" spans="1:11">
      <c r="A426" s="1" t="s">
        <v>156</v>
      </c>
      <c r="B426" s="6" t="s">
        <v>14</v>
      </c>
      <c r="C426" s="3">
        <v>30.73</v>
      </c>
      <c r="D426" s="3">
        <v>29.21</v>
      </c>
      <c r="E426" s="3">
        <v>31.5</v>
      </c>
      <c r="F426" s="4">
        <v>4.6839421400000001</v>
      </c>
      <c r="G426" s="4">
        <v>-74.258715949999996</v>
      </c>
      <c r="H426" s="9">
        <f t="shared" si="18"/>
        <v>0.97555555555555562</v>
      </c>
      <c r="I426" s="4" t="str">
        <f t="shared" si="19"/>
        <v>Critico &gt;95%</v>
      </c>
      <c r="J426" s="1" t="s">
        <v>13</v>
      </c>
      <c r="K426" s="1" t="str">
        <f t="shared" si="20"/>
        <v>Sin riesgo</v>
      </c>
    </row>
    <row r="427" spans="1:11">
      <c r="A427" s="1" t="s">
        <v>156</v>
      </c>
      <c r="B427" s="6" t="s">
        <v>15</v>
      </c>
      <c r="C427" s="3">
        <v>31.28</v>
      </c>
      <c r="D427" s="3">
        <v>29.96</v>
      </c>
      <c r="E427" s="3">
        <v>31.5</v>
      </c>
      <c r="F427" s="4">
        <v>4.6839421400000001</v>
      </c>
      <c r="G427" s="4">
        <v>-74.258715949999996</v>
      </c>
      <c r="H427" s="9">
        <f t="shared" si="18"/>
        <v>0.99301587301587302</v>
      </c>
      <c r="I427" s="4" t="str">
        <f t="shared" si="19"/>
        <v>Critico &gt;95%</v>
      </c>
      <c r="J427" s="1" t="s">
        <v>13</v>
      </c>
      <c r="K427" s="1" t="str">
        <f t="shared" si="20"/>
        <v>Sin riesgo</v>
      </c>
    </row>
    <row r="428" spans="1:11">
      <c r="A428" s="1" t="s">
        <v>157</v>
      </c>
      <c r="B428" s="6" t="s">
        <v>12</v>
      </c>
      <c r="C428" s="3">
        <v>20.54</v>
      </c>
      <c r="D428" s="3">
        <v>22.47</v>
      </c>
      <c r="E428" s="3">
        <v>40</v>
      </c>
      <c r="F428" s="4">
        <v>4.6839421400000001</v>
      </c>
      <c r="G428" s="4">
        <v>-74.258715949999996</v>
      </c>
      <c r="H428" s="9">
        <f t="shared" si="18"/>
        <v>0.56174999999999997</v>
      </c>
      <c r="I428" s="4" t="str">
        <f t="shared" si="19"/>
        <v>Sin riesgo &lt;85%</v>
      </c>
      <c r="J428" s="1" t="s">
        <v>13</v>
      </c>
      <c r="K428" s="1" t="str">
        <f t="shared" si="20"/>
        <v>Sin riesgo</v>
      </c>
    </row>
    <row r="429" spans="1:11">
      <c r="A429" s="1" t="s">
        <v>157</v>
      </c>
      <c r="B429" s="6" t="s">
        <v>14</v>
      </c>
      <c r="C429" s="3">
        <v>20.83</v>
      </c>
      <c r="D429" s="3">
        <v>22.8</v>
      </c>
      <c r="E429" s="3">
        <v>40</v>
      </c>
      <c r="F429" s="4">
        <v>4.6839421400000001</v>
      </c>
      <c r="G429" s="4">
        <v>-74.258715949999996</v>
      </c>
      <c r="H429" s="9">
        <f t="shared" si="18"/>
        <v>0.57000000000000006</v>
      </c>
      <c r="I429" s="4" t="str">
        <f t="shared" si="19"/>
        <v>Sin riesgo &lt;85%</v>
      </c>
      <c r="J429" s="1" t="s">
        <v>13</v>
      </c>
      <c r="K429" s="1" t="str">
        <f t="shared" si="20"/>
        <v>Sin riesgo</v>
      </c>
    </row>
    <row r="430" spans="1:11">
      <c r="A430" s="1" t="s">
        <v>157</v>
      </c>
      <c r="B430" s="6" t="s">
        <v>15</v>
      </c>
      <c r="C430" s="3">
        <v>20.92</v>
      </c>
      <c r="D430" s="3">
        <v>22.96</v>
      </c>
      <c r="E430" s="3">
        <v>40</v>
      </c>
      <c r="F430" s="4">
        <v>4.6839421400000001</v>
      </c>
      <c r="G430" s="4">
        <v>-74.258715949999996</v>
      </c>
      <c r="H430" s="9">
        <f t="shared" si="18"/>
        <v>0.57400000000000007</v>
      </c>
      <c r="I430" s="4" t="str">
        <f t="shared" si="19"/>
        <v>Sin riesgo &lt;85%</v>
      </c>
      <c r="J430" s="1" t="s">
        <v>13</v>
      </c>
      <c r="K430" s="1" t="str">
        <f t="shared" si="20"/>
        <v>Sin riesgo</v>
      </c>
    </row>
    <row r="431" spans="1:11">
      <c r="A431" s="1" t="s">
        <v>158</v>
      </c>
      <c r="B431" s="6" t="s">
        <v>12</v>
      </c>
      <c r="C431" s="3">
        <v>11.57</v>
      </c>
      <c r="D431" s="3">
        <v>9.35</v>
      </c>
      <c r="E431" s="3">
        <v>40</v>
      </c>
      <c r="F431" s="4">
        <v>4.35766455</v>
      </c>
      <c r="G431" s="4">
        <v>-74.793335389999996</v>
      </c>
      <c r="H431" s="9">
        <f t="shared" si="18"/>
        <v>0.28925000000000001</v>
      </c>
      <c r="I431" s="4" t="str">
        <f t="shared" si="19"/>
        <v>Sin riesgo &lt;85%</v>
      </c>
      <c r="J431" s="1" t="s">
        <v>13</v>
      </c>
      <c r="K431" s="1" t="str">
        <f t="shared" si="20"/>
        <v>Sin riesgo</v>
      </c>
    </row>
    <row r="432" spans="1:11">
      <c r="A432" s="1" t="s">
        <v>158</v>
      </c>
      <c r="B432" s="6" t="s">
        <v>14</v>
      </c>
      <c r="C432" s="3">
        <v>12.11</v>
      </c>
      <c r="D432" s="3">
        <v>9.68</v>
      </c>
      <c r="E432" s="3">
        <v>40</v>
      </c>
      <c r="F432" s="4">
        <v>4.35766455</v>
      </c>
      <c r="G432" s="4">
        <v>-74.793335389999996</v>
      </c>
      <c r="H432" s="9">
        <f t="shared" si="18"/>
        <v>0.30274999999999996</v>
      </c>
      <c r="I432" s="4" t="str">
        <f t="shared" si="19"/>
        <v>Sin riesgo &lt;85%</v>
      </c>
      <c r="J432" s="1" t="s">
        <v>13</v>
      </c>
      <c r="K432" s="1" t="str">
        <f t="shared" si="20"/>
        <v>Sin riesgo</v>
      </c>
    </row>
    <row r="433" spans="1:11">
      <c r="A433" s="1" t="s">
        <v>158</v>
      </c>
      <c r="B433" s="6" t="s">
        <v>15</v>
      </c>
      <c r="C433" s="3">
        <v>12.11</v>
      </c>
      <c r="D433" s="3">
        <v>9.68</v>
      </c>
      <c r="E433" s="3">
        <v>40</v>
      </c>
      <c r="F433" s="4">
        <v>4.35766455</v>
      </c>
      <c r="G433" s="4">
        <v>-74.793335389999996</v>
      </c>
      <c r="H433" s="9">
        <f t="shared" si="18"/>
        <v>0.30274999999999996</v>
      </c>
      <c r="I433" s="4" t="str">
        <f t="shared" si="19"/>
        <v>Sin riesgo &lt;85%</v>
      </c>
      <c r="J433" s="1" t="s">
        <v>13</v>
      </c>
      <c r="K433" s="1" t="str">
        <f t="shared" si="20"/>
        <v>Sin riesgo</v>
      </c>
    </row>
    <row r="434" spans="1:11">
      <c r="A434" s="1" t="s">
        <v>159</v>
      </c>
      <c r="B434" s="6" t="s">
        <v>12</v>
      </c>
      <c r="C434" s="3">
        <v>11.97</v>
      </c>
      <c r="D434" s="3">
        <v>16.86</v>
      </c>
      <c r="E434" s="3">
        <v>31.5</v>
      </c>
      <c r="F434" s="4">
        <v>4.7177806699999998</v>
      </c>
      <c r="G434" s="4">
        <v>-74.118805750000007</v>
      </c>
      <c r="H434" s="9">
        <f t="shared" si="18"/>
        <v>0.53523809523809518</v>
      </c>
      <c r="I434" s="4" t="str">
        <f t="shared" si="19"/>
        <v>Sin riesgo &lt;85%</v>
      </c>
      <c r="J434" s="1" t="s">
        <v>13</v>
      </c>
      <c r="K434" s="1" t="str">
        <f t="shared" si="20"/>
        <v>Sin riesgo</v>
      </c>
    </row>
    <row r="435" spans="1:11">
      <c r="A435" s="1" t="s">
        <v>159</v>
      </c>
      <c r="B435" s="6" t="s">
        <v>14</v>
      </c>
      <c r="C435" s="3">
        <v>12.16</v>
      </c>
      <c r="D435" s="3">
        <v>17.149999999999999</v>
      </c>
      <c r="E435" s="3">
        <v>31.5</v>
      </c>
      <c r="F435" s="4">
        <v>4.7177806699999998</v>
      </c>
      <c r="G435" s="4">
        <v>-74.118805750000007</v>
      </c>
      <c r="H435" s="9">
        <f t="shared" si="18"/>
        <v>0.5444444444444444</v>
      </c>
      <c r="I435" s="4" t="str">
        <f t="shared" si="19"/>
        <v>Sin riesgo &lt;85%</v>
      </c>
      <c r="J435" s="1" t="s">
        <v>13</v>
      </c>
      <c r="K435" s="1" t="str">
        <f t="shared" si="20"/>
        <v>Sin riesgo</v>
      </c>
    </row>
    <row r="436" spans="1:11">
      <c r="A436" s="1" t="s">
        <v>159</v>
      </c>
      <c r="B436" s="6" t="s">
        <v>15</v>
      </c>
      <c r="C436" s="3">
        <v>12.17</v>
      </c>
      <c r="D436" s="3">
        <v>17.2</v>
      </c>
      <c r="E436" s="3">
        <v>31.5</v>
      </c>
      <c r="F436" s="4">
        <v>4.7177806699999998</v>
      </c>
      <c r="G436" s="4">
        <v>-74.118805750000007</v>
      </c>
      <c r="H436" s="9">
        <f t="shared" si="18"/>
        <v>0.54603174603174598</v>
      </c>
      <c r="I436" s="4" t="str">
        <f t="shared" si="19"/>
        <v>Sin riesgo &lt;85%</v>
      </c>
      <c r="J436" s="1" t="s">
        <v>13</v>
      </c>
      <c r="K436" s="1" t="str">
        <f t="shared" si="20"/>
        <v>Sin riesgo</v>
      </c>
    </row>
    <row r="437" spans="1:11">
      <c r="A437" s="1" t="s">
        <v>160</v>
      </c>
      <c r="B437" s="6" t="s">
        <v>12</v>
      </c>
      <c r="C437" s="3">
        <v>19.72</v>
      </c>
      <c r="D437" s="3">
        <v>25.51</v>
      </c>
      <c r="E437" s="3">
        <v>40</v>
      </c>
      <c r="F437" s="4">
        <v>4.5991878799999997</v>
      </c>
      <c r="G437" s="4">
        <v>-74.163180220000001</v>
      </c>
      <c r="H437" s="9">
        <f t="shared" si="18"/>
        <v>0.63775000000000004</v>
      </c>
      <c r="I437" s="4" t="str">
        <f t="shared" si="19"/>
        <v>Sin riesgo &lt;85%</v>
      </c>
      <c r="J437" s="1" t="s">
        <v>13</v>
      </c>
      <c r="K437" s="1" t="str">
        <f t="shared" si="20"/>
        <v>Sin riesgo</v>
      </c>
    </row>
    <row r="438" spans="1:11">
      <c r="A438" s="1" t="s">
        <v>160</v>
      </c>
      <c r="B438" s="6" t="s">
        <v>14</v>
      </c>
      <c r="C438" s="3">
        <v>20.13</v>
      </c>
      <c r="D438" s="3">
        <v>26.17</v>
      </c>
      <c r="E438" s="3">
        <v>40</v>
      </c>
      <c r="F438" s="4">
        <v>4.5991878799999997</v>
      </c>
      <c r="G438" s="4">
        <v>-74.163180220000001</v>
      </c>
      <c r="H438" s="9">
        <f t="shared" si="18"/>
        <v>0.65425</v>
      </c>
      <c r="I438" s="4" t="str">
        <f t="shared" si="19"/>
        <v>Sin riesgo &lt;85%</v>
      </c>
      <c r="J438" s="1" t="s">
        <v>13</v>
      </c>
      <c r="K438" s="1" t="str">
        <f t="shared" si="20"/>
        <v>Sin riesgo</v>
      </c>
    </row>
    <row r="439" spans="1:11">
      <c r="A439" s="1" t="s">
        <v>160</v>
      </c>
      <c r="B439" s="6" t="s">
        <v>15</v>
      </c>
      <c r="C439" s="3">
        <v>20.14</v>
      </c>
      <c r="D439" s="3">
        <v>26.2</v>
      </c>
      <c r="E439" s="3">
        <v>40</v>
      </c>
      <c r="F439" s="4">
        <v>4.5991878799999997</v>
      </c>
      <c r="G439" s="4">
        <v>-74.163180220000001</v>
      </c>
      <c r="H439" s="9">
        <f t="shared" si="18"/>
        <v>0.65500000000000003</v>
      </c>
      <c r="I439" s="4" t="str">
        <f t="shared" si="19"/>
        <v>Sin riesgo &lt;85%</v>
      </c>
      <c r="J439" s="1" t="s">
        <v>13</v>
      </c>
      <c r="K439" s="1" t="str">
        <f t="shared" si="20"/>
        <v>Sin riesgo</v>
      </c>
    </row>
    <row r="440" spans="1:11">
      <c r="A440" s="1" t="s">
        <v>161</v>
      </c>
      <c r="B440" s="6" t="s">
        <v>12</v>
      </c>
      <c r="C440" s="3">
        <v>11.12</v>
      </c>
      <c r="D440" s="3">
        <v>15.11</v>
      </c>
      <c r="E440" s="3">
        <v>25</v>
      </c>
      <c r="F440" s="4">
        <v>4.70541258</v>
      </c>
      <c r="G440" s="4">
        <v>-73.970038790000004</v>
      </c>
      <c r="H440" s="9">
        <f t="shared" si="18"/>
        <v>0.60439999999999994</v>
      </c>
      <c r="I440" s="4" t="str">
        <f t="shared" si="19"/>
        <v>Sin riesgo &lt;85%</v>
      </c>
      <c r="J440" s="1" t="s">
        <v>13</v>
      </c>
      <c r="K440" s="1" t="str">
        <f t="shared" si="20"/>
        <v>Sin riesgo</v>
      </c>
    </row>
    <row r="441" spans="1:11">
      <c r="A441" s="1" t="s">
        <v>161</v>
      </c>
      <c r="B441" s="6" t="s">
        <v>14</v>
      </c>
      <c r="C441" s="3">
        <v>11.29</v>
      </c>
      <c r="D441" s="3">
        <v>15.38</v>
      </c>
      <c r="E441" s="3">
        <v>25</v>
      </c>
      <c r="F441" s="4">
        <v>4.70541258</v>
      </c>
      <c r="G441" s="4">
        <v>-73.970038790000004</v>
      </c>
      <c r="H441" s="9">
        <f t="shared" si="18"/>
        <v>0.61520000000000008</v>
      </c>
      <c r="I441" s="4" t="str">
        <f t="shared" si="19"/>
        <v>Sin riesgo &lt;85%</v>
      </c>
      <c r="J441" s="1" t="s">
        <v>13</v>
      </c>
      <c r="K441" s="1" t="str">
        <f t="shared" si="20"/>
        <v>Sin riesgo</v>
      </c>
    </row>
    <row r="442" spans="1:11">
      <c r="A442" s="1" t="s">
        <v>161</v>
      </c>
      <c r="B442" s="6" t="s">
        <v>15</v>
      </c>
      <c r="C442" s="3">
        <v>11.29</v>
      </c>
      <c r="D442" s="3">
        <v>15.39</v>
      </c>
      <c r="E442" s="3">
        <v>25</v>
      </c>
      <c r="F442" s="4">
        <v>4.70541258</v>
      </c>
      <c r="G442" s="4">
        <v>-73.970038790000004</v>
      </c>
      <c r="H442" s="9">
        <f t="shared" si="18"/>
        <v>0.61560000000000004</v>
      </c>
      <c r="I442" s="4" t="str">
        <f t="shared" si="19"/>
        <v>Sin riesgo &lt;85%</v>
      </c>
      <c r="J442" s="1" t="s">
        <v>13</v>
      </c>
      <c r="K442" s="1" t="str">
        <f t="shared" si="20"/>
        <v>Sin riesgo</v>
      </c>
    </row>
    <row r="443" spans="1:11">
      <c r="A443" s="1" t="s">
        <v>162</v>
      </c>
      <c r="B443" s="6" t="s">
        <v>12</v>
      </c>
      <c r="C443" s="3">
        <v>18.09</v>
      </c>
      <c r="D443" s="3">
        <v>23.46</v>
      </c>
      <c r="E443" s="3">
        <v>40</v>
      </c>
      <c r="F443" s="4">
        <v>4.6355401799999996</v>
      </c>
      <c r="G443" s="4">
        <v>-74.061032240000003</v>
      </c>
      <c r="H443" s="9">
        <f t="shared" si="18"/>
        <v>0.58650000000000002</v>
      </c>
      <c r="I443" s="4" t="str">
        <f t="shared" si="19"/>
        <v>Sin riesgo &lt;85%</v>
      </c>
      <c r="J443" s="1" t="s">
        <v>13</v>
      </c>
      <c r="K443" s="1" t="str">
        <f t="shared" si="20"/>
        <v>Sin riesgo</v>
      </c>
    </row>
    <row r="444" spans="1:11">
      <c r="A444" s="1" t="s">
        <v>162</v>
      </c>
      <c r="B444" s="6" t="s">
        <v>14</v>
      </c>
      <c r="C444" s="3">
        <v>18.46</v>
      </c>
      <c r="D444" s="3">
        <v>23.99</v>
      </c>
      <c r="E444" s="3">
        <v>40</v>
      </c>
      <c r="F444" s="4">
        <v>4.6355401799999996</v>
      </c>
      <c r="G444" s="4">
        <v>-74.061032240000003</v>
      </c>
      <c r="H444" s="9">
        <f t="shared" si="18"/>
        <v>0.59975000000000001</v>
      </c>
      <c r="I444" s="4" t="str">
        <f t="shared" si="19"/>
        <v>Sin riesgo &lt;85%</v>
      </c>
      <c r="J444" s="1" t="s">
        <v>13</v>
      </c>
      <c r="K444" s="1" t="str">
        <f t="shared" si="20"/>
        <v>Sin riesgo</v>
      </c>
    </row>
    <row r="445" spans="1:11">
      <c r="A445" s="1" t="s">
        <v>162</v>
      </c>
      <c r="B445" s="6" t="s">
        <v>15</v>
      </c>
      <c r="C445" s="3">
        <v>18.48</v>
      </c>
      <c r="D445" s="3">
        <v>24.02</v>
      </c>
      <c r="E445" s="3">
        <v>40</v>
      </c>
      <c r="F445" s="4">
        <v>4.6355401799999996</v>
      </c>
      <c r="G445" s="4">
        <v>-74.061032240000003</v>
      </c>
      <c r="H445" s="9">
        <f t="shared" si="18"/>
        <v>0.60050000000000003</v>
      </c>
      <c r="I445" s="4" t="str">
        <f t="shared" si="19"/>
        <v>Sin riesgo &lt;85%</v>
      </c>
      <c r="J445" s="1" t="s">
        <v>13</v>
      </c>
      <c r="K445" s="1" t="str">
        <f t="shared" si="20"/>
        <v>Sin riesgo</v>
      </c>
    </row>
    <row r="446" spans="1:11">
      <c r="A446" s="1" t="s">
        <v>163</v>
      </c>
      <c r="B446" s="6" t="s">
        <v>12</v>
      </c>
      <c r="C446" s="3">
        <v>15.15</v>
      </c>
      <c r="D446" s="3">
        <v>20.57</v>
      </c>
      <c r="E446" s="3">
        <v>31.5</v>
      </c>
      <c r="F446" s="4">
        <v>4.6550738100000002</v>
      </c>
      <c r="G446" s="4">
        <v>-74.065389920000001</v>
      </c>
      <c r="H446" s="9">
        <f t="shared" si="18"/>
        <v>0.65301587301587305</v>
      </c>
      <c r="I446" s="4" t="str">
        <f t="shared" si="19"/>
        <v>Sin riesgo &lt;85%</v>
      </c>
      <c r="J446" s="1" t="s">
        <v>13</v>
      </c>
      <c r="K446" s="1" t="str">
        <f t="shared" si="20"/>
        <v>Sin riesgo</v>
      </c>
    </row>
    <row r="447" spans="1:11">
      <c r="A447" s="1" t="s">
        <v>163</v>
      </c>
      <c r="B447" s="6" t="s">
        <v>14</v>
      </c>
      <c r="C447" s="3">
        <v>15.4</v>
      </c>
      <c r="D447" s="3">
        <v>20.92</v>
      </c>
      <c r="E447" s="3">
        <v>31.5</v>
      </c>
      <c r="F447" s="4">
        <v>4.6550738100000002</v>
      </c>
      <c r="G447" s="4">
        <v>-74.065389920000001</v>
      </c>
      <c r="H447" s="9">
        <f t="shared" si="18"/>
        <v>0.66412698412698423</v>
      </c>
      <c r="I447" s="4" t="str">
        <f t="shared" si="19"/>
        <v>Sin riesgo &lt;85%</v>
      </c>
      <c r="J447" s="1" t="s">
        <v>13</v>
      </c>
      <c r="K447" s="1" t="str">
        <f t="shared" si="20"/>
        <v>Sin riesgo</v>
      </c>
    </row>
    <row r="448" spans="1:11">
      <c r="A448" s="1" t="s">
        <v>163</v>
      </c>
      <c r="B448" s="6" t="s">
        <v>15</v>
      </c>
      <c r="C448" s="3">
        <v>15.4</v>
      </c>
      <c r="D448" s="3">
        <v>20.94</v>
      </c>
      <c r="E448" s="3">
        <v>31.5</v>
      </c>
      <c r="F448" s="4">
        <v>4.6550738100000002</v>
      </c>
      <c r="G448" s="4">
        <v>-74.065389920000001</v>
      </c>
      <c r="H448" s="9">
        <f t="shared" si="18"/>
        <v>0.66476190476190478</v>
      </c>
      <c r="I448" s="4" t="str">
        <f t="shared" si="19"/>
        <v>Sin riesgo &lt;85%</v>
      </c>
      <c r="J448" s="1" t="s">
        <v>13</v>
      </c>
      <c r="K448" s="1" t="str">
        <f t="shared" si="20"/>
        <v>Sin riesgo</v>
      </c>
    </row>
    <row r="449" spans="1:11">
      <c r="A449" s="1" t="s">
        <v>164</v>
      </c>
      <c r="B449" s="6" t="s">
        <v>12</v>
      </c>
      <c r="C449" s="3">
        <v>12.24</v>
      </c>
      <c r="D449" s="3">
        <v>14.39</v>
      </c>
      <c r="E449" s="3">
        <v>31.5</v>
      </c>
      <c r="F449" s="11"/>
      <c r="G449" s="11"/>
      <c r="H449" s="9">
        <f t="shared" si="18"/>
        <v>0.45682539682539686</v>
      </c>
      <c r="I449" s="4" t="str">
        <f t="shared" si="19"/>
        <v>Sin riesgo &lt;85%</v>
      </c>
      <c r="J449" s="1" t="s">
        <v>13</v>
      </c>
      <c r="K449" s="1" t="str">
        <f t="shared" si="20"/>
        <v>Sin riesgo</v>
      </c>
    </row>
    <row r="450" spans="1:11">
      <c r="A450" s="1" t="s">
        <v>164</v>
      </c>
      <c r="B450" s="6" t="s">
        <v>14</v>
      </c>
      <c r="C450" s="3">
        <v>12.38</v>
      </c>
      <c r="D450" s="3">
        <v>14.56</v>
      </c>
      <c r="E450" s="3">
        <v>31.5</v>
      </c>
      <c r="F450" s="11"/>
      <c r="G450" s="11"/>
      <c r="H450" s="9">
        <f t="shared" si="18"/>
        <v>0.46222222222222226</v>
      </c>
      <c r="I450" s="4" t="str">
        <f t="shared" si="19"/>
        <v>Sin riesgo &lt;85%</v>
      </c>
      <c r="J450" s="1" t="s">
        <v>13</v>
      </c>
      <c r="K450" s="1" t="str">
        <f t="shared" si="20"/>
        <v>Sin riesgo</v>
      </c>
    </row>
    <row r="451" spans="1:11">
      <c r="A451" s="1" t="s">
        <v>164</v>
      </c>
      <c r="B451" s="6" t="s">
        <v>15</v>
      </c>
      <c r="C451" s="3">
        <v>12.38</v>
      </c>
      <c r="D451" s="3">
        <v>14.57</v>
      </c>
      <c r="E451" s="3">
        <v>31.5</v>
      </c>
      <c r="F451" s="11"/>
      <c r="G451" s="11"/>
      <c r="H451" s="9">
        <f t="shared" ref="H451:H514" si="21">IF(C451&gt;D451,C451/E451,D451/E451)</f>
        <v>0.46253968253968253</v>
      </c>
      <c r="I451" s="4" t="str">
        <f t="shared" ref="I451:I514" si="22">IF(H451&gt;100%,"Altamente critico &gt;100%",IF(H451&gt;95%,"Critico &gt;95%",IF(H451&gt;85%,"En riesgo &gt;85%","Sin riesgo &lt;85%")))</f>
        <v>Sin riesgo &lt;85%</v>
      </c>
      <c r="J451" s="1" t="s">
        <v>13</v>
      </c>
      <c r="K451" s="1" t="str">
        <f t="shared" ref="K451:K514" si="23">IF(J451="&gt;5","Sin riesgo",IF(J451&gt;1.5,"Estado de alerta","Estado critico"))</f>
        <v>Sin riesgo</v>
      </c>
    </row>
    <row r="452" spans="1:11">
      <c r="A452" s="1" t="s">
        <v>165</v>
      </c>
      <c r="B452" s="6" t="s">
        <v>12</v>
      </c>
      <c r="C452" s="3">
        <v>5.83</v>
      </c>
      <c r="D452" s="3">
        <v>9.1</v>
      </c>
      <c r="E452" s="3">
        <v>40</v>
      </c>
      <c r="F452" s="4">
        <v>4.4171552299999997</v>
      </c>
      <c r="G452" s="4">
        <v>-73.951166860000001</v>
      </c>
      <c r="H452" s="9">
        <f t="shared" si="21"/>
        <v>0.22749999999999998</v>
      </c>
      <c r="I452" s="4" t="str">
        <f t="shared" si="22"/>
        <v>Sin riesgo &lt;85%</v>
      </c>
      <c r="J452" s="1" t="s">
        <v>13</v>
      </c>
      <c r="K452" s="1" t="str">
        <f t="shared" si="23"/>
        <v>Sin riesgo</v>
      </c>
    </row>
    <row r="453" spans="1:11">
      <c r="A453" s="1" t="s">
        <v>165</v>
      </c>
      <c r="B453" s="6" t="s">
        <v>14</v>
      </c>
      <c r="C453" s="3">
        <v>5.92</v>
      </c>
      <c r="D453" s="3">
        <v>9.25</v>
      </c>
      <c r="E453" s="3">
        <v>40</v>
      </c>
      <c r="F453" s="4">
        <v>4.4171552299999997</v>
      </c>
      <c r="G453" s="4">
        <v>-73.951166860000001</v>
      </c>
      <c r="H453" s="9">
        <f t="shared" si="21"/>
        <v>0.23125000000000001</v>
      </c>
      <c r="I453" s="4" t="str">
        <f t="shared" si="22"/>
        <v>Sin riesgo &lt;85%</v>
      </c>
      <c r="J453" s="1" t="s">
        <v>13</v>
      </c>
      <c r="K453" s="1" t="str">
        <f t="shared" si="23"/>
        <v>Sin riesgo</v>
      </c>
    </row>
    <row r="454" spans="1:11">
      <c r="A454" s="1" t="s">
        <v>165</v>
      </c>
      <c r="B454" s="6" t="s">
        <v>15</v>
      </c>
      <c r="C454" s="3">
        <v>5.92</v>
      </c>
      <c r="D454" s="3">
        <v>9.25</v>
      </c>
      <c r="E454" s="3">
        <v>40</v>
      </c>
      <c r="F454" s="4">
        <v>4.4171552299999997</v>
      </c>
      <c r="G454" s="4">
        <v>-73.951166860000001</v>
      </c>
      <c r="H454" s="9">
        <f t="shared" si="21"/>
        <v>0.23125000000000001</v>
      </c>
      <c r="I454" s="4" t="str">
        <f t="shared" si="22"/>
        <v>Sin riesgo &lt;85%</v>
      </c>
      <c r="J454" s="1" t="s">
        <v>13</v>
      </c>
      <c r="K454" s="1" t="str">
        <f t="shared" si="23"/>
        <v>Sin riesgo</v>
      </c>
    </row>
    <row r="455" spans="1:11">
      <c r="A455" s="1" t="s">
        <v>166</v>
      </c>
      <c r="B455" s="6" t="s">
        <v>12</v>
      </c>
      <c r="C455" s="3">
        <v>21.03</v>
      </c>
      <c r="D455" s="3">
        <v>25.7</v>
      </c>
      <c r="E455" s="3">
        <v>40</v>
      </c>
      <c r="F455" s="11"/>
      <c r="G455" s="11"/>
      <c r="H455" s="9">
        <f t="shared" si="21"/>
        <v>0.64249999999999996</v>
      </c>
      <c r="I455" s="4" t="str">
        <f t="shared" si="22"/>
        <v>Sin riesgo &lt;85%</v>
      </c>
      <c r="J455" s="1" t="s">
        <v>13</v>
      </c>
      <c r="K455" s="1" t="str">
        <f t="shared" si="23"/>
        <v>Sin riesgo</v>
      </c>
    </row>
    <row r="456" spans="1:11">
      <c r="A456" s="1" t="s">
        <v>166</v>
      </c>
      <c r="B456" s="6" t="s">
        <v>14</v>
      </c>
      <c r="C456" s="3">
        <v>21.6</v>
      </c>
      <c r="D456" s="3">
        <v>26.42</v>
      </c>
      <c r="E456" s="3">
        <v>40</v>
      </c>
      <c r="F456" s="11"/>
      <c r="G456" s="11"/>
      <c r="H456" s="9">
        <f t="shared" si="21"/>
        <v>0.66050000000000009</v>
      </c>
      <c r="I456" s="4" t="str">
        <f t="shared" si="22"/>
        <v>Sin riesgo &lt;85%</v>
      </c>
      <c r="J456" s="1" t="s">
        <v>13</v>
      </c>
      <c r="K456" s="1" t="str">
        <f t="shared" si="23"/>
        <v>Sin riesgo</v>
      </c>
    </row>
    <row r="457" spans="1:11">
      <c r="A457" s="1" t="s">
        <v>166</v>
      </c>
      <c r="B457" s="6" t="s">
        <v>15</v>
      </c>
      <c r="C457" s="3">
        <v>21.61</v>
      </c>
      <c r="D457" s="3">
        <v>26.46</v>
      </c>
      <c r="E457" s="3">
        <v>40</v>
      </c>
      <c r="F457" s="11"/>
      <c r="G457" s="11"/>
      <c r="H457" s="9">
        <f t="shared" si="21"/>
        <v>0.66149999999999998</v>
      </c>
      <c r="I457" s="4" t="str">
        <f t="shared" si="22"/>
        <v>Sin riesgo &lt;85%</v>
      </c>
      <c r="J457" s="1" t="s">
        <v>13</v>
      </c>
      <c r="K457" s="1" t="str">
        <f t="shared" si="23"/>
        <v>Sin riesgo</v>
      </c>
    </row>
    <row r="458" spans="1:11">
      <c r="A458" s="1" t="s">
        <v>167</v>
      </c>
      <c r="B458" s="6" t="s">
        <v>12</v>
      </c>
      <c r="C458" s="3">
        <v>27.02</v>
      </c>
      <c r="D458" s="3">
        <v>32.799999999999997</v>
      </c>
      <c r="E458" s="3">
        <v>40</v>
      </c>
      <c r="F458" s="4">
        <v>4.6778291200000002</v>
      </c>
      <c r="G458" s="4">
        <v>-74.061812810000006</v>
      </c>
      <c r="H458" s="9">
        <f t="shared" si="21"/>
        <v>0.82</v>
      </c>
      <c r="I458" s="4" t="str">
        <f t="shared" si="22"/>
        <v>Sin riesgo &lt;85%</v>
      </c>
      <c r="J458" s="1" t="s">
        <v>13</v>
      </c>
      <c r="K458" s="1" t="str">
        <f t="shared" si="23"/>
        <v>Sin riesgo</v>
      </c>
    </row>
    <row r="459" spans="1:11">
      <c r="A459" s="1" t="s">
        <v>167</v>
      </c>
      <c r="B459" s="6" t="s">
        <v>14</v>
      </c>
      <c r="C459" s="3">
        <v>27.77</v>
      </c>
      <c r="D459" s="3">
        <v>33.729999999999997</v>
      </c>
      <c r="E459" s="3">
        <v>40</v>
      </c>
      <c r="F459" s="4">
        <v>4.6778291200000002</v>
      </c>
      <c r="G459" s="4">
        <v>-74.061812810000006</v>
      </c>
      <c r="H459" s="9">
        <f t="shared" si="21"/>
        <v>0.84324999999999994</v>
      </c>
      <c r="I459" s="4" t="str">
        <f t="shared" si="22"/>
        <v>Sin riesgo &lt;85%</v>
      </c>
      <c r="J459" s="1" t="s">
        <v>13</v>
      </c>
      <c r="K459" s="1" t="str">
        <f t="shared" si="23"/>
        <v>Sin riesgo</v>
      </c>
    </row>
    <row r="460" spans="1:11">
      <c r="A460" s="1" t="s">
        <v>167</v>
      </c>
      <c r="B460" s="6" t="s">
        <v>15</v>
      </c>
      <c r="C460" s="3">
        <v>27.81</v>
      </c>
      <c r="D460" s="3">
        <v>33.81</v>
      </c>
      <c r="E460" s="3">
        <v>40</v>
      </c>
      <c r="F460" s="4">
        <v>4.6778291200000002</v>
      </c>
      <c r="G460" s="4">
        <v>-74.061812810000006</v>
      </c>
      <c r="H460" s="9">
        <f t="shared" si="21"/>
        <v>0.84525000000000006</v>
      </c>
      <c r="I460" s="4" t="str">
        <f t="shared" si="22"/>
        <v>Sin riesgo &lt;85%</v>
      </c>
      <c r="J460" s="1" t="s">
        <v>13</v>
      </c>
      <c r="K460" s="1" t="str">
        <f t="shared" si="23"/>
        <v>Sin riesgo</v>
      </c>
    </row>
    <row r="461" spans="1:11">
      <c r="A461" s="1" t="s">
        <v>168</v>
      </c>
      <c r="B461" s="6" t="s">
        <v>12</v>
      </c>
      <c r="C461" s="3">
        <v>8.01</v>
      </c>
      <c r="D461" s="3">
        <v>12.04</v>
      </c>
      <c r="E461" s="3">
        <v>40</v>
      </c>
      <c r="F461" s="4">
        <v>4.8757937199999999</v>
      </c>
      <c r="G461" s="4">
        <v>-74.072617100000002</v>
      </c>
      <c r="H461" s="9">
        <f t="shared" si="21"/>
        <v>0.30099999999999999</v>
      </c>
      <c r="I461" s="4" t="str">
        <f t="shared" si="22"/>
        <v>Sin riesgo &lt;85%</v>
      </c>
      <c r="J461" s="1" t="s">
        <v>13</v>
      </c>
      <c r="K461" s="1" t="str">
        <f t="shared" si="23"/>
        <v>Sin riesgo</v>
      </c>
    </row>
    <row r="462" spans="1:11">
      <c r="A462" s="1" t="s">
        <v>168</v>
      </c>
      <c r="B462" s="6" t="s">
        <v>14</v>
      </c>
      <c r="C462" s="3">
        <v>8.2799999999999994</v>
      </c>
      <c r="D462" s="3">
        <v>12.67</v>
      </c>
      <c r="E462" s="3">
        <v>40</v>
      </c>
      <c r="F462" s="4">
        <v>4.8757937199999999</v>
      </c>
      <c r="G462" s="4">
        <v>-74.072617100000002</v>
      </c>
      <c r="H462" s="9">
        <f t="shared" si="21"/>
        <v>0.31674999999999998</v>
      </c>
      <c r="I462" s="4" t="str">
        <f t="shared" si="22"/>
        <v>Sin riesgo &lt;85%</v>
      </c>
      <c r="J462" s="1" t="s">
        <v>13</v>
      </c>
      <c r="K462" s="1" t="str">
        <f t="shared" si="23"/>
        <v>Sin riesgo</v>
      </c>
    </row>
    <row r="463" spans="1:11">
      <c r="A463" s="1" t="s">
        <v>168</v>
      </c>
      <c r="B463" s="6" t="s">
        <v>15</v>
      </c>
      <c r="C463" s="3">
        <v>8.2799999999999994</v>
      </c>
      <c r="D463" s="3">
        <v>12.67</v>
      </c>
      <c r="E463" s="3">
        <v>40</v>
      </c>
      <c r="F463" s="4">
        <v>4.8757937199999999</v>
      </c>
      <c r="G463" s="4">
        <v>-74.072617100000002</v>
      </c>
      <c r="H463" s="9">
        <f t="shared" si="21"/>
        <v>0.31674999999999998</v>
      </c>
      <c r="I463" s="4" t="str">
        <f t="shared" si="22"/>
        <v>Sin riesgo &lt;85%</v>
      </c>
      <c r="J463" s="1" t="s">
        <v>13</v>
      </c>
      <c r="K463" s="1" t="str">
        <f t="shared" si="23"/>
        <v>Sin riesgo</v>
      </c>
    </row>
    <row r="464" spans="1:11">
      <c r="A464" s="1" t="s">
        <v>169</v>
      </c>
      <c r="B464" s="6" t="s">
        <v>12</v>
      </c>
      <c r="C464" s="3">
        <v>8.1999999999999993</v>
      </c>
      <c r="D464" s="3">
        <v>12.22</v>
      </c>
      <c r="E464" s="3">
        <v>31.5</v>
      </c>
      <c r="F464" s="4">
        <v>4.63735404</v>
      </c>
      <c r="G464" s="4">
        <v>-74.176784670000004</v>
      </c>
      <c r="H464" s="9">
        <f t="shared" si="21"/>
        <v>0.38793650793650797</v>
      </c>
      <c r="I464" s="4" t="str">
        <f t="shared" si="22"/>
        <v>Sin riesgo &lt;85%</v>
      </c>
      <c r="J464" s="1" t="s">
        <v>13</v>
      </c>
      <c r="K464" s="1" t="str">
        <f t="shared" si="23"/>
        <v>Sin riesgo</v>
      </c>
    </row>
    <row r="465" spans="1:11">
      <c r="A465" s="1" t="s">
        <v>169</v>
      </c>
      <c r="B465" s="6" t="s">
        <v>14</v>
      </c>
      <c r="C465" s="3">
        <v>8.3800000000000008</v>
      </c>
      <c r="D465" s="3">
        <v>12.49</v>
      </c>
      <c r="E465" s="3">
        <v>31.5</v>
      </c>
      <c r="F465" s="4">
        <v>4.63735404</v>
      </c>
      <c r="G465" s="4">
        <v>-74.176784670000004</v>
      </c>
      <c r="H465" s="9">
        <f t="shared" si="21"/>
        <v>0.39650793650793653</v>
      </c>
      <c r="I465" s="4" t="str">
        <f t="shared" si="22"/>
        <v>Sin riesgo &lt;85%</v>
      </c>
      <c r="J465" s="1" t="s">
        <v>13</v>
      </c>
      <c r="K465" s="1" t="str">
        <f t="shared" si="23"/>
        <v>Sin riesgo</v>
      </c>
    </row>
    <row r="466" spans="1:11">
      <c r="A466" s="1" t="s">
        <v>169</v>
      </c>
      <c r="B466" s="6" t="s">
        <v>15</v>
      </c>
      <c r="C466" s="3">
        <v>8.3800000000000008</v>
      </c>
      <c r="D466" s="3">
        <v>12.5</v>
      </c>
      <c r="E466" s="3">
        <v>31.5</v>
      </c>
      <c r="F466" s="4">
        <v>4.63735404</v>
      </c>
      <c r="G466" s="4">
        <v>-74.176784670000004</v>
      </c>
      <c r="H466" s="9">
        <f t="shared" si="21"/>
        <v>0.3968253968253968</v>
      </c>
      <c r="I466" s="4" t="str">
        <f t="shared" si="22"/>
        <v>Sin riesgo &lt;85%</v>
      </c>
      <c r="J466" s="1" t="s">
        <v>13</v>
      </c>
      <c r="K466" s="1" t="str">
        <f t="shared" si="23"/>
        <v>Sin riesgo</v>
      </c>
    </row>
    <row r="467" spans="1:11">
      <c r="A467" s="1" t="s">
        <v>170</v>
      </c>
      <c r="B467" s="6" t="s">
        <v>12</v>
      </c>
      <c r="C467" s="3">
        <v>10.53</v>
      </c>
      <c r="D467" s="3">
        <v>9.36</v>
      </c>
      <c r="E467" s="3">
        <v>40</v>
      </c>
      <c r="F467" s="4">
        <v>4.8222420000000001</v>
      </c>
      <c r="G467" s="4">
        <v>-73.199792000000002</v>
      </c>
      <c r="H467" s="9">
        <f t="shared" si="21"/>
        <v>0.26324999999999998</v>
      </c>
      <c r="I467" s="4" t="str">
        <f t="shared" si="22"/>
        <v>Sin riesgo &lt;85%</v>
      </c>
      <c r="J467" s="1" t="s">
        <v>13</v>
      </c>
      <c r="K467" s="1" t="str">
        <f t="shared" si="23"/>
        <v>Sin riesgo</v>
      </c>
    </row>
    <row r="468" spans="1:11">
      <c r="A468" s="1" t="s">
        <v>170</v>
      </c>
      <c r="B468" s="6" t="s">
        <v>14</v>
      </c>
      <c r="C468" s="3">
        <v>11.26</v>
      </c>
      <c r="D468" s="3">
        <v>9.99</v>
      </c>
      <c r="E468" s="3">
        <v>40</v>
      </c>
      <c r="F468" s="4">
        <v>4.8222420000000001</v>
      </c>
      <c r="G468" s="4">
        <v>-73.199792000000002</v>
      </c>
      <c r="H468" s="9">
        <f t="shared" si="21"/>
        <v>0.28149999999999997</v>
      </c>
      <c r="I468" s="4" t="str">
        <f t="shared" si="22"/>
        <v>Sin riesgo &lt;85%</v>
      </c>
      <c r="J468" s="1" t="s">
        <v>13</v>
      </c>
      <c r="K468" s="1" t="str">
        <f t="shared" si="23"/>
        <v>Sin riesgo</v>
      </c>
    </row>
    <row r="469" spans="1:11">
      <c r="A469" s="1" t="s">
        <v>170</v>
      </c>
      <c r="B469" s="6" t="s">
        <v>15</v>
      </c>
      <c r="C469" s="3">
        <v>11.26</v>
      </c>
      <c r="D469" s="3">
        <v>9.99</v>
      </c>
      <c r="E469" s="3">
        <v>40</v>
      </c>
      <c r="F469" s="4">
        <v>4.8222420000000001</v>
      </c>
      <c r="G469" s="4">
        <v>-73.199792000000002</v>
      </c>
      <c r="H469" s="9">
        <f t="shared" si="21"/>
        <v>0.28149999999999997</v>
      </c>
      <c r="I469" s="4" t="str">
        <f t="shared" si="22"/>
        <v>Sin riesgo &lt;85%</v>
      </c>
      <c r="J469" s="1" t="s">
        <v>13</v>
      </c>
      <c r="K469" s="1" t="str">
        <f t="shared" si="23"/>
        <v>Sin riesgo</v>
      </c>
    </row>
    <row r="470" spans="1:11">
      <c r="A470" s="1" t="s">
        <v>171</v>
      </c>
      <c r="B470" s="6" t="s">
        <v>12</v>
      </c>
      <c r="C470" s="3">
        <v>38.39</v>
      </c>
      <c r="D470" s="3">
        <v>36.299999999999997</v>
      </c>
      <c r="E470" s="3">
        <v>40</v>
      </c>
      <c r="F470" s="4">
        <v>4.8222420000000001</v>
      </c>
      <c r="G470" s="4">
        <v>-73.199792000000002</v>
      </c>
      <c r="H470" s="9">
        <f t="shared" si="21"/>
        <v>0.95974999999999999</v>
      </c>
      <c r="I470" s="4" t="str">
        <f t="shared" si="22"/>
        <v>Critico &gt;95%</v>
      </c>
      <c r="J470" s="1" t="s">
        <v>13</v>
      </c>
      <c r="K470" s="1" t="str">
        <f t="shared" si="23"/>
        <v>Sin riesgo</v>
      </c>
    </row>
    <row r="471" spans="1:11">
      <c r="A471" s="1" t="s">
        <v>171</v>
      </c>
      <c r="B471" s="6" t="s">
        <v>14</v>
      </c>
      <c r="C471" s="3">
        <v>39.15</v>
      </c>
      <c r="D471" s="3">
        <v>37.04</v>
      </c>
      <c r="E471" s="3">
        <v>40</v>
      </c>
      <c r="F471" s="4">
        <v>4.8222420000000001</v>
      </c>
      <c r="G471" s="4">
        <v>-73.199792000000002</v>
      </c>
      <c r="H471" s="9">
        <f t="shared" si="21"/>
        <v>0.97875000000000001</v>
      </c>
      <c r="I471" s="4" t="str">
        <f t="shared" si="22"/>
        <v>Critico &gt;95%</v>
      </c>
      <c r="J471" s="1" t="s">
        <v>13</v>
      </c>
      <c r="K471" s="1" t="str">
        <f t="shared" si="23"/>
        <v>Sin riesgo</v>
      </c>
    </row>
    <row r="472" spans="1:11">
      <c r="A472" s="1" t="s">
        <v>171</v>
      </c>
      <c r="B472" s="6" t="s">
        <v>15</v>
      </c>
      <c r="C472" s="3">
        <v>39.159999999999997</v>
      </c>
      <c r="D472" s="3">
        <v>37.07</v>
      </c>
      <c r="E472" s="3">
        <v>40</v>
      </c>
      <c r="F472" s="4">
        <v>4.8222420000000001</v>
      </c>
      <c r="G472" s="4">
        <v>-73.199792000000002</v>
      </c>
      <c r="H472" s="9">
        <f t="shared" si="21"/>
        <v>0.97899999999999987</v>
      </c>
      <c r="I472" s="4" t="str">
        <f t="shared" si="22"/>
        <v>Critico &gt;95%</v>
      </c>
      <c r="J472" s="1" t="s">
        <v>13</v>
      </c>
      <c r="K472" s="1" t="str">
        <f t="shared" si="23"/>
        <v>Sin riesgo</v>
      </c>
    </row>
    <row r="473" spans="1:11">
      <c r="A473" s="1" t="s">
        <v>172</v>
      </c>
      <c r="B473" s="6" t="s">
        <v>12</v>
      </c>
      <c r="C473" s="3">
        <v>23.7</v>
      </c>
      <c r="D473" s="3">
        <v>27.56</v>
      </c>
      <c r="E473" s="3">
        <v>40</v>
      </c>
      <c r="F473" s="4">
        <v>4.8222420000000001</v>
      </c>
      <c r="G473" s="4">
        <v>-73.199792000000002</v>
      </c>
      <c r="H473" s="9">
        <f t="shared" si="21"/>
        <v>0.68899999999999995</v>
      </c>
      <c r="I473" s="4" t="str">
        <f t="shared" si="22"/>
        <v>Sin riesgo &lt;85%</v>
      </c>
      <c r="J473" s="1" t="s">
        <v>13</v>
      </c>
      <c r="K473" s="1" t="str">
        <f t="shared" si="23"/>
        <v>Sin riesgo</v>
      </c>
    </row>
    <row r="474" spans="1:11">
      <c r="A474" s="1" t="s">
        <v>172</v>
      </c>
      <c r="B474" s="6" t="s">
        <v>14</v>
      </c>
      <c r="C474" s="3">
        <v>24.11</v>
      </c>
      <c r="D474" s="3">
        <v>28.06</v>
      </c>
      <c r="E474" s="3">
        <v>40</v>
      </c>
      <c r="F474" s="4">
        <v>4.8222420000000001</v>
      </c>
      <c r="G474" s="4">
        <v>-73.199792000000002</v>
      </c>
      <c r="H474" s="9">
        <f t="shared" si="21"/>
        <v>0.70150000000000001</v>
      </c>
      <c r="I474" s="4" t="str">
        <f t="shared" si="22"/>
        <v>Sin riesgo &lt;85%</v>
      </c>
      <c r="J474" s="1" t="s">
        <v>13</v>
      </c>
      <c r="K474" s="1" t="str">
        <f t="shared" si="23"/>
        <v>Sin riesgo</v>
      </c>
    </row>
    <row r="475" spans="1:11">
      <c r="A475" s="1" t="s">
        <v>172</v>
      </c>
      <c r="B475" s="6" t="s">
        <v>15</v>
      </c>
      <c r="C475" s="3">
        <v>24.11</v>
      </c>
      <c r="D475" s="3">
        <v>28.07</v>
      </c>
      <c r="E475" s="3">
        <v>40</v>
      </c>
      <c r="F475" s="4">
        <v>4.8222420000000001</v>
      </c>
      <c r="G475" s="4">
        <v>-73.199792000000002</v>
      </c>
      <c r="H475" s="9">
        <f t="shared" si="21"/>
        <v>0.70174999999999998</v>
      </c>
      <c r="I475" s="4" t="str">
        <f t="shared" si="22"/>
        <v>Sin riesgo &lt;85%</v>
      </c>
      <c r="J475" s="1" t="s">
        <v>13</v>
      </c>
      <c r="K475" s="1" t="str">
        <f t="shared" si="23"/>
        <v>Sin riesgo</v>
      </c>
    </row>
    <row r="476" spans="1:11">
      <c r="A476" s="1" t="s">
        <v>173</v>
      </c>
      <c r="B476" s="6" t="s">
        <v>12</v>
      </c>
      <c r="C476" s="3">
        <v>39.49</v>
      </c>
      <c r="D476" s="3">
        <v>37</v>
      </c>
      <c r="E476" s="3">
        <v>31.5</v>
      </c>
      <c r="F476" s="4">
        <v>4.5871642000000001</v>
      </c>
      <c r="G476" s="4">
        <v>-74.062252090000001</v>
      </c>
      <c r="H476" s="9">
        <f t="shared" si="21"/>
        <v>1.2536507936507937</v>
      </c>
      <c r="I476" s="4" t="str">
        <f t="shared" si="22"/>
        <v>Altamente critico &gt;100%</v>
      </c>
      <c r="J476" s="1" t="s">
        <v>13</v>
      </c>
      <c r="K476" s="1" t="str">
        <f t="shared" si="23"/>
        <v>Sin riesgo</v>
      </c>
    </row>
    <row r="477" spans="1:11">
      <c r="A477" s="1" t="s">
        <v>173</v>
      </c>
      <c r="B477" s="6" t="s">
        <v>14</v>
      </c>
      <c r="C477" s="3">
        <v>41.5</v>
      </c>
      <c r="D477" s="3">
        <v>38.64</v>
      </c>
      <c r="E477" s="3">
        <v>31.5</v>
      </c>
      <c r="F477" s="4">
        <v>4.5871642000000001</v>
      </c>
      <c r="G477" s="4">
        <v>-74.062252090000001</v>
      </c>
      <c r="H477" s="9">
        <f t="shared" si="21"/>
        <v>1.3174603174603174</v>
      </c>
      <c r="I477" s="4" t="str">
        <f t="shared" si="22"/>
        <v>Altamente critico &gt;100%</v>
      </c>
      <c r="J477" s="1" t="s">
        <v>13</v>
      </c>
      <c r="K477" s="1" t="str">
        <f t="shared" si="23"/>
        <v>Sin riesgo</v>
      </c>
    </row>
    <row r="478" spans="1:11">
      <c r="A478" s="1" t="s">
        <v>173</v>
      </c>
      <c r="B478" s="6" t="s">
        <v>15</v>
      </c>
      <c r="C478" s="3">
        <v>41.57</v>
      </c>
      <c r="D478" s="3">
        <v>38.729999999999997</v>
      </c>
      <c r="E478" s="3">
        <v>31.5</v>
      </c>
      <c r="F478" s="4">
        <v>4.5871642000000001</v>
      </c>
      <c r="G478" s="4">
        <v>-74.062252090000001</v>
      </c>
      <c r="H478" s="9">
        <f t="shared" si="21"/>
        <v>1.3196825396825398</v>
      </c>
      <c r="I478" s="4" t="str">
        <f t="shared" si="22"/>
        <v>Altamente critico &gt;100%</v>
      </c>
      <c r="J478" s="1" t="s">
        <v>13</v>
      </c>
      <c r="K478" s="1" t="str">
        <f t="shared" si="23"/>
        <v>Sin riesgo</v>
      </c>
    </row>
    <row r="479" spans="1:11">
      <c r="A479" s="1" t="s">
        <v>174</v>
      </c>
      <c r="B479" s="6" t="s">
        <v>12</v>
      </c>
      <c r="C479" s="3">
        <v>17.18</v>
      </c>
      <c r="D479" s="3">
        <v>19.18</v>
      </c>
      <c r="E479" s="3">
        <v>40</v>
      </c>
      <c r="F479" s="4">
        <v>4.5871642000000001</v>
      </c>
      <c r="G479" s="4">
        <v>-74.062252090000001</v>
      </c>
      <c r="H479" s="9">
        <f t="shared" si="21"/>
        <v>0.47949999999999998</v>
      </c>
      <c r="I479" s="4" t="str">
        <f t="shared" si="22"/>
        <v>Sin riesgo &lt;85%</v>
      </c>
      <c r="J479" s="1" t="s">
        <v>13</v>
      </c>
      <c r="K479" s="1" t="str">
        <f t="shared" si="23"/>
        <v>Sin riesgo</v>
      </c>
    </row>
    <row r="480" spans="1:11">
      <c r="A480" s="1" t="s">
        <v>174</v>
      </c>
      <c r="B480" s="6" t="s">
        <v>14</v>
      </c>
      <c r="C480" s="3">
        <v>18.95</v>
      </c>
      <c r="D480" s="3">
        <v>20.57</v>
      </c>
      <c r="E480" s="3">
        <v>40</v>
      </c>
      <c r="F480" s="4">
        <v>4.5871642000000001</v>
      </c>
      <c r="G480" s="4">
        <v>-74.062252090000001</v>
      </c>
      <c r="H480" s="9">
        <f t="shared" si="21"/>
        <v>0.51424999999999998</v>
      </c>
      <c r="I480" s="4" t="str">
        <f t="shared" si="22"/>
        <v>Sin riesgo &lt;85%</v>
      </c>
      <c r="J480" s="1" t="s">
        <v>13</v>
      </c>
      <c r="K480" s="1" t="str">
        <f t="shared" si="23"/>
        <v>Sin riesgo</v>
      </c>
    </row>
    <row r="481" spans="1:11">
      <c r="A481" s="1" t="s">
        <v>174</v>
      </c>
      <c r="B481" s="6" t="s">
        <v>15</v>
      </c>
      <c r="C481" s="3">
        <v>18.96</v>
      </c>
      <c r="D481" s="3">
        <v>20.59</v>
      </c>
      <c r="E481" s="3">
        <v>40</v>
      </c>
      <c r="F481" s="4">
        <v>4.5871642000000001</v>
      </c>
      <c r="G481" s="4">
        <v>-74.062252090000001</v>
      </c>
      <c r="H481" s="9">
        <f t="shared" si="21"/>
        <v>0.51475000000000004</v>
      </c>
      <c r="I481" s="4" t="str">
        <f t="shared" si="22"/>
        <v>Sin riesgo &lt;85%</v>
      </c>
      <c r="J481" s="1" t="s">
        <v>13</v>
      </c>
      <c r="K481" s="1" t="str">
        <f t="shared" si="23"/>
        <v>Sin riesgo</v>
      </c>
    </row>
    <row r="482" spans="1:11">
      <c r="A482" s="1" t="s">
        <v>175</v>
      </c>
      <c r="B482" s="6" t="s">
        <v>12</v>
      </c>
      <c r="C482" s="3">
        <v>29.79</v>
      </c>
      <c r="D482" s="3">
        <v>29.88</v>
      </c>
      <c r="E482" s="3">
        <v>40</v>
      </c>
      <c r="F482" s="4">
        <v>4.6026971799999998</v>
      </c>
      <c r="G482" s="4">
        <v>-74.431858790000007</v>
      </c>
      <c r="H482" s="9">
        <f t="shared" si="21"/>
        <v>0.747</v>
      </c>
      <c r="I482" s="4" t="str">
        <f t="shared" si="22"/>
        <v>Sin riesgo &lt;85%</v>
      </c>
      <c r="J482" s="1" t="s">
        <v>13</v>
      </c>
      <c r="K482" s="1" t="str">
        <f t="shared" si="23"/>
        <v>Sin riesgo</v>
      </c>
    </row>
    <row r="483" spans="1:11">
      <c r="A483" s="1" t="s">
        <v>175</v>
      </c>
      <c r="B483" s="6" t="s">
        <v>14</v>
      </c>
      <c r="C483" s="3">
        <v>30.14</v>
      </c>
      <c r="D483" s="3">
        <v>30.26</v>
      </c>
      <c r="E483" s="3">
        <v>40</v>
      </c>
      <c r="F483" s="4">
        <v>4.6026971799999998</v>
      </c>
      <c r="G483" s="4">
        <v>-74.431858790000007</v>
      </c>
      <c r="H483" s="9">
        <f t="shared" si="21"/>
        <v>0.75650000000000006</v>
      </c>
      <c r="I483" s="4" t="str">
        <f t="shared" si="22"/>
        <v>Sin riesgo &lt;85%</v>
      </c>
      <c r="J483" s="1" t="s">
        <v>13</v>
      </c>
      <c r="K483" s="1" t="str">
        <f t="shared" si="23"/>
        <v>Sin riesgo</v>
      </c>
    </row>
    <row r="484" spans="1:11">
      <c r="A484" s="1" t="s">
        <v>175</v>
      </c>
      <c r="B484" s="6" t="s">
        <v>15</v>
      </c>
      <c r="C484" s="3">
        <v>30.19</v>
      </c>
      <c r="D484" s="3">
        <v>30.34</v>
      </c>
      <c r="E484" s="3">
        <v>40</v>
      </c>
      <c r="F484" s="4">
        <v>4.6026971799999998</v>
      </c>
      <c r="G484" s="4">
        <v>-74.431858790000007</v>
      </c>
      <c r="H484" s="9">
        <f t="shared" si="21"/>
        <v>0.75849999999999995</v>
      </c>
      <c r="I484" s="4" t="str">
        <f t="shared" si="22"/>
        <v>Sin riesgo &lt;85%</v>
      </c>
      <c r="J484" s="1" t="s">
        <v>13</v>
      </c>
      <c r="K484" s="1" t="str">
        <f t="shared" si="23"/>
        <v>Sin riesgo</v>
      </c>
    </row>
    <row r="485" spans="1:11">
      <c r="A485" s="1" t="s">
        <v>176</v>
      </c>
      <c r="B485" s="6" t="s">
        <v>12</v>
      </c>
      <c r="C485" s="3">
        <v>15.11</v>
      </c>
      <c r="D485" s="3">
        <v>20.54</v>
      </c>
      <c r="E485" s="3">
        <v>40</v>
      </c>
      <c r="F485" s="4">
        <v>4.5872941799999998</v>
      </c>
      <c r="G485" s="4">
        <v>-74.224391920000002</v>
      </c>
      <c r="H485" s="9">
        <f t="shared" si="21"/>
        <v>0.51349999999999996</v>
      </c>
      <c r="I485" s="4" t="str">
        <f t="shared" si="22"/>
        <v>Sin riesgo &lt;85%</v>
      </c>
      <c r="J485" s="1" t="s">
        <v>13</v>
      </c>
      <c r="K485" s="1" t="str">
        <f t="shared" si="23"/>
        <v>Sin riesgo</v>
      </c>
    </row>
    <row r="486" spans="1:11">
      <c r="A486" s="1" t="s">
        <v>176</v>
      </c>
      <c r="B486" s="6" t="s">
        <v>14</v>
      </c>
      <c r="C486" s="3">
        <v>15.34</v>
      </c>
      <c r="D486" s="3">
        <v>20.9</v>
      </c>
      <c r="E486" s="3">
        <v>40</v>
      </c>
      <c r="F486" s="4">
        <v>4.5872941799999998</v>
      </c>
      <c r="G486" s="4">
        <v>-74.224391920000002</v>
      </c>
      <c r="H486" s="9">
        <f t="shared" si="21"/>
        <v>0.52249999999999996</v>
      </c>
      <c r="I486" s="4" t="str">
        <f t="shared" si="22"/>
        <v>Sin riesgo &lt;85%</v>
      </c>
      <c r="J486" s="1" t="s">
        <v>13</v>
      </c>
      <c r="K486" s="1" t="str">
        <f t="shared" si="23"/>
        <v>Sin riesgo</v>
      </c>
    </row>
    <row r="487" spans="1:11">
      <c r="A487" s="1" t="s">
        <v>176</v>
      </c>
      <c r="B487" s="6" t="s">
        <v>15</v>
      </c>
      <c r="C487" s="3">
        <v>15.34</v>
      </c>
      <c r="D487" s="3">
        <v>20.92</v>
      </c>
      <c r="E487" s="3">
        <v>40</v>
      </c>
      <c r="F487" s="4">
        <v>4.5872941799999998</v>
      </c>
      <c r="G487" s="4">
        <v>-74.224391920000002</v>
      </c>
      <c r="H487" s="9">
        <f t="shared" si="21"/>
        <v>0.52300000000000002</v>
      </c>
      <c r="I487" s="4" t="str">
        <f t="shared" si="22"/>
        <v>Sin riesgo &lt;85%</v>
      </c>
      <c r="J487" s="1" t="s">
        <v>13</v>
      </c>
      <c r="K487" s="1" t="str">
        <f t="shared" si="23"/>
        <v>Sin riesgo</v>
      </c>
    </row>
    <row r="488" spans="1:11">
      <c r="A488" s="1" t="s">
        <v>177</v>
      </c>
      <c r="B488" s="6" t="s">
        <v>12</v>
      </c>
      <c r="C488" s="3">
        <v>37.840000000000003</v>
      </c>
      <c r="D488" s="3">
        <v>36.51</v>
      </c>
      <c r="E488" s="3">
        <v>40</v>
      </c>
      <c r="F488" s="4">
        <v>4.5968255500000001</v>
      </c>
      <c r="G488" s="4">
        <v>-74.068783449999998</v>
      </c>
      <c r="H488" s="9">
        <f t="shared" si="21"/>
        <v>0.94600000000000006</v>
      </c>
      <c r="I488" s="4" t="str">
        <f t="shared" si="22"/>
        <v>En riesgo &gt;85%</v>
      </c>
      <c r="J488" s="1" t="s">
        <v>13</v>
      </c>
      <c r="K488" s="1" t="str">
        <f t="shared" si="23"/>
        <v>Sin riesgo</v>
      </c>
    </row>
    <row r="489" spans="1:11">
      <c r="A489" s="1" t="s">
        <v>177</v>
      </c>
      <c r="B489" s="6" t="s">
        <v>14</v>
      </c>
      <c r="C489" s="3">
        <v>39.97</v>
      </c>
      <c r="D489" s="3">
        <v>38.29</v>
      </c>
      <c r="E489" s="3">
        <v>40</v>
      </c>
      <c r="F489" s="4">
        <v>4.5968255500000001</v>
      </c>
      <c r="G489" s="4">
        <v>-74.068783449999998</v>
      </c>
      <c r="H489" s="9">
        <f t="shared" si="21"/>
        <v>0.99924999999999997</v>
      </c>
      <c r="I489" s="4" t="str">
        <f t="shared" si="22"/>
        <v>Critico &gt;95%</v>
      </c>
      <c r="J489" s="1" t="s">
        <v>13</v>
      </c>
      <c r="K489" s="1" t="str">
        <f t="shared" si="23"/>
        <v>Sin riesgo</v>
      </c>
    </row>
    <row r="490" spans="1:11">
      <c r="A490" s="1" t="s">
        <v>177</v>
      </c>
      <c r="B490" s="6" t="s">
        <v>15</v>
      </c>
      <c r="C490" s="3">
        <v>40.04</v>
      </c>
      <c r="D490" s="3">
        <v>38.380000000000003</v>
      </c>
      <c r="E490" s="3">
        <v>40</v>
      </c>
      <c r="F490" s="4">
        <v>4.5968255500000001</v>
      </c>
      <c r="G490" s="4">
        <v>-74.068783449999998</v>
      </c>
      <c r="H490" s="9">
        <f t="shared" si="21"/>
        <v>1.0009999999999999</v>
      </c>
      <c r="I490" s="4" t="str">
        <f t="shared" si="22"/>
        <v>Altamente critico &gt;100%</v>
      </c>
      <c r="J490" s="1" t="s">
        <v>13</v>
      </c>
      <c r="K490" s="1" t="str">
        <f t="shared" si="23"/>
        <v>Sin riesgo</v>
      </c>
    </row>
    <row r="491" spans="1:11">
      <c r="A491" s="1" t="s">
        <v>178</v>
      </c>
      <c r="B491" s="6" t="s">
        <v>12</v>
      </c>
      <c r="C491" s="3">
        <v>14.08</v>
      </c>
      <c r="D491" s="3">
        <v>10.53</v>
      </c>
      <c r="E491" s="3">
        <v>15</v>
      </c>
      <c r="F491" s="4">
        <v>4.5968255500000001</v>
      </c>
      <c r="G491" s="4">
        <v>-74.068783449999998</v>
      </c>
      <c r="H491" s="9">
        <f t="shared" si="21"/>
        <v>0.93866666666666665</v>
      </c>
      <c r="I491" s="4" t="str">
        <f t="shared" si="22"/>
        <v>En riesgo &gt;85%</v>
      </c>
      <c r="J491" s="1" t="s">
        <v>13</v>
      </c>
      <c r="K491" s="1" t="str">
        <f t="shared" si="23"/>
        <v>Sin riesgo</v>
      </c>
    </row>
    <row r="492" spans="1:11">
      <c r="A492" s="1" t="s">
        <v>178</v>
      </c>
      <c r="B492" s="6" t="s">
        <v>14</v>
      </c>
      <c r="C492" s="3">
        <v>14.31</v>
      </c>
      <c r="D492" s="3">
        <v>10.71</v>
      </c>
      <c r="E492" s="3">
        <v>15</v>
      </c>
      <c r="F492" s="4">
        <v>4.5968255500000001</v>
      </c>
      <c r="G492" s="4">
        <v>-74.068783449999998</v>
      </c>
      <c r="H492" s="9">
        <f t="shared" si="21"/>
        <v>0.95400000000000007</v>
      </c>
      <c r="I492" s="4" t="str">
        <f t="shared" si="22"/>
        <v>Critico &gt;95%</v>
      </c>
      <c r="J492" s="1" t="s">
        <v>13</v>
      </c>
      <c r="K492" s="1" t="str">
        <f t="shared" si="23"/>
        <v>Sin riesgo</v>
      </c>
    </row>
    <row r="493" spans="1:11">
      <c r="A493" s="1" t="s">
        <v>178</v>
      </c>
      <c r="B493" s="6" t="s">
        <v>15</v>
      </c>
      <c r="C493" s="3">
        <v>14.31</v>
      </c>
      <c r="D493" s="3">
        <v>10.71</v>
      </c>
      <c r="E493" s="3">
        <v>15</v>
      </c>
      <c r="F493" s="4">
        <v>4.5968255500000001</v>
      </c>
      <c r="G493" s="4">
        <v>-74.068783449999998</v>
      </c>
      <c r="H493" s="9">
        <f t="shared" si="21"/>
        <v>0.95400000000000007</v>
      </c>
      <c r="I493" s="4" t="str">
        <f t="shared" si="22"/>
        <v>Critico &gt;95%</v>
      </c>
      <c r="J493" s="1" t="s">
        <v>13</v>
      </c>
      <c r="K493" s="1" t="str">
        <f t="shared" si="23"/>
        <v>Sin riesgo</v>
      </c>
    </row>
    <row r="494" spans="1:11">
      <c r="A494" s="1" t="s">
        <v>179</v>
      </c>
      <c r="B494" s="6" t="s">
        <v>12</v>
      </c>
      <c r="C494" s="3">
        <v>18.989999999999998</v>
      </c>
      <c r="D494" s="3">
        <v>18.739999999999998</v>
      </c>
      <c r="E494" s="3">
        <v>40</v>
      </c>
      <c r="F494" s="4">
        <v>4.9639138799999998</v>
      </c>
      <c r="G494" s="4">
        <v>-73.954752409999998</v>
      </c>
      <c r="H494" s="9">
        <f t="shared" si="21"/>
        <v>0.47474999999999995</v>
      </c>
      <c r="I494" s="4" t="str">
        <f t="shared" si="22"/>
        <v>Sin riesgo &lt;85%</v>
      </c>
      <c r="J494" s="1" t="s">
        <v>13</v>
      </c>
      <c r="K494" s="1" t="str">
        <f t="shared" si="23"/>
        <v>Sin riesgo</v>
      </c>
    </row>
    <row r="495" spans="1:11">
      <c r="A495" s="1" t="s">
        <v>179</v>
      </c>
      <c r="B495" s="6" t="s">
        <v>14</v>
      </c>
      <c r="C495" s="3">
        <v>22.2</v>
      </c>
      <c r="D495" s="3">
        <v>22.89</v>
      </c>
      <c r="E495" s="3">
        <v>40</v>
      </c>
      <c r="F495" s="4">
        <v>4.9639138799999998</v>
      </c>
      <c r="G495" s="4">
        <v>-73.954752409999998</v>
      </c>
      <c r="H495" s="9">
        <f t="shared" si="21"/>
        <v>0.57225000000000004</v>
      </c>
      <c r="I495" s="4" t="str">
        <f t="shared" si="22"/>
        <v>Sin riesgo &lt;85%</v>
      </c>
      <c r="J495" s="1" t="s">
        <v>13</v>
      </c>
      <c r="K495" s="1" t="str">
        <f t="shared" si="23"/>
        <v>Sin riesgo</v>
      </c>
    </row>
    <row r="496" spans="1:11">
      <c r="A496" s="1" t="s">
        <v>179</v>
      </c>
      <c r="B496" s="6" t="s">
        <v>15</v>
      </c>
      <c r="C496" s="3">
        <v>22.21</v>
      </c>
      <c r="D496" s="3">
        <v>22.9</v>
      </c>
      <c r="E496" s="3">
        <v>40</v>
      </c>
      <c r="F496" s="4">
        <v>4.9639138799999998</v>
      </c>
      <c r="G496" s="4">
        <v>-73.954752409999998</v>
      </c>
      <c r="H496" s="9">
        <f t="shared" si="21"/>
        <v>0.57250000000000001</v>
      </c>
      <c r="I496" s="4" t="str">
        <f t="shared" si="22"/>
        <v>Sin riesgo &lt;85%</v>
      </c>
      <c r="J496" s="1" t="s">
        <v>13</v>
      </c>
      <c r="K496" s="1" t="str">
        <f t="shared" si="23"/>
        <v>Sin riesgo</v>
      </c>
    </row>
    <row r="497" spans="1:11">
      <c r="A497" s="1" t="s">
        <v>180</v>
      </c>
      <c r="B497" s="6" t="s">
        <v>12</v>
      </c>
      <c r="C497" s="3">
        <v>14.91</v>
      </c>
      <c r="D497" s="3">
        <v>20.34</v>
      </c>
      <c r="E497" s="3">
        <v>40</v>
      </c>
      <c r="F497" s="11"/>
      <c r="G497" s="11"/>
      <c r="H497" s="9">
        <f t="shared" si="21"/>
        <v>0.50849999999999995</v>
      </c>
      <c r="I497" s="4" t="str">
        <f t="shared" si="22"/>
        <v>Sin riesgo &lt;85%</v>
      </c>
      <c r="J497" s="1" t="s">
        <v>13</v>
      </c>
      <c r="K497" s="1" t="str">
        <f t="shared" si="23"/>
        <v>Sin riesgo</v>
      </c>
    </row>
    <row r="498" spans="1:11">
      <c r="A498" s="1" t="s">
        <v>180</v>
      </c>
      <c r="B498" s="6" t="s">
        <v>14</v>
      </c>
      <c r="C498" s="3">
        <v>15.15</v>
      </c>
      <c r="D498" s="3">
        <v>20.7</v>
      </c>
      <c r="E498" s="3">
        <v>40</v>
      </c>
      <c r="F498" s="11"/>
      <c r="G498" s="11"/>
      <c r="H498" s="9">
        <f t="shared" si="21"/>
        <v>0.51749999999999996</v>
      </c>
      <c r="I498" s="4" t="str">
        <f t="shared" si="22"/>
        <v>Sin riesgo &lt;85%</v>
      </c>
      <c r="J498" s="1" t="s">
        <v>13</v>
      </c>
      <c r="K498" s="1" t="str">
        <f t="shared" si="23"/>
        <v>Sin riesgo</v>
      </c>
    </row>
    <row r="499" spans="1:11">
      <c r="A499" s="1" t="s">
        <v>180</v>
      </c>
      <c r="B499" s="6" t="s">
        <v>15</v>
      </c>
      <c r="C499" s="3">
        <v>15.16</v>
      </c>
      <c r="D499" s="3">
        <v>20.72</v>
      </c>
      <c r="E499" s="3">
        <v>40</v>
      </c>
      <c r="F499" s="11"/>
      <c r="G499" s="11"/>
      <c r="H499" s="9">
        <f t="shared" si="21"/>
        <v>0.51800000000000002</v>
      </c>
      <c r="I499" s="4" t="str">
        <f t="shared" si="22"/>
        <v>Sin riesgo &lt;85%</v>
      </c>
      <c r="J499" s="1" t="s">
        <v>13</v>
      </c>
      <c r="K499" s="1" t="str">
        <f t="shared" si="23"/>
        <v>Sin riesgo</v>
      </c>
    </row>
    <row r="500" spans="1:11">
      <c r="A500" s="1" t="s">
        <v>181</v>
      </c>
      <c r="B500" s="6" t="s">
        <v>12</v>
      </c>
      <c r="C500" s="3">
        <v>18.690000000000001</v>
      </c>
      <c r="D500" s="3">
        <v>20.8</v>
      </c>
      <c r="E500" s="3">
        <v>31.5</v>
      </c>
      <c r="F500" s="4">
        <v>4.95924633</v>
      </c>
      <c r="G500" s="4">
        <v>-74.00405542</v>
      </c>
      <c r="H500" s="9">
        <f t="shared" si="21"/>
        <v>0.6603174603174603</v>
      </c>
      <c r="I500" s="4" t="str">
        <f t="shared" si="22"/>
        <v>Sin riesgo &lt;85%</v>
      </c>
      <c r="J500" s="1" t="s">
        <v>13</v>
      </c>
      <c r="K500" s="1" t="str">
        <f t="shared" si="23"/>
        <v>Sin riesgo</v>
      </c>
    </row>
    <row r="501" spans="1:11">
      <c r="A501" s="1" t="s">
        <v>181</v>
      </c>
      <c r="B501" s="6" t="s">
        <v>14</v>
      </c>
      <c r="C501" s="3">
        <v>21.99</v>
      </c>
      <c r="D501" s="3">
        <v>24.5</v>
      </c>
      <c r="E501" s="3">
        <v>31.5</v>
      </c>
      <c r="F501" s="4">
        <v>4.95924633</v>
      </c>
      <c r="G501" s="4">
        <v>-74.00405542</v>
      </c>
      <c r="H501" s="9">
        <f t="shared" si="21"/>
        <v>0.77777777777777779</v>
      </c>
      <c r="I501" s="4" t="str">
        <f t="shared" si="22"/>
        <v>Sin riesgo &lt;85%</v>
      </c>
      <c r="J501" s="1" t="s">
        <v>13</v>
      </c>
      <c r="K501" s="1" t="str">
        <f t="shared" si="23"/>
        <v>Sin riesgo</v>
      </c>
    </row>
    <row r="502" spans="1:11">
      <c r="A502" s="1" t="s">
        <v>181</v>
      </c>
      <c r="B502" s="6" t="s">
        <v>15</v>
      </c>
      <c r="C502" s="3">
        <v>22</v>
      </c>
      <c r="D502" s="3">
        <v>24.52</v>
      </c>
      <c r="E502" s="3">
        <v>31.5</v>
      </c>
      <c r="F502" s="4">
        <v>4.95924633</v>
      </c>
      <c r="G502" s="4">
        <v>-74.00405542</v>
      </c>
      <c r="H502" s="9">
        <f t="shared" si="21"/>
        <v>0.77841269841269844</v>
      </c>
      <c r="I502" s="4" t="str">
        <f t="shared" si="22"/>
        <v>Sin riesgo &lt;85%</v>
      </c>
      <c r="J502" s="1" t="s">
        <v>13</v>
      </c>
      <c r="K502" s="1" t="str">
        <f t="shared" si="23"/>
        <v>Sin riesgo</v>
      </c>
    </row>
    <row r="503" spans="1:11">
      <c r="A503" s="1" t="s">
        <v>182</v>
      </c>
      <c r="B503" s="6" t="s">
        <v>12</v>
      </c>
      <c r="C503" s="3">
        <v>6.8</v>
      </c>
      <c r="D503" s="3">
        <v>8.24</v>
      </c>
      <c r="E503" s="3">
        <v>40</v>
      </c>
      <c r="F503" s="4">
        <v>4.81510075</v>
      </c>
      <c r="G503" s="4">
        <v>-74.362269040000001</v>
      </c>
      <c r="H503" s="9">
        <f t="shared" si="21"/>
        <v>0.20600000000000002</v>
      </c>
      <c r="I503" s="4" t="str">
        <f t="shared" si="22"/>
        <v>Sin riesgo &lt;85%</v>
      </c>
      <c r="J503" s="1" t="s">
        <v>13</v>
      </c>
      <c r="K503" s="1" t="str">
        <f t="shared" si="23"/>
        <v>Sin riesgo</v>
      </c>
    </row>
    <row r="504" spans="1:11">
      <c r="A504" s="1" t="s">
        <v>182</v>
      </c>
      <c r="B504" s="6" t="s">
        <v>14</v>
      </c>
      <c r="C504" s="3">
        <v>6.87</v>
      </c>
      <c r="D504" s="3">
        <v>8.33</v>
      </c>
      <c r="E504" s="3">
        <v>40</v>
      </c>
      <c r="F504" s="4">
        <v>4.81510075</v>
      </c>
      <c r="G504" s="4">
        <v>-74.362269040000001</v>
      </c>
      <c r="H504" s="9">
        <f t="shared" si="21"/>
        <v>0.20824999999999999</v>
      </c>
      <c r="I504" s="4" t="str">
        <f t="shared" si="22"/>
        <v>Sin riesgo &lt;85%</v>
      </c>
      <c r="J504" s="1" t="s">
        <v>13</v>
      </c>
      <c r="K504" s="1" t="str">
        <f t="shared" si="23"/>
        <v>Sin riesgo</v>
      </c>
    </row>
    <row r="505" spans="1:11">
      <c r="A505" s="1" t="s">
        <v>182</v>
      </c>
      <c r="B505" s="6" t="s">
        <v>15</v>
      </c>
      <c r="C505" s="3">
        <v>7.53</v>
      </c>
      <c r="D505" s="3">
        <v>9.8000000000000007</v>
      </c>
      <c r="E505" s="3">
        <v>40</v>
      </c>
      <c r="F505" s="4">
        <v>4.81510075</v>
      </c>
      <c r="G505" s="4">
        <v>-74.362269040000001</v>
      </c>
      <c r="H505" s="9">
        <f t="shared" si="21"/>
        <v>0.24500000000000002</v>
      </c>
      <c r="I505" s="4" t="str">
        <f t="shared" si="22"/>
        <v>Sin riesgo &lt;85%</v>
      </c>
      <c r="J505" s="1" t="s">
        <v>13</v>
      </c>
      <c r="K505" s="1" t="str">
        <f t="shared" si="23"/>
        <v>Sin riesgo</v>
      </c>
    </row>
    <row r="506" spans="1:11">
      <c r="A506" s="1" t="s">
        <v>183</v>
      </c>
      <c r="B506" s="6" t="s">
        <v>12</v>
      </c>
      <c r="C506" s="3">
        <v>10.42</v>
      </c>
      <c r="D506" s="3">
        <v>15.03</v>
      </c>
      <c r="E506" s="3">
        <v>40</v>
      </c>
      <c r="F506" s="4">
        <v>4.6916928699999998</v>
      </c>
      <c r="G506" s="4">
        <v>-74.113607029999997</v>
      </c>
      <c r="H506" s="9">
        <f t="shared" si="21"/>
        <v>0.37574999999999997</v>
      </c>
      <c r="I506" s="4" t="str">
        <f t="shared" si="22"/>
        <v>Sin riesgo &lt;85%</v>
      </c>
      <c r="J506" s="1" t="s">
        <v>13</v>
      </c>
      <c r="K506" s="1" t="str">
        <f t="shared" si="23"/>
        <v>Sin riesgo</v>
      </c>
    </row>
    <row r="507" spans="1:11">
      <c r="A507" s="1" t="s">
        <v>183</v>
      </c>
      <c r="B507" s="6" t="s">
        <v>14</v>
      </c>
      <c r="C507" s="3">
        <v>10.58</v>
      </c>
      <c r="D507" s="3">
        <v>15.29</v>
      </c>
      <c r="E507" s="3">
        <v>40</v>
      </c>
      <c r="F507" s="4">
        <v>4.6916928699999998</v>
      </c>
      <c r="G507" s="4">
        <v>-74.113607029999997</v>
      </c>
      <c r="H507" s="9">
        <f t="shared" si="21"/>
        <v>0.38224999999999998</v>
      </c>
      <c r="I507" s="4" t="str">
        <f t="shared" si="22"/>
        <v>Sin riesgo &lt;85%</v>
      </c>
      <c r="J507" s="1" t="s">
        <v>13</v>
      </c>
      <c r="K507" s="1" t="str">
        <f t="shared" si="23"/>
        <v>Sin riesgo</v>
      </c>
    </row>
    <row r="508" spans="1:11">
      <c r="A508" s="1" t="s">
        <v>183</v>
      </c>
      <c r="B508" s="6" t="s">
        <v>15</v>
      </c>
      <c r="C508" s="3">
        <v>10.58</v>
      </c>
      <c r="D508" s="3">
        <v>15.32</v>
      </c>
      <c r="E508" s="3">
        <v>40</v>
      </c>
      <c r="F508" s="4">
        <v>4.6916928699999998</v>
      </c>
      <c r="G508" s="4">
        <v>-74.113607029999997</v>
      </c>
      <c r="H508" s="9">
        <f t="shared" si="21"/>
        <v>0.38300000000000001</v>
      </c>
      <c r="I508" s="4" t="str">
        <f t="shared" si="22"/>
        <v>Sin riesgo &lt;85%</v>
      </c>
      <c r="J508" s="1" t="s">
        <v>13</v>
      </c>
      <c r="K508" s="1" t="str">
        <f t="shared" si="23"/>
        <v>Sin riesgo</v>
      </c>
    </row>
    <row r="509" spans="1:11">
      <c r="A509" s="1" t="s">
        <v>184</v>
      </c>
      <c r="B509" s="6" t="s">
        <v>12</v>
      </c>
      <c r="C509" s="3">
        <v>18.21</v>
      </c>
      <c r="D509" s="3">
        <v>23.71</v>
      </c>
      <c r="E509" s="3">
        <v>31.5</v>
      </c>
      <c r="F509" s="4">
        <v>4.6724732299999996</v>
      </c>
      <c r="G509" s="4">
        <v>-74.135184190000004</v>
      </c>
      <c r="H509" s="9">
        <f t="shared" si="21"/>
        <v>0.75269841269841276</v>
      </c>
      <c r="I509" s="4" t="str">
        <f t="shared" si="22"/>
        <v>Sin riesgo &lt;85%</v>
      </c>
      <c r="J509" s="1" t="s">
        <v>13</v>
      </c>
      <c r="K509" s="1" t="str">
        <f t="shared" si="23"/>
        <v>Sin riesgo</v>
      </c>
    </row>
    <row r="510" spans="1:11">
      <c r="A510" s="1" t="s">
        <v>184</v>
      </c>
      <c r="B510" s="6" t="s">
        <v>14</v>
      </c>
      <c r="C510" s="3">
        <v>18.78</v>
      </c>
      <c r="D510" s="3">
        <v>24.37</v>
      </c>
      <c r="E510" s="3">
        <v>31.5</v>
      </c>
      <c r="F510" s="4">
        <v>4.6724732299999996</v>
      </c>
      <c r="G510" s="4">
        <v>-74.135184190000004</v>
      </c>
      <c r="H510" s="9">
        <f t="shared" si="21"/>
        <v>0.7736507936507937</v>
      </c>
      <c r="I510" s="4" t="str">
        <f t="shared" si="22"/>
        <v>Sin riesgo &lt;85%</v>
      </c>
      <c r="J510" s="1" t="s">
        <v>13</v>
      </c>
      <c r="K510" s="1" t="str">
        <f t="shared" si="23"/>
        <v>Sin riesgo</v>
      </c>
    </row>
    <row r="511" spans="1:11">
      <c r="A511" s="1" t="s">
        <v>184</v>
      </c>
      <c r="B511" s="6" t="s">
        <v>15</v>
      </c>
      <c r="C511" s="3">
        <v>18.850000000000001</v>
      </c>
      <c r="D511" s="3">
        <v>24.57</v>
      </c>
      <c r="E511" s="3">
        <v>31.5</v>
      </c>
      <c r="F511" s="4">
        <v>4.6724732299999996</v>
      </c>
      <c r="G511" s="4">
        <v>-74.135184190000004</v>
      </c>
      <c r="H511" s="9">
        <f t="shared" si="21"/>
        <v>0.78</v>
      </c>
      <c r="I511" s="4" t="str">
        <f t="shared" si="22"/>
        <v>Sin riesgo &lt;85%</v>
      </c>
      <c r="J511" s="1" t="s">
        <v>13</v>
      </c>
      <c r="K511" s="1" t="str">
        <f t="shared" si="23"/>
        <v>Sin riesgo</v>
      </c>
    </row>
    <row r="512" spans="1:11">
      <c r="A512" s="1" t="s">
        <v>185</v>
      </c>
      <c r="B512" s="6" t="s">
        <v>12</v>
      </c>
      <c r="C512" s="3">
        <v>18.13</v>
      </c>
      <c r="D512" s="3">
        <v>18.510000000000002</v>
      </c>
      <c r="E512" s="3">
        <v>40</v>
      </c>
      <c r="F512" s="4">
        <v>4.95444686</v>
      </c>
      <c r="G512" s="4">
        <v>-73.950315950000004</v>
      </c>
      <c r="H512" s="9">
        <f t="shared" si="21"/>
        <v>0.46275000000000005</v>
      </c>
      <c r="I512" s="4" t="str">
        <f t="shared" si="22"/>
        <v>Sin riesgo &lt;85%</v>
      </c>
      <c r="J512" s="1" t="s">
        <v>13</v>
      </c>
      <c r="K512" s="1" t="str">
        <f t="shared" si="23"/>
        <v>Sin riesgo</v>
      </c>
    </row>
    <row r="513" spans="1:11">
      <c r="A513" s="1" t="s">
        <v>185</v>
      </c>
      <c r="B513" s="6" t="s">
        <v>14</v>
      </c>
      <c r="C513" s="3">
        <v>23.89</v>
      </c>
      <c r="D513" s="3">
        <v>24.73</v>
      </c>
      <c r="E513" s="3">
        <v>40</v>
      </c>
      <c r="F513" s="4">
        <v>4.95444686</v>
      </c>
      <c r="G513" s="4">
        <v>-73.950315950000004</v>
      </c>
      <c r="H513" s="9">
        <f t="shared" si="21"/>
        <v>0.61824999999999997</v>
      </c>
      <c r="I513" s="4" t="str">
        <f t="shared" si="22"/>
        <v>Sin riesgo &lt;85%</v>
      </c>
      <c r="J513" s="1" t="s">
        <v>13</v>
      </c>
      <c r="K513" s="1" t="str">
        <f t="shared" si="23"/>
        <v>Sin riesgo</v>
      </c>
    </row>
    <row r="514" spans="1:11">
      <c r="A514" s="1" t="s">
        <v>185</v>
      </c>
      <c r="B514" s="6" t="s">
        <v>15</v>
      </c>
      <c r="C514" s="3">
        <v>23.89</v>
      </c>
      <c r="D514" s="3">
        <v>24.74</v>
      </c>
      <c r="E514" s="3">
        <v>40</v>
      </c>
      <c r="F514" s="4">
        <v>4.95444686</v>
      </c>
      <c r="G514" s="4">
        <v>-73.950315950000004</v>
      </c>
      <c r="H514" s="9">
        <f t="shared" si="21"/>
        <v>0.61849999999999994</v>
      </c>
      <c r="I514" s="4" t="str">
        <f t="shared" si="22"/>
        <v>Sin riesgo &lt;85%</v>
      </c>
      <c r="J514" s="1" t="s">
        <v>13</v>
      </c>
      <c r="K514" s="1" t="str">
        <f t="shared" si="23"/>
        <v>Sin riesgo</v>
      </c>
    </row>
    <row r="515" spans="1:11">
      <c r="A515" s="1" t="s">
        <v>186</v>
      </c>
      <c r="B515" s="6" t="s">
        <v>12</v>
      </c>
      <c r="C515" s="3">
        <v>25.48</v>
      </c>
      <c r="D515" s="3">
        <v>25.76</v>
      </c>
      <c r="E515" s="3">
        <v>40</v>
      </c>
      <c r="F515" s="4">
        <v>4.5963624200000002</v>
      </c>
      <c r="G515" s="4">
        <v>-74.458129450000001</v>
      </c>
      <c r="H515" s="9">
        <f t="shared" ref="H515:H578" si="24">IF(C515&gt;D515,C515/E515,D515/E515)</f>
        <v>0.64400000000000002</v>
      </c>
      <c r="I515" s="4" t="str">
        <f t="shared" ref="I515:I578" si="25">IF(H515&gt;100%,"Altamente critico &gt;100%",IF(H515&gt;95%,"Critico &gt;95%",IF(H515&gt;85%,"En riesgo &gt;85%","Sin riesgo &lt;85%")))</f>
        <v>Sin riesgo &lt;85%</v>
      </c>
      <c r="J515" s="1" t="s">
        <v>13</v>
      </c>
      <c r="K515" s="1" t="str">
        <f t="shared" ref="K515:K578" si="26">IF(J515="&gt;5","Sin riesgo",IF(J515&gt;1.5,"Estado de alerta","Estado critico"))</f>
        <v>Sin riesgo</v>
      </c>
    </row>
    <row r="516" spans="1:11">
      <c r="A516" s="1" t="s">
        <v>186</v>
      </c>
      <c r="B516" s="6" t="s">
        <v>14</v>
      </c>
      <c r="C516" s="3">
        <v>25.79</v>
      </c>
      <c r="D516" s="3">
        <v>26.11</v>
      </c>
      <c r="E516" s="3">
        <v>40</v>
      </c>
      <c r="F516" s="4">
        <v>4.5963624200000002</v>
      </c>
      <c r="G516" s="4">
        <v>-74.458129450000001</v>
      </c>
      <c r="H516" s="9">
        <f t="shared" si="24"/>
        <v>0.65274999999999994</v>
      </c>
      <c r="I516" s="4" t="str">
        <f t="shared" si="25"/>
        <v>Sin riesgo &lt;85%</v>
      </c>
      <c r="J516" s="1" t="s">
        <v>13</v>
      </c>
      <c r="K516" s="1" t="str">
        <f t="shared" si="26"/>
        <v>Sin riesgo</v>
      </c>
    </row>
    <row r="517" spans="1:11">
      <c r="A517" s="1" t="s">
        <v>186</v>
      </c>
      <c r="B517" s="6" t="s">
        <v>15</v>
      </c>
      <c r="C517" s="3">
        <v>25.82</v>
      </c>
      <c r="D517" s="3">
        <v>26.16</v>
      </c>
      <c r="E517" s="3">
        <v>40</v>
      </c>
      <c r="F517" s="4">
        <v>4.5963624200000002</v>
      </c>
      <c r="G517" s="4">
        <v>-74.458129450000001</v>
      </c>
      <c r="H517" s="9">
        <f t="shared" si="24"/>
        <v>0.65400000000000003</v>
      </c>
      <c r="I517" s="4" t="str">
        <f t="shared" si="25"/>
        <v>Sin riesgo &lt;85%</v>
      </c>
      <c r="J517" s="1" t="s">
        <v>13</v>
      </c>
      <c r="K517" s="1" t="str">
        <f t="shared" si="26"/>
        <v>Sin riesgo</v>
      </c>
    </row>
    <row r="518" spans="1:11">
      <c r="A518" s="1" t="s">
        <v>187</v>
      </c>
      <c r="B518" s="6" t="s">
        <v>12</v>
      </c>
      <c r="C518" s="3">
        <v>34.79</v>
      </c>
      <c r="D518" s="3">
        <v>32.5</v>
      </c>
      <c r="E518" s="3">
        <v>40</v>
      </c>
      <c r="F518" s="4">
        <v>4.5963624200000002</v>
      </c>
      <c r="G518" s="4">
        <v>-74.458129450000001</v>
      </c>
      <c r="H518" s="9">
        <f t="shared" si="24"/>
        <v>0.86975000000000002</v>
      </c>
      <c r="I518" s="4" t="str">
        <f t="shared" si="25"/>
        <v>En riesgo &gt;85%</v>
      </c>
      <c r="J518" s="1" t="s">
        <v>13</v>
      </c>
      <c r="K518" s="1" t="str">
        <f t="shared" si="26"/>
        <v>Sin riesgo</v>
      </c>
    </row>
    <row r="519" spans="1:11">
      <c r="A519" s="1" t="s">
        <v>187</v>
      </c>
      <c r="B519" s="6" t="s">
        <v>14</v>
      </c>
      <c r="C519" s="3">
        <v>35.24</v>
      </c>
      <c r="D519" s="3">
        <v>32.94</v>
      </c>
      <c r="E519" s="3">
        <v>40</v>
      </c>
      <c r="F519" s="4">
        <v>4.5963624200000002</v>
      </c>
      <c r="G519" s="4">
        <v>-74.458129450000001</v>
      </c>
      <c r="H519" s="9">
        <f t="shared" si="24"/>
        <v>0.88100000000000001</v>
      </c>
      <c r="I519" s="4" t="str">
        <f t="shared" si="25"/>
        <v>En riesgo &gt;85%</v>
      </c>
      <c r="J519" s="1" t="s">
        <v>13</v>
      </c>
      <c r="K519" s="1" t="str">
        <f t="shared" si="26"/>
        <v>Sin riesgo</v>
      </c>
    </row>
    <row r="520" spans="1:11">
      <c r="A520" s="1" t="s">
        <v>187</v>
      </c>
      <c r="B520" s="6" t="s">
        <v>15</v>
      </c>
      <c r="C520" s="3">
        <v>35.270000000000003</v>
      </c>
      <c r="D520" s="3">
        <v>32.99</v>
      </c>
      <c r="E520" s="3">
        <v>40</v>
      </c>
      <c r="F520" s="4">
        <v>4.5963624200000002</v>
      </c>
      <c r="G520" s="4">
        <v>-74.458129450000001</v>
      </c>
      <c r="H520" s="9">
        <f t="shared" si="24"/>
        <v>0.88175000000000003</v>
      </c>
      <c r="I520" s="4" t="str">
        <f t="shared" si="25"/>
        <v>En riesgo &gt;85%</v>
      </c>
      <c r="J520" s="1" t="s">
        <v>13</v>
      </c>
      <c r="K520" s="1" t="str">
        <f t="shared" si="26"/>
        <v>Sin riesgo</v>
      </c>
    </row>
    <row r="521" spans="1:11">
      <c r="A521" s="1" t="s">
        <v>188</v>
      </c>
      <c r="B521" s="6" t="s">
        <v>12</v>
      </c>
      <c r="C521" s="3">
        <v>3.93</v>
      </c>
      <c r="D521" s="3">
        <v>5.31</v>
      </c>
      <c r="E521" s="3">
        <v>10</v>
      </c>
      <c r="F521" s="4">
        <v>5.013172</v>
      </c>
      <c r="G521" s="4">
        <v>-73.465811000000002</v>
      </c>
      <c r="H521" s="9">
        <f t="shared" si="24"/>
        <v>0.53099999999999992</v>
      </c>
      <c r="I521" s="4" t="str">
        <f t="shared" si="25"/>
        <v>Sin riesgo &lt;85%</v>
      </c>
      <c r="J521" s="1" t="s">
        <v>13</v>
      </c>
      <c r="K521" s="1" t="str">
        <f t="shared" si="26"/>
        <v>Sin riesgo</v>
      </c>
    </row>
    <row r="522" spans="1:11">
      <c r="A522" s="1" t="s">
        <v>188</v>
      </c>
      <c r="B522" s="6" t="s">
        <v>14</v>
      </c>
      <c r="C522" s="3">
        <v>4.09</v>
      </c>
      <c r="D522" s="3">
        <v>5.53</v>
      </c>
      <c r="E522" s="3">
        <v>10</v>
      </c>
      <c r="F522" s="4">
        <v>5.013172</v>
      </c>
      <c r="G522" s="4">
        <v>-73.465811000000002</v>
      </c>
      <c r="H522" s="9">
        <f t="shared" si="24"/>
        <v>0.55300000000000005</v>
      </c>
      <c r="I522" s="4" t="str">
        <f t="shared" si="25"/>
        <v>Sin riesgo &lt;85%</v>
      </c>
      <c r="J522" s="1" t="s">
        <v>13</v>
      </c>
      <c r="K522" s="1" t="str">
        <f t="shared" si="26"/>
        <v>Sin riesgo</v>
      </c>
    </row>
    <row r="523" spans="1:11">
      <c r="A523" s="1" t="s">
        <v>188</v>
      </c>
      <c r="B523" s="6" t="s">
        <v>15</v>
      </c>
      <c r="C523" s="3">
        <v>4.08</v>
      </c>
      <c r="D523" s="3">
        <v>5.53</v>
      </c>
      <c r="E523" s="3">
        <v>10</v>
      </c>
      <c r="F523" s="4">
        <v>5.013172</v>
      </c>
      <c r="G523" s="4">
        <v>-73.465811000000002</v>
      </c>
      <c r="H523" s="9">
        <f t="shared" si="24"/>
        <v>0.55300000000000005</v>
      </c>
      <c r="I523" s="4" t="str">
        <f t="shared" si="25"/>
        <v>Sin riesgo &lt;85%</v>
      </c>
      <c r="J523" s="1" t="s">
        <v>13</v>
      </c>
      <c r="K523" s="1" t="str">
        <f t="shared" si="26"/>
        <v>Sin riesgo</v>
      </c>
    </row>
    <row r="524" spans="1:11">
      <c r="A524" s="1" t="s">
        <v>189</v>
      </c>
      <c r="B524" s="6" t="s">
        <v>12</v>
      </c>
      <c r="C524" s="3">
        <v>5.7</v>
      </c>
      <c r="D524" s="3">
        <v>4.68</v>
      </c>
      <c r="E524" s="3">
        <v>31.5</v>
      </c>
      <c r="F524" s="4">
        <v>4.7346351799999997</v>
      </c>
      <c r="G524" s="4">
        <v>-73.351192209999994</v>
      </c>
      <c r="H524" s="9">
        <f t="shared" si="24"/>
        <v>0.18095238095238095</v>
      </c>
      <c r="I524" s="4" t="str">
        <f t="shared" si="25"/>
        <v>Sin riesgo &lt;85%</v>
      </c>
      <c r="J524" s="1" t="s">
        <v>13</v>
      </c>
      <c r="K524" s="1" t="str">
        <f t="shared" si="26"/>
        <v>Sin riesgo</v>
      </c>
    </row>
    <row r="525" spans="1:11">
      <c r="A525" s="1" t="s">
        <v>189</v>
      </c>
      <c r="B525" s="6" t="s">
        <v>14</v>
      </c>
      <c r="C525" s="3">
        <v>5.87</v>
      </c>
      <c r="D525" s="3">
        <v>4.82</v>
      </c>
      <c r="E525" s="3">
        <v>31.5</v>
      </c>
      <c r="F525" s="4">
        <v>4.7346351799999997</v>
      </c>
      <c r="G525" s="4">
        <v>-73.351192209999994</v>
      </c>
      <c r="H525" s="9">
        <f t="shared" si="24"/>
        <v>0.18634920634920635</v>
      </c>
      <c r="I525" s="4" t="str">
        <f t="shared" si="25"/>
        <v>Sin riesgo &lt;85%</v>
      </c>
      <c r="J525" s="1" t="s">
        <v>13</v>
      </c>
      <c r="K525" s="1" t="str">
        <f t="shared" si="26"/>
        <v>Sin riesgo</v>
      </c>
    </row>
    <row r="526" spans="1:11">
      <c r="A526" s="1" t="s">
        <v>189</v>
      </c>
      <c r="B526" s="6" t="s">
        <v>15</v>
      </c>
      <c r="C526" s="3">
        <v>5.87</v>
      </c>
      <c r="D526" s="3">
        <v>4.82</v>
      </c>
      <c r="E526" s="3">
        <v>31.5</v>
      </c>
      <c r="F526" s="4">
        <v>4.7346351799999997</v>
      </c>
      <c r="G526" s="4">
        <v>-73.351192209999994</v>
      </c>
      <c r="H526" s="9">
        <f t="shared" si="24"/>
        <v>0.18634920634920635</v>
      </c>
      <c r="I526" s="4" t="str">
        <f t="shared" si="25"/>
        <v>Sin riesgo &lt;85%</v>
      </c>
      <c r="J526" s="1" t="s">
        <v>13</v>
      </c>
      <c r="K526" s="1" t="str">
        <f t="shared" si="26"/>
        <v>Sin riesgo</v>
      </c>
    </row>
    <row r="527" spans="1:11">
      <c r="A527" s="1" t="s">
        <v>190</v>
      </c>
      <c r="B527" s="6" t="s">
        <v>12</v>
      </c>
      <c r="C527" s="3">
        <v>40.89</v>
      </c>
      <c r="D527" s="3">
        <v>36.97</v>
      </c>
      <c r="E527" s="3">
        <v>40</v>
      </c>
      <c r="F527" s="4">
        <v>4.7346351799999997</v>
      </c>
      <c r="G527" s="4">
        <v>-73.351192209999994</v>
      </c>
      <c r="H527" s="9">
        <f t="shared" si="24"/>
        <v>1.0222500000000001</v>
      </c>
      <c r="I527" s="4" t="str">
        <f t="shared" si="25"/>
        <v>Altamente critico &gt;100%</v>
      </c>
      <c r="J527" s="1" t="s">
        <v>13</v>
      </c>
      <c r="K527" s="1" t="str">
        <f t="shared" si="26"/>
        <v>Sin riesgo</v>
      </c>
    </row>
    <row r="528" spans="1:11">
      <c r="A528" s="1" t="s">
        <v>190</v>
      </c>
      <c r="B528" s="6" t="s">
        <v>14</v>
      </c>
      <c r="C528" s="3">
        <v>42.16</v>
      </c>
      <c r="D528" s="3">
        <v>38.11</v>
      </c>
      <c r="E528" s="3">
        <v>40</v>
      </c>
      <c r="F528" s="4">
        <v>4.7346351799999997</v>
      </c>
      <c r="G528" s="4">
        <v>-73.351192209999994</v>
      </c>
      <c r="H528" s="9">
        <f t="shared" si="24"/>
        <v>1.0539999999999998</v>
      </c>
      <c r="I528" s="4" t="str">
        <f t="shared" si="25"/>
        <v>Altamente critico &gt;100%</v>
      </c>
      <c r="J528" s="1" t="s">
        <v>13</v>
      </c>
      <c r="K528" s="1" t="str">
        <f t="shared" si="26"/>
        <v>Sin riesgo</v>
      </c>
    </row>
    <row r="529" spans="1:11">
      <c r="A529" s="1" t="s">
        <v>190</v>
      </c>
      <c r="B529" s="6" t="s">
        <v>15</v>
      </c>
      <c r="C529" s="3">
        <v>42.18</v>
      </c>
      <c r="D529" s="3">
        <v>38.14</v>
      </c>
      <c r="E529" s="3">
        <v>40</v>
      </c>
      <c r="F529" s="4">
        <v>4.7346351799999997</v>
      </c>
      <c r="G529" s="4">
        <v>-73.351192209999994</v>
      </c>
      <c r="H529" s="9">
        <f t="shared" si="24"/>
        <v>1.0545</v>
      </c>
      <c r="I529" s="4" t="str">
        <f t="shared" si="25"/>
        <v>Altamente critico &gt;100%</v>
      </c>
      <c r="J529" s="1" t="s">
        <v>13</v>
      </c>
      <c r="K529" s="1" t="str">
        <f t="shared" si="26"/>
        <v>Sin riesgo</v>
      </c>
    </row>
    <row r="530" spans="1:11">
      <c r="A530" s="1" t="s">
        <v>191</v>
      </c>
      <c r="B530" s="6" t="s">
        <v>12</v>
      </c>
      <c r="C530" s="3">
        <v>40.94</v>
      </c>
      <c r="D530" s="3">
        <v>36.9</v>
      </c>
      <c r="E530" s="3">
        <v>40</v>
      </c>
      <c r="F530" s="4">
        <v>4.7346351799999997</v>
      </c>
      <c r="G530" s="4">
        <v>-73.351192209999994</v>
      </c>
      <c r="H530" s="9">
        <f t="shared" si="24"/>
        <v>1.0234999999999999</v>
      </c>
      <c r="I530" s="4" t="str">
        <f t="shared" si="25"/>
        <v>Altamente critico &gt;100%</v>
      </c>
      <c r="J530" s="1" t="s">
        <v>13</v>
      </c>
      <c r="K530" s="1" t="str">
        <f t="shared" si="26"/>
        <v>Sin riesgo</v>
      </c>
    </row>
    <row r="531" spans="1:11">
      <c r="A531" s="1" t="s">
        <v>191</v>
      </c>
      <c r="B531" s="6" t="s">
        <v>14</v>
      </c>
      <c r="C531" s="3">
        <v>42.2</v>
      </c>
      <c r="D531" s="3">
        <v>38.04</v>
      </c>
      <c r="E531" s="3">
        <v>40</v>
      </c>
      <c r="F531" s="4">
        <v>4.7346351799999997</v>
      </c>
      <c r="G531" s="4">
        <v>-73.351192209999994</v>
      </c>
      <c r="H531" s="9">
        <f t="shared" si="24"/>
        <v>1.0550000000000002</v>
      </c>
      <c r="I531" s="4" t="str">
        <f t="shared" si="25"/>
        <v>Altamente critico &gt;100%</v>
      </c>
      <c r="J531" s="1" t="s">
        <v>13</v>
      </c>
      <c r="K531" s="1" t="str">
        <f t="shared" si="26"/>
        <v>Sin riesgo</v>
      </c>
    </row>
    <row r="532" spans="1:11">
      <c r="A532" s="1" t="s">
        <v>191</v>
      </c>
      <c r="B532" s="6" t="s">
        <v>15</v>
      </c>
      <c r="C532" s="3">
        <v>42.23</v>
      </c>
      <c r="D532" s="3">
        <v>38.07</v>
      </c>
      <c r="E532" s="3">
        <v>40</v>
      </c>
      <c r="F532" s="4">
        <v>4.7346351799999997</v>
      </c>
      <c r="G532" s="4">
        <v>-73.351192209999994</v>
      </c>
      <c r="H532" s="9">
        <f t="shared" si="24"/>
        <v>1.05575</v>
      </c>
      <c r="I532" s="4" t="str">
        <f t="shared" si="25"/>
        <v>Altamente critico &gt;100%</v>
      </c>
      <c r="J532" s="1" t="s">
        <v>13</v>
      </c>
      <c r="K532" s="1" t="str">
        <f t="shared" si="26"/>
        <v>Sin riesgo</v>
      </c>
    </row>
    <row r="533" spans="1:11">
      <c r="A533" s="1" t="s">
        <v>192</v>
      </c>
      <c r="B533" s="6" t="s">
        <v>12</v>
      </c>
      <c r="C533" s="3">
        <v>4.49</v>
      </c>
      <c r="D533" s="3">
        <v>7.59</v>
      </c>
      <c r="E533" s="3">
        <v>40</v>
      </c>
      <c r="F533" s="4">
        <v>4.5807739200000004</v>
      </c>
      <c r="G533" s="4">
        <v>-74.243415540000001</v>
      </c>
      <c r="H533" s="9">
        <f t="shared" si="24"/>
        <v>0.18975</v>
      </c>
      <c r="I533" s="4" t="str">
        <f t="shared" si="25"/>
        <v>Sin riesgo &lt;85%</v>
      </c>
      <c r="J533" s="1" t="s">
        <v>13</v>
      </c>
      <c r="K533" s="1" t="str">
        <f t="shared" si="26"/>
        <v>Sin riesgo</v>
      </c>
    </row>
    <row r="534" spans="1:11">
      <c r="A534" s="1" t="s">
        <v>192</v>
      </c>
      <c r="B534" s="6" t="s">
        <v>14</v>
      </c>
      <c r="C534" s="3">
        <v>4.54</v>
      </c>
      <c r="D534" s="3">
        <v>7.68</v>
      </c>
      <c r="E534" s="3">
        <v>40</v>
      </c>
      <c r="F534" s="4">
        <v>4.5807739200000004</v>
      </c>
      <c r="G534" s="4">
        <v>-74.243415540000001</v>
      </c>
      <c r="H534" s="9">
        <f t="shared" si="24"/>
        <v>0.192</v>
      </c>
      <c r="I534" s="4" t="str">
        <f t="shared" si="25"/>
        <v>Sin riesgo &lt;85%</v>
      </c>
      <c r="J534" s="1" t="s">
        <v>13</v>
      </c>
      <c r="K534" s="1" t="str">
        <f t="shared" si="26"/>
        <v>Sin riesgo</v>
      </c>
    </row>
    <row r="535" spans="1:11">
      <c r="A535" s="1" t="s">
        <v>192</v>
      </c>
      <c r="B535" s="6" t="s">
        <v>15</v>
      </c>
      <c r="C535" s="3">
        <v>4.54</v>
      </c>
      <c r="D535" s="3">
        <v>7.68</v>
      </c>
      <c r="E535" s="3">
        <v>40</v>
      </c>
      <c r="F535" s="4">
        <v>4.5807739200000004</v>
      </c>
      <c r="G535" s="4">
        <v>-74.243415540000001</v>
      </c>
      <c r="H535" s="9">
        <f t="shared" si="24"/>
        <v>0.192</v>
      </c>
      <c r="I535" s="4" t="str">
        <f t="shared" si="25"/>
        <v>Sin riesgo &lt;85%</v>
      </c>
      <c r="J535" s="1" t="s">
        <v>13</v>
      </c>
      <c r="K535" s="1" t="str">
        <f t="shared" si="26"/>
        <v>Sin riesgo</v>
      </c>
    </row>
    <row r="536" spans="1:11">
      <c r="A536" s="1" t="s">
        <v>114</v>
      </c>
      <c r="B536" s="6" t="s">
        <v>12</v>
      </c>
      <c r="C536" s="3">
        <v>28.02</v>
      </c>
      <c r="D536" s="3">
        <v>34.880000000000003</v>
      </c>
      <c r="E536" s="3">
        <v>40</v>
      </c>
      <c r="F536" s="4">
        <v>4.6394257999999997</v>
      </c>
      <c r="G536" s="4">
        <v>-74.121932319999999</v>
      </c>
      <c r="H536" s="9">
        <f t="shared" si="24"/>
        <v>0.87200000000000011</v>
      </c>
      <c r="I536" s="4" t="str">
        <f t="shared" si="25"/>
        <v>En riesgo &gt;85%</v>
      </c>
      <c r="J536" s="1" t="s">
        <v>13</v>
      </c>
      <c r="K536" s="1" t="str">
        <f t="shared" si="26"/>
        <v>Sin riesgo</v>
      </c>
    </row>
    <row r="537" spans="1:11">
      <c r="A537" s="1" t="s">
        <v>114</v>
      </c>
      <c r="B537" s="6" t="s">
        <v>14</v>
      </c>
      <c r="C537" s="3">
        <v>28.59</v>
      </c>
      <c r="D537" s="3">
        <v>35.44</v>
      </c>
      <c r="E537" s="3">
        <v>40</v>
      </c>
      <c r="F537" s="4">
        <v>4.6394257999999997</v>
      </c>
      <c r="G537" s="4">
        <v>-74.121932319999999</v>
      </c>
      <c r="H537" s="9">
        <f t="shared" si="24"/>
        <v>0.8859999999999999</v>
      </c>
      <c r="I537" s="4" t="str">
        <f t="shared" si="25"/>
        <v>En riesgo &gt;85%</v>
      </c>
      <c r="J537" s="1" t="s">
        <v>13</v>
      </c>
      <c r="K537" s="1" t="str">
        <f t="shared" si="26"/>
        <v>Sin riesgo</v>
      </c>
    </row>
    <row r="538" spans="1:11">
      <c r="A538" s="1" t="s">
        <v>114</v>
      </c>
      <c r="B538" s="6" t="s">
        <v>15</v>
      </c>
      <c r="C538" s="3">
        <v>28.63</v>
      </c>
      <c r="D538" s="3">
        <v>35.549999999999997</v>
      </c>
      <c r="E538" s="3">
        <v>40</v>
      </c>
      <c r="F538" s="4">
        <v>4.6394257999999997</v>
      </c>
      <c r="G538" s="4">
        <v>-74.121932319999999</v>
      </c>
      <c r="H538" s="9">
        <f t="shared" si="24"/>
        <v>0.88874999999999993</v>
      </c>
      <c r="I538" s="4" t="str">
        <f t="shared" si="25"/>
        <v>En riesgo &gt;85%</v>
      </c>
      <c r="J538" s="1" t="s">
        <v>13</v>
      </c>
      <c r="K538" s="1" t="str">
        <f t="shared" si="26"/>
        <v>Sin riesgo</v>
      </c>
    </row>
    <row r="539" spans="1:11">
      <c r="A539" s="1" t="s">
        <v>193</v>
      </c>
      <c r="B539" s="6" t="s">
        <v>12</v>
      </c>
      <c r="C539" s="3">
        <v>24.87</v>
      </c>
      <c r="D539" s="3">
        <v>28.24</v>
      </c>
      <c r="E539" s="3">
        <v>31.5</v>
      </c>
      <c r="F539" s="4">
        <v>4.5925584099999996</v>
      </c>
      <c r="G539" s="4">
        <v>-74.33349269</v>
      </c>
      <c r="H539" s="9">
        <f t="shared" si="24"/>
        <v>0.89650793650793648</v>
      </c>
      <c r="I539" s="4" t="str">
        <f t="shared" si="25"/>
        <v>En riesgo &gt;85%</v>
      </c>
      <c r="J539" s="1" t="s">
        <v>13</v>
      </c>
      <c r="K539" s="1" t="str">
        <f t="shared" si="26"/>
        <v>Sin riesgo</v>
      </c>
    </row>
    <row r="540" spans="1:11">
      <c r="A540" s="1" t="s">
        <v>193</v>
      </c>
      <c r="B540" s="6" t="s">
        <v>14</v>
      </c>
      <c r="C540" s="3">
        <v>25.14</v>
      </c>
      <c r="D540" s="3">
        <v>28.57</v>
      </c>
      <c r="E540" s="3">
        <v>31.5</v>
      </c>
      <c r="F540" s="4">
        <v>4.5925584099999996</v>
      </c>
      <c r="G540" s="4">
        <v>-74.33349269</v>
      </c>
      <c r="H540" s="9">
        <f t="shared" si="24"/>
        <v>0.906984126984127</v>
      </c>
      <c r="I540" s="4" t="str">
        <f t="shared" si="25"/>
        <v>En riesgo &gt;85%</v>
      </c>
      <c r="J540" s="1" t="s">
        <v>13</v>
      </c>
      <c r="K540" s="1" t="str">
        <f t="shared" si="26"/>
        <v>Sin riesgo</v>
      </c>
    </row>
    <row r="541" spans="1:11">
      <c r="A541" s="1" t="s">
        <v>193</v>
      </c>
      <c r="B541" s="6" t="s">
        <v>15</v>
      </c>
      <c r="C541" s="3">
        <v>25.16</v>
      </c>
      <c r="D541" s="3">
        <v>28.61</v>
      </c>
      <c r="E541" s="3">
        <v>31.5</v>
      </c>
      <c r="F541" s="4">
        <v>4.5925584099999996</v>
      </c>
      <c r="G541" s="4">
        <v>-74.33349269</v>
      </c>
      <c r="H541" s="9">
        <f t="shared" si="24"/>
        <v>0.9082539682539682</v>
      </c>
      <c r="I541" s="4" t="str">
        <f t="shared" si="25"/>
        <v>En riesgo &gt;85%</v>
      </c>
      <c r="J541" s="1" t="s">
        <v>13</v>
      </c>
      <c r="K541" s="1" t="str">
        <f t="shared" si="26"/>
        <v>Sin riesgo</v>
      </c>
    </row>
    <row r="542" spans="1:11">
      <c r="A542" s="1" t="s">
        <v>194</v>
      </c>
      <c r="B542" s="6" t="s">
        <v>12</v>
      </c>
      <c r="C542" s="3">
        <v>5.03</v>
      </c>
      <c r="D542" s="3">
        <v>4.67</v>
      </c>
      <c r="E542" s="3">
        <v>25</v>
      </c>
      <c r="F542" s="4">
        <v>4.7684853800000004</v>
      </c>
      <c r="G542" s="4">
        <v>-73.324319000000003</v>
      </c>
      <c r="H542" s="9">
        <f t="shared" si="24"/>
        <v>0.20120000000000002</v>
      </c>
      <c r="I542" s="4" t="str">
        <f t="shared" si="25"/>
        <v>Sin riesgo &lt;85%</v>
      </c>
      <c r="J542" s="1" t="s">
        <v>13</v>
      </c>
      <c r="K542" s="1" t="str">
        <f t="shared" si="26"/>
        <v>Sin riesgo</v>
      </c>
    </row>
    <row r="543" spans="1:11">
      <c r="A543" s="1" t="s">
        <v>194</v>
      </c>
      <c r="B543" s="6" t="s">
        <v>14</v>
      </c>
      <c r="C543" s="3">
        <v>5.19</v>
      </c>
      <c r="D543" s="3">
        <v>4.82</v>
      </c>
      <c r="E543" s="3">
        <v>25</v>
      </c>
      <c r="F543" s="4">
        <v>4.7684853800000004</v>
      </c>
      <c r="G543" s="4">
        <v>-73.324319000000003</v>
      </c>
      <c r="H543" s="9">
        <f t="shared" si="24"/>
        <v>0.20760000000000001</v>
      </c>
      <c r="I543" s="4" t="str">
        <f t="shared" si="25"/>
        <v>Sin riesgo &lt;85%</v>
      </c>
      <c r="J543" s="1" t="s">
        <v>13</v>
      </c>
      <c r="K543" s="1" t="str">
        <f t="shared" si="26"/>
        <v>Sin riesgo</v>
      </c>
    </row>
    <row r="544" spans="1:11">
      <c r="A544" s="1" t="s">
        <v>194</v>
      </c>
      <c r="B544" s="6" t="s">
        <v>15</v>
      </c>
      <c r="C544" s="3">
        <v>5.18</v>
      </c>
      <c r="D544" s="3">
        <v>4.8099999999999996</v>
      </c>
      <c r="E544" s="3">
        <v>25</v>
      </c>
      <c r="F544" s="4">
        <v>4.7684853800000004</v>
      </c>
      <c r="G544" s="4">
        <v>-73.324319000000003</v>
      </c>
      <c r="H544" s="9">
        <f t="shared" si="24"/>
        <v>0.2072</v>
      </c>
      <c r="I544" s="4" t="str">
        <f t="shared" si="25"/>
        <v>Sin riesgo &lt;85%</v>
      </c>
      <c r="J544" s="1" t="s">
        <v>13</v>
      </c>
      <c r="K544" s="1" t="str">
        <f t="shared" si="26"/>
        <v>Sin riesgo</v>
      </c>
    </row>
    <row r="545" spans="1:11">
      <c r="A545" s="1" t="s">
        <v>195</v>
      </c>
      <c r="B545" s="6" t="s">
        <v>12</v>
      </c>
      <c r="C545" s="3">
        <v>32.17</v>
      </c>
      <c r="D545" s="3">
        <v>32.44</v>
      </c>
      <c r="E545" s="3">
        <v>26.2</v>
      </c>
      <c r="F545" s="11"/>
      <c r="G545" s="11"/>
      <c r="H545" s="9">
        <f t="shared" si="24"/>
        <v>1.2381679389312976</v>
      </c>
      <c r="I545" s="4" t="str">
        <f t="shared" si="25"/>
        <v>Altamente critico &gt;100%</v>
      </c>
      <c r="J545" s="1" t="s">
        <v>13</v>
      </c>
      <c r="K545" s="1" t="str">
        <f t="shared" si="26"/>
        <v>Sin riesgo</v>
      </c>
    </row>
    <row r="546" spans="1:11">
      <c r="A546" s="1" t="s">
        <v>195</v>
      </c>
      <c r="B546" s="6" t="s">
        <v>14</v>
      </c>
      <c r="C546" s="3">
        <v>32.58</v>
      </c>
      <c r="D546" s="3">
        <v>32.869999999999997</v>
      </c>
      <c r="E546" s="3">
        <v>26.2</v>
      </c>
      <c r="F546" s="11"/>
      <c r="G546" s="11"/>
      <c r="H546" s="9">
        <f t="shared" si="24"/>
        <v>1.2545801526717557</v>
      </c>
      <c r="I546" s="4" t="str">
        <f t="shared" si="25"/>
        <v>Altamente critico &gt;100%</v>
      </c>
      <c r="J546" s="1" t="s">
        <v>13</v>
      </c>
      <c r="K546" s="1" t="str">
        <f t="shared" si="26"/>
        <v>Sin riesgo</v>
      </c>
    </row>
    <row r="547" spans="1:11">
      <c r="A547" s="1" t="s">
        <v>195</v>
      </c>
      <c r="B547" s="6" t="s">
        <v>15</v>
      </c>
      <c r="C547" s="3">
        <v>32.61</v>
      </c>
      <c r="D547" s="3">
        <v>32.92</v>
      </c>
      <c r="E547" s="3">
        <v>26.2</v>
      </c>
      <c r="F547" s="11"/>
      <c r="G547" s="11"/>
      <c r="H547" s="9">
        <f t="shared" si="24"/>
        <v>1.2564885496183207</v>
      </c>
      <c r="I547" s="4" t="str">
        <f t="shared" si="25"/>
        <v>Altamente critico &gt;100%</v>
      </c>
      <c r="J547" s="1" t="s">
        <v>13</v>
      </c>
      <c r="K547" s="1" t="str">
        <f t="shared" si="26"/>
        <v>Sin riesgo</v>
      </c>
    </row>
    <row r="548" spans="1:11">
      <c r="A548" s="1" t="s">
        <v>196</v>
      </c>
      <c r="B548" s="6" t="s">
        <v>12</v>
      </c>
      <c r="C548" s="3">
        <v>28.42</v>
      </c>
      <c r="D548" s="3">
        <v>35.25</v>
      </c>
      <c r="E548" s="3">
        <v>40</v>
      </c>
      <c r="F548" s="11"/>
      <c r="G548" s="11"/>
      <c r="H548" s="9">
        <f t="shared" si="24"/>
        <v>0.88124999999999998</v>
      </c>
      <c r="I548" s="4" t="str">
        <f t="shared" si="25"/>
        <v>En riesgo &gt;85%</v>
      </c>
      <c r="J548" s="1" t="s">
        <v>13</v>
      </c>
      <c r="K548" s="1" t="str">
        <f t="shared" si="26"/>
        <v>Sin riesgo</v>
      </c>
    </row>
    <row r="549" spans="1:11">
      <c r="A549" s="1" t="s">
        <v>196</v>
      </c>
      <c r="B549" s="6" t="s">
        <v>14</v>
      </c>
      <c r="C549" s="3">
        <v>29.43</v>
      </c>
      <c r="D549" s="3">
        <v>36.22</v>
      </c>
      <c r="E549" s="3">
        <v>40</v>
      </c>
      <c r="F549" s="11"/>
      <c r="G549" s="11"/>
      <c r="H549" s="9">
        <f t="shared" si="24"/>
        <v>0.90549999999999997</v>
      </c>
      <c r="I549" s="4" t="str">
        <f t="shared" si="25"/>
        <v>En riesgo &gt;85%</v>
      </c>
      <c r="J549" s="1" t="s">
        <v>13</v>
      </c>
      <c r="K549" s="1" t="str">
        <f t="shared" si="26"/>
        <v>Sin riesgo</v>
      </c>
    </row>
    <row r="550" spans="1:11">
      <c r="A550" s="1" t="s">
        <v>196</v>
      </c>
      <c r="B550" s="6" t="s">
        <v>15</v>
      </c>
      <c r="C550" s="3">
        <v>29.48</v>
      </c>
      <c r="D550" s="3">
        <v>36.340000000000003</v>
      </c>
      <c r="E550" s="3">
        <v>40</v>
      </c>
      <c r="F550" s="11"/>
      <c r="G550" s="11"/>
      <c r="H550" s="9">
        <f t="shared" si="24"/>
        <v>0.90850000000000009</v>
      </c>
      <c r="I550" s="4" t="str">
        <f t="shared" si="25"/>
        <v>En riesgo &gt;85%</v>
      </c>
      <c r="J550" s="1" t="s">
        <v>13</v>
      </c>
      <c r="K550" s="1" t="str">
        <f t="shared" si="26"/>
        <v>Sin riesgo</v>
      </c>
    </row>
    <row r="551" spans="1:11">
      <c r="A551" s="1" t="s">
        <v>197</v>
      </c>
      <c r="B551" s="6" t="s">
        <v>12</v>
      </c>
      <c r="C551" s="3">
        <v>21.83</v>
      </c>
      <c r="D551" s="3">
        <v>27.49</v>
      </c>
      <c r="E551" s="3">
        <v>40</v>
      </c>
      <c r="F551" s="4">
        <v>4.6932785099999998</v>
      </c>
      <c r="G551" s="4">
        <v>-74.077865650000007</v>
      </c>
      <c r="H551" s="9">
        <f t="shared" si="24"/>
        <v>0.68724999999999992</v>
      </c>
      <c r="I551" s="4" t="str">
        <f t="shared" si="25"/>
        <v>Sin riesgo &lt;85%</v>
      </c>
      <c r="J551" s="1" t="s">
        <v>13</v>
      </c>
      <c r="K551" s="1" t="str">
        <f t="shared" si="26"/>
        <v>Sin riesgo</v>
      </c>
    </row>
    <row r="552" spans="1:11">
      <c r="A552" s="1" t="s">
        <v>197</v>
      </c>
      <c r="B552" s="6" t="s">
        <v>14</v>
      </c>
      <c r="C552" s="3">
        <v>22.58</v>
      </c>
      <c r="D552" s="3">
        <v>28.38</v>
      </c>
      <c r="E552" s="3">
        <v>40</v>
      </c>
      <c r="F552" s="4">
        <v>4.6932785099999998</v>
      </c>
      <c r="G552" s="4">
        <v>-74.077865650000007</v>
      </c>
      <c r="H552" s="9">
        <f t="shared" si="24"/>
        <v>0.70950000000000002</v>
      </c>
      <c r="I552" s="4" t="str">
        <f t="shared" si="25"/>
        <v>Sin riesgo &lt;85%</v>
      </c>
      <c r="J552" s="1" t="s">
        <v>13</v>
      </c>
      <c r="K552" s="1" t="str">
        <f t="shared" si="26"/>
        <v>Sin riesgo</v>
      </c>
    </row>
    <row r="553" spans="1:11">
      <c r="A553" s="1" t="s">
        <v>197</v>
      </c>
      <c r="B553" s="6" t="s">
        <v>15</v>
      </c>
      <c r="C553" s="3">
        <v>22.6</v>
      </c>
      <c r="D553" s="3">
        <v>28.44</v>
      </c>
      <c r="E553" s="3">
        <v>40</v>
      </c>
      <c r="F553" s="4">
        <v>4.6932785099999998</v>
      </c>
      <c r="G553" s="4">
        <v>-74.077865650000007</v>
      </c>
      <c r="H553" s="9">
        <f t="shared" si="24"/>
        <v>0.71100000000000008</v>
      </c>
      <c r="I553" s="4" t="str">
        <f t="shared" si="25"/>
        <v>Sin riesgo &lt;85%</v>
      </c>
      <c r="J553" s="1" t="s">
        <v>13</v>
      </c>
      <c r="K553" s="1" t="str">
        <f t="shared" si="26"/>
        <v>Sin riesgo</v>
      </c>
    </row>
    <row r="554" spans="1:11">
      <c r="A554" s="1" t="s">
        <v>198</v>
      </c>
      <c r="B554" s="6" t="s">
        <v>12</v>
      </c>
      <c r="C554" s="3">
        <v>14.92</v>
      </c>
      <c r="D554" s="3">
        <v>18.22</v>
      </c>
      <c r="E554" s="3">
        <v>40</v>
      </c>
      <c r="F554" s="4">
        <v>4.7108515799999999</v>
      </c>
      <c r="G554" s="4">
        <v>-74.235049369999999</v>
      </c>
      <c r="H554" s="9">
        <f t="shared" si="24"/>
        <v>0.45549999999999996</v>
      </c>
      <c r="I554" s="4" t="str">
        <f t="shared" si="25"/>
        <v>Sin riesgo &lt;85%</v>
      </c>
      <c r="J554" s="1" t="s">
        <v>13</v>
      </c>
      <c r="K554" s="1" t="str">
        <f t="shared" si="26"/>
        <v>Sin riesgo</v>
      </c>
    </row>
    <row r="555" spans="1:11">
      <c r="A555" s="1" t="s">
        <v>198</v>
      </c>
      <c r="B555" s="6" t="s">
        <v>14</v>
      </c>
      <c r="C555" s="3">
        <v>15.11</v>
      </c>
      <c r="D555" s="3">
        <v>18.47</v>
      </c>
      <c r="E555" s="3">
        <v>40</v>
      </c>
      <c r="F555" s="4">
        <v>4.7108515799999999</v>
      </c>
      <c r="G555" s="4">
        <v>-74.235049369999999</v>
      </c>
      <c r="H555" s="9">
        <f t="shared" si="24"/>
        <v>0.46174999999999999</v>
      </c>
      <c r="I555" s="4" t="str">
        <f t="shared" si="25"/>
        <v>Sin riesgo &lt;85%</v>
      </c>
      <c r="J555" s="1" t="s">
        <v>13</v>
      </c>
      <c r="K555" s="1" t="str">
        <f t="shared" si="26"/>
        <v>Sin riesgo</v>
      </c>
    </row>
    <row r="556" spans="1:11">
      <c r="A556" s="1" t="s">
        <v>198</v>
      </c>
      <c r="B556" s="6" t="s">
        <v>15</v>
      </c>
      <c r="C556" s="3">
        <v>15.35</v>
      </c>
      <c r="D556" s="3">
        <v>19</v>
      </c>
      <c r="E556" s="3">
        <v>40</v>
      </c>
      <c r="F556" s="4">
        <v>4.7108515799999999</v>
      </c>
      <c r="G556" s="4">
        <v>-74.235049369999999</v>
      </c>
      <c r="H556" s="9">
        <f t="shared" si="24"/>
        <v>0.47499999999999998</v>
      </c>
      <c r="I556" s="4" t="str">
        <f t="shared" si="25"/>
        <v>Sin riesgo &lt;85%</v>
      </c>
      <c r="J556" s="1" t="s">
        <v>13</v>
      </c>
      <c r="K556" s="1" t="str">
        <f t="shared" si="26"/>
        <v>Sin riesgo</v>
      </c>
    </row>
    <row r="557" spans="1:11">
      <c r="A557" s="1" t="s">
        <v>199</v>
      </c>
      <c r="B557" s="6" t="s">
        <v>12</v>
      </c>
      <c r="C557" s="3">
        <v>32.840000000000003</v>
      </c>
      <c r="D557" s="3">
        <v>35.54</v>
      </c>
      <c r="E557" s="3">
        <v>40</v>
      </c>
      <c r="F557" s="4">
        <v>4.5898560799999997</v>
      </c>
      <c r="G557" s="4">
        <v>-74.119106169999995</v>
      </c>
      <c r="H557" s="9">
        <f t="shared" si="24"/>
        <v>0.88849999999999996</v>
      </c>
      <c r="I557" s="4" t="str">
        <f t="shared" si="25"/>
        <v>En riesgo &gt;85%</v>
      </c>
      <c r="J557" s="1" t="s">
        <v>13</v>
      </c>
      <c r="K557" s="1" t="str">
        <f t="shared" si="26"/>
        <v>Sin riesgo</v>
      </c>
    </row>
    <row r="558" spans="1:11">
      <c r="A558" s="1" t="s">
        <v>199</v>
      </c>
      <c r="B558" s="6" t="s">
        <v>14</v>
      </c>
      <c r="C558" s="3">
        <v>34.79</v>
      </c>
      <c r="D558" s="3">
        <v>37.65</v>
      </c>
      <c r="E558" s="3">
        <v>40</v>
      </c>
      <c r="F558" s="4">
        <v>4.5898560799999997</v>
      </c>
      <c r="G558" s="4">
        <v>-74.119106169999995</v>
      </c>
      <c r="H558" s="9">
        <f t="shared" si="24"/>
        <v>0.94124999999999992</v>
      </c>
      <c r="I558" s="4" t="str">
        <f t="shared" si="25"/>
        <v>En riesgo &gt;85%</v>
      </c>
      <c r="J558" s="1" t="s">
        <v>13</v>
      </c>
      <c r="K558" s="1" t="str">
        <f t="shared" si="26"/>
        <v>Sin riesgo</v>
      </c>
    </row>
    <row r="559" spans="1:11">
      <c r="A559" s="1" t="s">
        <v>199</v>
      </c>
      <c r="B559" s="6" t="s">
        <v>15</v>
      </c>
      <c r="C559" s="3">
        <v>34.83</v>
      </c>
      <c r="D559" s="3">
        <v>37.74</v>
      </c>
      <c r="E559" s="3">
        <v>40</v>
      </c>
      <c r="F559" s="4">
        <v>4.5898560799999997</v>
      </c>
      <c r="G559" s="4">
        <v>-74.119106169999995</v>
      </c>
      <c r="H559" s="9">
        <f t="shared" si="24"/>
        <v>0.94350000000000001</v>
      </c>
      <c r="I559" s="4" t="str">
        <f t="shared" si="25"/>
        <v>En riesgo &gt;85%</v>
      </c>
      <c r="J559" s="1" t="s">
        <v>13</v>
      </c>
      <c r="K559" s="1" t="str">
        <f t="shared" si="26"/>
        <v>Sin riesgo</v>
      </c>
    </row>
    <row r="560" spans="1:11">
      <c r="A560" s="1" t="s">
        <v>200</v>
      </c>
      <c r="B560" s="6" t="s">
        <v>12</v>
      </c>
      <c r="C560" s="3">
        <v>22.69</v>
      </c>
      <c r="D560" s="3">
        <v>26.89</v>
      </c>
      <c r="E560" s="3">
        <v>40</v>
      </c>
      <c r="F560" s="4">
        <v>4.5333417999999996</v>
      </c>
      <c r="G560" s="4">
        <v>-74.247172390000003</v>
      </c>
      <c r="H560" s="9">
        <f t="shared" si="24"/>
        <v>0.67225000000000001</v>
      </c>
      <c r="I560" s="4" t="str">
        <f t="shared" si="25"/>
        <v>Sin riesgo &lt;85%</v>
      </c>
      <c r="J560" s="1" t="s">
        <v>13</v>
      </c>
      <c r="K560" s="1" t="str">
        <f t="shared" si="26"/>
        <v>Sin riesgo</v>
      </c>
    </row>
    <row r="561" spans="1:11">
      <c r="A561" s="1" t="s">
        <v>200</v>
      </c>
      <c r="B561" s="6" t="s">
        <v>14</v>
      </c>
      <c r="C561" s="3">
        <v>22.99</v>
      </c>
      <c r="D561" s="3">
        <v>27.28</v>
      </c>
      <c r="E561" s="3">
        <v>40</v>
      </c>
      <c r="F561" s="4">
        <v>4.5333417999999996</v>
      </c>
      <c r="G561" s="4">
        <v>-74.247172390000003</v>
      </c>
      <c r="H561" s="9">
        <f t="shared" si="24"/>
        <v>0.68200000000000005</v>
      </c>
      <c r="I561" s="4" t="str">
        <f t="shared" si="25"/>
        <v>Sin riesgo &lt;85%</v>
      </c>
      <c r="J561" s="1" t="s">
        <v>13</v>
      </c>
      <c r="K561" s="1" t="str">
        <f t="shared" si="26"/>
        <v>Sin riesgo</v>
      </c>
    </row>
    <row r="562" spans="1:11">
      <c r="A562" s="1" t="s">
        <v>200</v>
      </c>
      <c r="B562" s="6" t="s">
        <v>15</v>
      </c>
      <c r="C562" s="3">
        <v>23</v>
      </c>
      <c r="D562" s="3">
        <v>27.31</v>
      </c>
      <c r="E562" s="3">
        <v>40</v>
      </c>
      <c r="F562" s="4">
        <v>4.5333417999999996</v>
      </c>
      <c r="G562" s="4">
        <v>-74.247172390000003</v>
      </c>
      <c r="H562" s="9">
        <f t="shared" si="24"/>
        <v>0.68274999999999997</v>
      </c>
      <c r="I562" s="4" t="str">
        <f t="shared" si="25"/>
        <v>Sin riesgo &lt;85%</v>
      </c>
      <c r="J562" s="1" t="s">
        <v>13</v>
      </c>
      <c r="K562" s="1" t="str">
        <f t="shared" si="26"/>
        <v>Sin riesgo</v>
      </c>
    </row>
    <row r="563" spans="1:11">
      <c r="A563" s="1" t="s">
        <v>201</v>
      </c>
      <c r="B563" s="6" t="s">
        <v>12</v>
      </c>
      <c r="C563" s="3">
        <v>18.66</v>
      </c>
      <c r="D563" s="3">
        <v>23.55</v>
      </c>
      <c r="E563" s="3">
        <v>31.5</v>
      </c>
      <c r="F563" s="4">
        <v>4.5333417999999996</v>
      </c>
      <c r="G563" s="4">
        <v>-74.247172390000003</v>
      </c>
      <c r="H563" s="9">
        <f t="shared" si="24"/>
        <v>0.74761904761904763</v>
      </c>
      <c r="I563" s="4" t="str">
        <f t="shared" si="25"/>
        <v>Sin riesgo &lt;85%</v>
      </c>
      <c r="J563" s="1" t="s">
        <v>13</v>
      </c>
      <c r="K563" s="1" t="str">
        <f t="shared" si="26"/>
        <v>Sin riesgo</v>
      </c>
    </row>
    <row r="564" spans="1:11">
      <c r="A564" s="1" t="s">
        <v>201</v>
      </c>
      <c r="B564" s="6" t="s">
        <v>14</v>
      </c>
      <c r="C564" s="3">
        <v>18.88</v>
      </c>
      <c r="D564" s="3">
        <v>23.87</v>
      </c>
      <c r="E564" s="3">
        <v>31.5</v>
      </c>
      <c r="F564" s="4">
        <v>4.5333417999999996</v>
      </c>
      <c r="G564" s="4">
        <v>-74.247172390000003</v>
      </c>
      <c r="H564" s="9">
        <f t="shared" si="24"/>
        <v>0.75777777777777777</v>
      </c>
      <c r="I564" s="4" t="str">
        <f t="shared" si="25"/>
        <v>Sin riesgo &lt;85%</v>
      </c>
      <c r="J564" s="1" t="s">
        <v>13</v>
      </c>
      <c r="K564" s="1" t="str">
        <f t="shared" si="26"/>
        <v>Sin riesgo</v>
      </c>
    </row>
    <row r="565" spans="1:11">
      <c r="A565" s="1" t="s">
        <v>201</v>
      </c>
      <c r="B565" s="6" t="s">
        <v>15</v>
      </c>
      <c r="C565" s="3">
        <v>18.89</v>
      </c>
      <c r="D565" s="3">
        <v>23.89</v>
      </c>
      <c r="E565" s="3">
        <v>31.5</v>
      </c>
      <c r="F565" s="4">
        <v>4.5333417999999996</v>
      </c>
      <c r="G565" s="4">
        <v>-74.247172390000003</v>
      </c>
      <c r="H565" s="9">
        <f t="shared" si="24"/>
        <v>0.75841269841269843</v>
      </c>
      <c r="I565" s="4" t="str">
        <f t="shared" si="25"/>
        <v>Sin riesgo &lt;85%</v>
      </c>
      <c r="J565" s="1" t="s">
        <v>13</v>
      </c>
      <c r="K565" s="1" t="str">
        <f t="shared" si="26"/>
        <v>Sin riesgo</v>
      </c>
    </row>
    <row r="566" spans="1:11">
      <c r="A566" s="1" t="s">
        <v>202</v>
      </c>
      <c r="B566" s="6" t="s">
        <v>12</v>
      </c>
      <c r="C566" s="3">
        <v>30.69</v>
      </c>
      <c r="D566" s="3">
        <v>27.81</v>
      </c>
      <c r="E566" s="3">
        <v>31.5</v>
      </c>
      <c r="F566" s="4">
        <v>4.7692039499999996</v>
      </c>
      <c r="G566" s="4">
        <v>-74.186038359999998</v>
      </c>
      <c r="H566" s="9">
        <f t="shared" si="24"/>
        <v>0.97428571428571431</v>
      </c>
      <c r="I566" s="4" t="str">
        <f t="shared" si="25"/>
        <v>Critico &gt;95%</v>
      </c>
      <c r="J566" s="1" t="s">
        <v>13</v>
      </c>
      <c r="K566" s="1" t="str">
        <f t="shared" si="26"/>
        <v>Sin riesgo</v>
      </c>
    </row>
    <row r="567" spans="1:11">
      <c r="A567" s="1" t="s">
        <v>202</v>
      </c>
      <c r="B567" s="6" t="s">
        <v>14</v>
      </c>
      <c r="C567" s="3">
        <v>31.25</v>
      </c>
      <c r="D567" s="3">
        <v>28.36</v>
      </c>
      <c r="E567" s="3">
        <v>31.5</v>
      </c>
      <c r="F567" s="4">
        <v>4.7692039499999996</v>
      </c>
      <c r="G567" s="4">
        <v>-74.186038359999998</v>
      </c>
      <c r="H567" s="9">
        <f t="shared" si="24"/>
        <v>0.99206349206349209</v>
      </c>
      <c r="I567" s="4" t="str">
        <f t="shared" si="25"/>
        <v>Critico &gt;95%</v>
      </c>
      <c r="J567" s="1" t="s">
        <v>13</v>
      </c>
      <c r="K567" s="1" t="str">
        <f t="shared" si="26"/>
        <v>Sin riesgo</v>
      </c>
    </row>
    <row r="568" spans="1:11">
      <c r="A568" s="1" t="s">
        <v>202</v>
      </c>
      <c r="B568" s="6" t="s">
        <v>15</v>
      </c>
      <c r="C568" s="3">
        <v>31.39</v>
      </c>
      <c r="D568" s="3">
        <v>28.53</v>
      </c>
      <c r="E568" s="3">
        <v>31.5</v>
      </c>
      <c r="F568" s="4">
        <v>4.7692039499999996</v>
      </c>
      <c r="G568" s="4">
        <v>-74.186038359999998</v>
      </c>
      <c r="H568" s="9">
        <f t="shared" si="24"/>
        <v>0.99650793650793656</v>
      </c>
      <c r="I568" s="4" t="str">
        <f t="shared" si="25"/>
        <v>Critico &gt;95%</v>
      </c>
      <c r="J568" s="1" t="s">
        <v>13</v>
      </c>
      <c r="K568" s="1" t="str">
        <f t="shared" si="26"/>
        <v>Sin riesgo</v>
      </c>
    </row>
    <row r="569" spans="1:11">
      <c r="A569" s="1" t="s">
        <v>203</v>
      </c>
      <c r="B569" s="6" t="s">
        <v>12</v>
      </c>
      <c r="C569" s="3">
        <v>33.119999999999997</v>
      </c>
      <c r="D569" s="3">
        <v>33.950000000000003</v>
      </c>
      <c r="E569" s="3">
        <v>40</v>
      </c>
      <c r="F569" s="4">
        <v>4.7692039499999996</v>
      </c>
      <c r="G569" s="4">
        <v>-74.186038359999998</v>
      </c>
      <c r="H569" s="9">
        <f t="shared" si="24"/>
        <v>0.84875000000000012</v>
      </c>
      <c r="I569" s="4" t="str">
        <f t="shared" si="25"/>
        <v>Sin riesgo &lt;85%</v>
      </c>
      <c r="J569" s="1" t="s">
        <v>13</v>
      </c>
      <c r="K569" s="1" t="str">
        <f t="shared" si="26"/>
        <v>Sin riesgo</v>
      </c>
    </row>
    <row r="570" spans="1:11">
      <c r="A570" s="1" t="s">
        <v>203</v>
      </c>
      <c r="B570" s="6" t="s">
        <v>14</v>
      </c>
      <c r="C570" s="3">
        <v>33.67</v>
      </c>
      <c r="D570" s="3">
        <v>34.54</v>
      </c>
      <c r="E570" s="3">
        <v>40</v>
      </c>
      <c r="F570" s="4">
        <v>4.7692039499999996</v>
      </c>
      <c r="G570" s="4">
        <v>-74.186038359999998</v>
      </c>
      <c r="H570" s="9">
        <f t="shared" si="24"/>
        <v>0.86349999999999993</v>
      </c>
      <c r="I570" s="4" t="str">
        <f t="shared" si="25"/>
        <v>En riesgo &gt;85%</v>
      </c>
      <c r="J570" s="1" t="s">
        <v>13</v>
      </c>
      <c r="K570" s="1" t="str">
        <f t="shared" si="26"/>
        <v>Sin riesgo</v>
      </c>
    </row>
    <row r="571" spans="1:11">
      <c r="A571" s="1" t="s">
        <v>203</v>
      </c>
      <c r="B571" s="6" t="s">
        <v>15</v>
      </c>
      <c r="C571" s="3">
        <v>33.74</v>
      </c>
      <c r="D571" s="3">
        <v>34.65</v>
      </c>
      <c r="E571" s="3">
        <v>40</v>
      </c>
      <c r="F571" s="4">
        <v>4.7692039499999996</v>
      </c>
      <c r="G571" s="4">
        <v>-74.186038359999998</v>
      </c>
      <c r="H571" s="9">
        <f t="shared" si="24"/>
        <v>0.86624999999999996</v>
      </c>
      <c r="I571" s="4" t="str">
        <f t="shared" si="25"/>
        <v>En riesgo &gt;85%</v>
      </c>
      <c r="J571" s="1" t="s">
        <v>13</v>
      </c>
      <c r="K571" s="1" t="str">
        <f t="shared" si="26"/>
        <v>Sin riesgo</v>
      </c>
    </row>
    <row r="572" spans="1:11">
      <c r="A572" s="1" t="s">
        <v>204</v>
      </c>
      <c r="B572" s="6" t="s">
        <v>12</v>
      </c>
      <c r="C572" s="3">
        <v>24.81</v>
      </c>
      <c r="D572" s="3">
        <v>21.08</v>
      </c>
      <c r="E572" s="3">
        <v>40</v>
      </c>
      <c r="F572" s="4">
        <v>11.024070999999999</v>
      </c>
      <c r="G572" s="4">
        <v>-74.849114999999998</v>
      </c>
      <c r="H572" s="9">
        <f t="shared" si="24"/>
        <v>0.62024999999999997</v>
      </c>
      <c r="I572" s="4" t="str">
        <f t="shared" si="25"/>
        <v>Sin riesgo &lt;85%</v>
      </c>
      <c r="J572" s="1" t="s">
        <v>13</v>
      </c>
      <c r="K572" s="1" t="str">
        <f t="shared" si="26"/>
        <v>Sin riesgo</v>
      </c>
    </row>
    <row r="573" spans="1:11">
      <c r="A573" s="1" t="s">
        <v>204</v>
      </c>
      <c r="B573" s="6" t="s">
        <v>14</v>
      </c>
      <c r="C573" s="3">
        <v>26.25</v>
      </c>
      <c r="D573" s="3">
        <v>22.48</v>
      </c>
      <c r="E573" s="3">
        <v>40</v>
      </c>
      <c r="F573" s="4">
        <v>11.024070999999999</v>
      </c>
      <c r="G573" s="4">
        <v>-74.849114999999998</v>
      </c>
      <c r="H573" s="9">
        <f t="shared" si="24"/>
        <v>0.65625</v>
      </c>
      <c r="I573" s="4" t="str">
        <f t="shared" si="25"/>
        <v>Sin riesgo &lt;85%</v>
      </c>
      <c r="J573" s="1" t="s">
        <v>13</v>
      </c>
      <c r="K573" s="1" t="str">
        <f t="shared" si="26"/>
        <v>Sin riesgo</v>
      </c>
    </row>
    <row r="574" spans="1:11">
      <c r="A574" s="1" t="s">
        <v>204</v>
      </c>
      <c r="B574" s="6" t="s">
        <v>15</v>
      </c>
      <c r="C574" s="3">
        <v>26.25</v>
      </c>
      <c r="D574" s="3">
        <v>22.49</v>
      </c>
      <c r="E574" s="3">
        <v>40</v>
      </c>
      <c r="F574" s="4">
        <v>11.024070999999999</v>
      </c>
      <c r="G574" s="4">
        <v>-74.849114999999998</v>
      </c>
      <c r="H574" s="9">
        <f t="shared" si="24"/>
        <v>0.65625</v>
      </c>
      <c r="I574" s="4" t="str">
        <f t="shared" si="25"/>
        <v>Sin riesgo &lt;85%</v>
      </c>
      <c r="J574" s="1" t="s">
        <v>13</v>
      </c>
      <c r="K574" s="1" t="str">
        <f t="shared" si="26"/>
        <v>Sin riesgo</v>
      </c>
    </row>
    <row r="575" spans="1:11">
      <c r="A575" s="1" t="s">
        <v>205</v>
      </c>
      <c r="B575" s="6" t="s">
        <v>12</v>
      </c>
      <c r="C575" s="3">
        <v>21.99</v>
      </c>
      <c r="D575" s="3">
        <v>23.37</v>
      </c>
      <c r="E575" s="3">
        <v>40</v>
      </c>
      <c r="F575" s="4">
        <v>11.024070999999999</v>
      </c>
      <c r="G575" s="4">
        <v>-74.849114999999998</v>
      </c>
      <c r="H575" s="9">
        <f t="shared" si="24"/>
        <v>0.58425000000000005</v>
      </c>
      <c r="I575" s="4" t="str">
        <f t="shared" si="25"/>
        <v>Sin riesgo &lt;85%</v>
      </c>
      <c r="J575" s="1" t="s">
        <v>13</v>
      </c>
      <c r="K575" s="1" t="str">
        <f t="shared" si="26"/>
        <v>Sin riesgo</v>
      </c>
    </row>
    <row r="576" spans="1:11">
      <c r="A576" s="1" t="s">
        <v>205</v>
      </c>
      <c r="B576" s="6" t="s">
        <v>14</v>
      </c>
      <c r="C576" s="3">
        <v>22.49</v>
      </c>
      <c r="D576" s="3">
        <v>23.93</v>
      </c>
      <c r="E576" s="3">
        <v>40</v>
      </c>
      <c r="F576" s="4">
        <v>11.024070999999999</v>
      </c>
      <c r="G576" s="4">
        <v>-74.849114999999998</v>
      </c>
      <c r="H576" s="9">
        <f t="shared" si="24"/>
        <v>0.59824999999999995</v>
      </c>
      <c r="I576" s="4" t="str">
        <f t="shared" si="25"/>
        <v>Sin riesgo &lt;85%</v>
      </c>
      <c r="J576" s="1" t="s">
        <v>13</v>
      </c>
      <c r="K576" s="1" t="str">
        <f t="shared" si="26"/>
        <v>Sin riesgo</v>
      </c>
    </row>
    <row r="577" spans="1:11">
      <c r="A577" s="1" t="s">
        <v>205</v>
      </c>
      <c r="B577" s="6" t="s">
        <v>15</v>
      </c>
      <c r="C577" s="3">
        <v>22.5</v>
      </c>
      <c r="D577" s="3">
        <v>23.95</v>
      </c>
      <c r="E577" s="3">
        <v>40</v>
      </c>
      <c r="F577" s="4">
        <v>11.024070999999999</v>
      </c>
      <c r="G577" s="4">
        <v>-74.849114999999998</v>
      </c>
      <c r="H577" s="9">
        <f t="shared" si="24"/>
        <v>0.59875</v>
      </c>
      <c r="I577" s="4" t="str">
        <f t="shared" si="25"/>
        <v>Sin riesgo &lt;85%</v>
      </c>
      <c r="J577" s="1" t="s">
        <v>13</v>
      </c>
      <c r="K577" s="1" t="str">
        <f t="shared" si="26"/>
        <v>Sin riesgo</v>
      </c>
    </row>
    <row r="578" spans="1:11">
      <c r="A578" s="1" t="s">
        <v>206</v>
      </c>
      <c r="B578" s="6" t="s">
        <v>12</v>
      </c>
      <c r="C578" s="3">
        <v>9.06</v>
      </c>
      <c r="D578" s="3">
        <v>11.74</v>
      </c>
      <c r="E578" s="3">
        <v>40</v>
      </c>
      <c r="F578" s="4">
        <v>11.024070999999999</v>
      </c>
      <c r="G578" s="4">
        <v>-74.849114999999998</v>
      </c>
      <c r="H578" s="9">
        <f t="shared" si="24"/>
        <v>0.29349999999999998</v>
      </c>
      <c r="I578" s="4" t="str">
        <f t="shared" si="25"/>
        <v>Sin riesgo &lt;85%</v>
      </c>
      <c r="J578" s="1" t="s">
        <v>13</v>
      </c>
      <c r="K578" s="1" t="str">
        <f t="shared" si="26"/>
        <v>Sin riesgo</v>
      </c>
    </row>
    <row r="579" spans="1:11">
      <c r="A579" s="1" t="s">
        <v>206</v>
      </c>
      <c r="B579" s="6" t="s">
        <v>14</v>
      </c>
      <c r="C579" s="3">
        <v>9.2100000000000009</v>
      </c>
      <c r="D579" s="3">
        <v>11.94</v>
      </c>
      <c r="E579" s="3">
        <v>40</v>
      </c>
      <c r="F579" s="4">
        <v>11.024070999999999</v>
      </c>
      <c r="G579" s="4">
        <v>-74.849114999999998</v>
      </c>
      <c r="H579" s="9">
        <f t="shared" ref="H579:H642" si="27">IF(C579&gt;D579,C579/E579,D579/E579)</f>
        <v>0.29849999999999999</v>
      </c>
      <c r="I579" s="4" t="str">
        <f t="shared" ref="I579:I642" si="28">IF(H579&gt;100%,"Altamente critico &gt;100%",IF(H579&gt;95%,"Critico &gt;95%",IF(H579&gt;85%,"En riesgo &gt;85%","Sin riesgo &lt;85%")))</f>
        <v>Sin riesgo &lt;85%</v>
      </c>
      <c r="J579" s="1" t="s">
        <v>13</v>
      </c>
      <c r="K579" s="1" t="str">
        <f t="shared" ref="K579:K642" si="29">IF(J579="&gt;5","Sin riesgo",IF(J579&gt;1.5,"Estado de alerta","Estado critico"))</f>
        <v>Sin riesgo</v>
      </c>
    </row>
    <row r="580" spans="1:11">
      <c r="A580" s="1" t="s">
        <v>206</v>
      </c>
      <c r="B580" s="6" t="s">
        <v>15</v>
      </c>
      <c r="C580" s="3">
        <v>9.2100000000000009</v>
      </c>
      <c r="D580" s="3">
        <v>11.95</v>
      </c>
      <c r="E580" s="3">
        <v>40</v>
      </c>
      <c r="F580" s="4">
        <v>11.024070999999999</v>
      </c>
      <c r="G580" s="4">
        <v>-74.849114999999998</v>
      </c>
      <c r="H580" s="9">
        <f t="shared" si="27"/>
        <v>0.29874999999999996</v>
      </c>
      <c r="I580" s="4" t="str">
        <f t="shared" si="28"/>
        <v>Sin riesgo &lt;85%</v>
      </c>
      <c r="J580" s="1" t="s">
        <v>13</v>
      </c>
      <c r="K580" s="1" t="str">
        <f t="shared" si="29"/>
        <v>Sin riesgo</v>
      </c>
    </row>
    <row r="581" spans="1:11">
      <c r="A581" s="1" t="s">
        <v>207</v>
      </c>
      <c r="B581" s="6" t="s">
        <v>12</v>
      </c>
      <c r="C581" s="3">
        <v>46.04</v>
      </c>
      <c r="D581" s="3">
        <v>46.64</v>
      </c>
      <c r="E581" s="3">
        <v>50</v>
      </c>
      <c r="F581" s="4">
        <v>4.5728964799999998</v>
      </c>
      <c r="G581" s="4">
        <v>-74.282097890000003</v>
      </c>
      <c r="H581" s="9">
        <f t="shared" si="27"/>
        <v>0.93279999999999996</v>
      </c>
      <c r="I581" s="4" t="str">
        <f t="shared" si="28"/>
        <v>En riesgo &gt;85%</v>
      </c>
      <c r="J581" s="1" t="s">
        <v>13</v>
      </c>
      <c r="K581" s="1" t="str">
        <f t="shared" si="29"/>
        <v>Sin riesgo</v>
      </c>
    </row>
    <row r="582" spans="1:11">
      <c r="A582" s="1" t="s">
        <v>207</v>
      </c>
      <c r="B582" s="6" t="s">
        <v>14</v>
      </c>
      <c r="C582" s="3">
        <v>46.78</v>
      </c>
      <c r="D582" s="3">
        <v>47.46</v>
      </c>
      <c r="E582" s="3">
        <v>50</v>
      </c>
      <c r="F582" s="4">
        <v>4.5728964799999998</v>
      </c>
      <c r="G582" s="4">
        <v>-74.282097890000003</v>
      </c>
      <c r="H582" s="9">
        <f t="shared" si="27"/>
        <v>0.94920000000000004</v>
      </c>
      <c r="I582" s="4" t="str">
        <f t="shared" si="28"/>
        <v>En riesgo &gt;85%</v>
      </c>
      <c r="J582" s="1" t="s">
        <v>13</v>
      </c>
      <c r="K582" s="1" t="str">
        <f t="shared" si="29"/>
        <v>Sin riesgo</v>
      </c>
    </row>
    <row r="583" spans="1:11">
      <c r="A583" s="1" t="s">
        <v>207</v>
      </c>
      <c r="B583" s="6" t="s">
        <v>15</v>
      </c>
      <c r="C583" s="3">
        <v>46.84</v>
      </c>
      <c r="D583" s="3">
        <v>47.55</v>
      </c>
      <c r="E583" s="3">
        <v>50</v>
      </c>
      <c r="F583" s="4">
        <v>4.5728964799999998</v>
      </c>
      <c r="G583" s="4">
        <v>-74.282097890000003</v>
      </c>
      <c r="H583" s="9">
        <f t="shared" si="27"/>
        <v>0.95099999999999996</v>
      </c>
      <c r="I583" s="4" t="str">
        <f t="shared" si="28"/>
        <v>Critico &gt;95%</v>
      </c>
      <c r="J583" s="1" t="s">
        <v>13</v>
      </c>
      <c r="K583" s="1" t="str">
        <f t="shared" si="29"/>
        <v>Sin riesgo</v>
      </c>
    </row>
    <row r="584" spans="1:11">
      <c r="A584" s="1" t="s">
        <v>208</v>
      </c>
      <c r="B584" s="6" t="s">
        <v>12</v>
      </c>
      <c r="C584" s="3">
        <v>28.5</v>
      </c>
      <c r="D584" s="3">
        <v>28.83</v>
      </c>
      <c r="E584" s="3">
        <v>40</v>
      </c>
      <c r="F584" s="4">
        <v>4.5728964799999998</v>
      </c>
      <c r="G584" s="4">
        <v>-74.282097890000003</v>
      </c>
      <c r="H584" s="9">
        <f t="shared" si="27"/>
        <v>0.72075</v>
      </c>
      <c r="I584" s="4" t="str">
        <f t="shared" si="28"/>
        <v>Sin riesgo &lt;85%</v>
      </c>
      <c r="J584" s="1" t="s">
        <v>13</v>
      </c>
      <c r="K584" s="1" t="str">
        <f t="shared" si="29"/>
        <v>Sin riesgo</v>
      </c>
    </row>
    <row r="585" spans="1:11">
      <c r="A585" s="1" t="s">
        <v>208</v>
      </c>
      <c r="B585" s="6" t="s">
        <v>14</v>
      </c>
      <c r="C585" s="3">
        <v>29.01</v>
      </c>
      <c r="D585" s="3">
        <v>29.38</v>
      </c>
      <c r="E585" s="3">
        <v>40</v>
      </c>
      <c r="F585" s="4">
        <v>4.5728964799999998</v>
      </c>
      <c r="G585" s="4">
        <v>-74.282097890000003</v>
      </c>
      <c r="H585" s="9">
        <f t="shared" si="27"/>
        <v>0.73449999999999993</v>
      </c>
      <c r="I585" s="4" t="str">
        <f t="shared" si="28"/>
        <v>Sin riesgo &lt;85%</v>
      </c>
      <c r="J585" s="1" t="s">
        <v>13</v>
      </c>
      <c r="K585" s="1" t="str">
        <f t="shared" si="29"/>
        <v>Sin riesgo</v>
      </c>
    </row>
    <row r="586" spans="1:11">
      <c r="A586" s="1" t="s">
        <v>208</v>
      </c>
      <c r="B586" s="6" t="s">
        <v>15</v>
      </c>
      <c r="C586" s="3">
        <v>29.04</v>
      </c>
      <c r="D586" s="3">
        <v>29.41</v>
      </c>
      <c r="E586" s="3">
        <v>40</v>
      </c>
      <c r="F586" s="4">
        <v>4.5728964799999998</v>
      </c>
      <c r="G586" s="4">
        <v>-74.282097890000003</v>
      </c>
      <c r="H586" s="9">
        <f t="shared" si="27"/>
        <v>0.73524999999999996</v>
      </c>
      <c r="I586" s="4" t="str">
        <f t="shared" si="28"/>
        <v>Sin riesgo &lt;85%</v>
      </c>
      <c r="J586" s="1" t="s">
        <v>13</v>
      </c>
      <c r="K586" s="1" t="str">
        <f t="shared" si="29"/>
        <v>Sin riesgo</v>
      </c>
    </row>
    <row r="587" spans="1:11">
      <c r="A587" s="1" t="s">
        <v>209</v>
      </c>
      <c r="B587" s="6" t="s">
        <v>12</v>
      </c>
      <c r="C587" s="3">
        <v>16.53</v>
      </c>
      <c r="D587" s="3">
        <v>18.03</v>
      </c>
      <c r="E587" s="3">
        <v>40</v>
      </c>
      <c r="F587" s="4">
        <v>4.5728964799999998</v>
      </c>
      <c r="G587" s="4">
        <v>-74.282097890000003</v>
      </c>
      <c r="H587" s="9">
        <f t="shared" si="27"/>
        <v>0.45075000000000004</v>
      </c>
      <c r="I587" s="4" t="str">
        <f t="shared" si="28"/>
        <v>Sin riesgo &lt;85%</v>
      </c>
      <c r="J587" s="1" t="s">
        <v>13</v>
      </c>
      <c r="K587" s="1" t="str">
        <f t="shared" si="29"/>
        <v>Sin riesgo</v>
      </c>
    </row>
    <row r="588" spans="1:11">
      <c r="A588" s="1" t="s">
        <v>209</v>
      </c>
      <c r="B588" s="6" t="s">
        <v>14</v>
      </c>
      <c r="C588" s="3">
        <v>16.8</v>
      </c>
      <c r="D588" s="3">
        <v>18.350000000000001</v>
      </c>
      <c r="E588" s="3">
        <v>40</v>
      </c>
      <c r="F588" s="4">
        <v>4.5728964799999998</v>
      </c>
      <c r="G588" s="4">
        <v>-74.282097890000003</v>
      </c>
      <c r="H588" s="9">
        <f t="shared" si="27"/>
        <v>0.45875000000000005</v>
      </c>
      <c r="I588" s="4" t="str">
        <f t="shared" si="28"/>
        <v>Sin riesgo &lt;85%</v>
      </c>
      <c r="J588" s="1" t="s">
        <v>13</v>
      </c>
      <c r="K588" s="1" t="str">
        <f t="shared" si="29"/>
        <v>Sin riesgo</v>
      </c>
    </row>
    <row r="589" spans="1:11">
      <c r="A589" s="1" t="s">
        <v>209</v>
      </c>
      <c r="B589" s="6" t="s">
        <v>15</v>
      </c>
      <c r="C589" s="3">
        <v>16.809999999999999</v>
      </c>
      <c r="D589" s="3">
        <v>18.37</v>
      </c>
      <c r="E589" s="3">
        <v>40</v>
      </c>
      <c r="F589" s="4">
        <v>4.5728964799999998</v>
      </c>
      <c r="G589" s="4">
        <v>-74.282097890000003</v>
      </c>
      <c r="H589" s="9">
        <f t="shared" si="27"/>
        <v>0.45925000000000005</v>
      </c>
      <c r="I589" s="4" t="str">
        <f t="shared" si="28"/>
        <v>Sin riesgo &lt;85%</v>
      </c>
      <c r="J589" s="1" t="s">
        <v>13</v>
      </c>
      <c r="K589" s="1" t="str">
        <f t="shared" si="29"/>
        <v>Sin riesgo</v>
      </c>
    </row>
    <row r="590" spans="1:11">
      <c r="A590" s="1" t="s">
        <v>210</v>
      </c>
      <c r="B590" s="6" t="s">
        <v>12</v>
      </c>
      <c r="C590" s="3">
        <v>32.369999999999997</v>
      </c>
      <c r="D590" s="3">
        <v>30.63</v>
      </c>
      <c r="E590" s="3">
        <v>40</v>
      </c>
      <c r="F590" s="4">
        <v>4.5719440000000002</v>
      </c>
      <c r="G590" s="4">
        <v>-74.402556000000004</v>
      </c>
      <c r="H590" s="9">
        <f t="shared" si="27"/>
        <v>0.80924999999999991</v>
      </c>
      <c r="I590" s="4" t="str">
        <f t="shared" si="28"/>
        <v>Sin riesgo &lt;85%</v>
      </c>
      <c r="J590" s="1" t="s">
        <v>13</v>
      </c>
      <c r="K590" s="1" t="str">
        <f t="shared" si="29"/>
        <v>Sin riesgo</v>
      </c>
    </row>
    <row r="591" spans="1:11">
      <c r="A591" s="1" t="s">
        <v>210</v>
      </c>
      <c r="B591" s="6" t="s">
        <v>14</v>
      </c>
      <c r="C591" s="3">
        <v>32.81</v>
      </c>
      <c r="D591" s="3">
        <v>31.07</v>
      </c>
      <c r="E591" s="3">
        <v>40</v>
      </c>
      <c r="F591" s="4">
        <v>4.5719440000000002</v>
      </c>
      <c r="G591" s="4">
        <v>-74.402556000000004</v>
      </c>
      <c r="H591" s="9">
        <f t="shared" si="27"/>
        <v>0.82025000000000003</v>
      </c>
      <c r="I591" s="4" t="str">
        <f t="shared" si="28"/>
        <v>Sin riesgo &lt;85%</v>
      </c>
      <c r="J591" s="1" t="s">
        <v>13</v>
      </c>
      <c r="K591" s="1" t="str">
        <f t="shared" si="29"/>
        <v>Sin riesgo</v>
      </c>
    </row>
    <row r="592" spans="1:11">
      <c r="A592" s="1" t="s">
        <v>210</v>
      </c>
      <c r="B592" s="6" t="s">
        <v>15</v>
      </c>
      <c r="C592" s="3">
        <v>32.840000000000003</v>
      </c>
      <c r="D592" s="3">
        <v>31.11</v>
      </c>
      <c r="E592" s="3">
        <v>40</v>
      </c>
      <c r="F592" s="4">
        <v>4.5719440000000002</v>
      </c>
      <c r="G592" s="4">
        <v>-74.402556000000004</v>
      </c>
      <c r="H592" s="9">
        <f t="shared" si="27"/>
        <v>0.82100000000000006</v>
      </c>
      <c r="I592" s="4" t="str">
        <f t="shared" si="28"/>
        <v>Sin riesgo &lt;85%</v>
      </c>
      <c r="J592" s="1" t="s">
        <v>13</v>
      </c>
      <c r="K592" s="1" t="str">
        <f t="shared" si="29"/>
        <v>Sin riesgo</v>
      </c>
    </row>
    <row r="593" spans="1:11">
      <c r="A593" s="1" t="s">
        <v>211</v>
      </c>
      <c r="B593" s="6" t="s">
        <v>12</v>
      </c>
      <c r="C593" s="3">
        <v>7.93</v>
      </c>
      <c r="D593" s="3">
        <v>11.03</v>
      </c>
      <c r="E593" s="3">
        <v>40</v>
      </c>
      <c r="F593" s="11"/>
      <c r="G593" s="11"/>
      <c r="H593" s="9">
        <f t="shared" si="27"/>
        <v>0.27575</v>
      </c>
      <c r="I593" s="4" t="str">
        <f t="shared" si="28"/>
        <v>Sin riesgo &lt;85%</v>
      </c>
      <c r="J593" s="1" t="s">
        <v>13</v>
      </c>
      <c r="K593" s="1" t="str">
        <f t="shared" si="29"/>
        <v>Sin riesgo</v>
      </c>
    </row>
    <row r="594" spans="1:11">
      <c r="A594" s="1" t="s">
        <v>211</v>
      </c>
      <c r="B594" s="6" t="s">
        <v>14</v>
      </c>
      <c r="C594" s="3">
        <v>9</v>
      </c>
      <c r="D594" s="3">
        <v>11.8</v>
      </c>
      <c r="E594" s="3">
        <v>40</v>
      </c>
      <c r="F594" s="11"/>
      <c r="G594" s="11"/>
      <c r="H594" s="9">
        <f t="shared" si="27"/>
        <v>0.29500000000000004</v>
      </c>
      <c r="I594" s="4" t="str">
        <f t="shared" si="28"/>
        <v>Sin riesgo &lt;85%</v>
      </c>
      <c r="J594" s="1" t="s">
        <v>13</v>
      </c>
      <c r="K594" s="1" t="str">
        <f t="shared" si="29"/>
        <v>Sin riesgo</v>
      </c>
    </row>
    <row r="595" spans="1:11">
      <c r="A595" s="1" t="s">
        <v>211</v>
      </c>
      <c r="B595" s="6" t="s">
        <v>15</v>
      </c>
      <c r="C595" s="3">
        <v>9</v>
      </c>
      <c r="D595" s="3">
        <v>11.8</v>
      </c>
      <c r="E595" s="3">
        <v>40</v>
      </c>
      <c r="F595" s="11"/>
      <c r="G595" s="11"/>
      <c r="H595" s="9">
        <f t="shared" si="27"/>
        <v>0.29500000000000004</v>
      </c>
      <c r="I595" s="4" t="str">
        <f t="shared" si="28"/>
        <v>Sin riesgo &lt;85%</v>
      </c>
      <c r="J595" s="1" t="s">
        <v>13</v>
      </c>
      <c r="K595" s="1" t="str">
        <f t="shared" si="29"/>
        <v>Sin riesgo</v>
      </c>
    </row>
    <row r="596" spans="1:11">
      <c r="A596" s="1" t="s">
        <v>212</v>
      </c>
      <c r="B596" s="6" t="s">
        <v>12</v>
      </c>
      <c r="C596" s="3">
        <v>11.5</v>
      </c>
      <c r="D596" s="3">
        <v>15.82</v>
      </c>
      <c r="E596" s="3">
        <v>40</v>
      </c>
      <c r="F596" s="4">
        <v>4.7356754399999996</v>
      </c>
      <c r="G596" s="4">
        <v>-74.12538026</v>
      </c>
      <c r="H596" s="9">
        <f t="shared" si="27"/>
        <v>0.39550000000000002</v>
      </c>
      <c r="I596" s="4" t="str">
        <f t="shared" si="28"/>
        <v>Sin riesgo &lt;85%</v>
      </c>
      <c r="J596" s="1" t="s">
        <v>13</v>
      </c>
      <c r="K596" s="1" t="str">
        <f t="shared" si="29"/>
        <v>Sin riesgo</v>
      </c>
    </row>
    <row r="597" spans="1:11">
      <c r="A597" s="1" t="s">
        <v>212</v>
      </c>
      <c r="B597" s="6" t="s">
        <v>14</v>
      </c>
      <c r="C597" s="3">
        <v>11.68</v>
      </c>
      <c r="D597" s="3">
        <v>16.09</v>
      </c>
      <c r="E597" s="3">
        <v>40</v>
      </c>
      <c r="F597" s="4">
        <v>4.7356754399999996</v>
      </c>
      <c r="G597" s="4">
        <v>-74.12538026</v>
      </c>
      <c r="H597" s="9">
        <f t="shared" si="27"/>
        <v>0.40225</v>
      </c>
      <c r="I597" s="4" t="str">
        <f t="shared" si="28"/>
        <v>Sin riesgo &lt;85%</v>
      </c>
      <c r="J597" s="1" t="s">
        <v>13</v>
      </c>
      <c r="K597" s="1" t="str">
        <f t="shared" si="29"/>
        <v>Sin riesgo</v>
      </c>
    </row>
    <row r="598" spans="1:11">
      <c r="A598" s="1" t="s">
        <v>212</v>
      </c>
      <c r="B598" s="6" t="s">
        <v>15</v>
      </c>
      <c r="C598" s="3">
        <v>11.69</v>
      </c>
      <c r="D598" s="3">
        <v>16.13</v>
      </c>
      <c r="E598" s="3">
        <v>40</v>
      </c>
      <c r="F598" s="4">
        <v>4.7356754399999996</v>
      </c>
      <c r="G598" s="4">
        <v>-74.12538026</v>
      </c>
      <c r="H598" s="9">
        <f t="shared" si="27"/>
        <v>0.40325</v>
      </c>
      <c r="I598" s="4" t="str">
        <f t="shared" si="28"/>
        <v>Sin riesgo &lt;85%</v>
      </c>
      <c r="J598" s="1" t="s">
        <v>13</v>
      </c>
      <c r="K598" s="1" t="str">
        <f t="shared" si="29"/>
        <v>Sin riesgo</v>
      </c>
    </row>
    <row r="599" spans="1:11">
      <c r="A599" s="1" t="s">
        <v>213</v>
      </c>
      <c r="B599" s="6" t="s">
        <v>12</v>
      </c>
      <c r="C599" s="3">
        <v>6.18</v>
      </c>
      <c r="D599" s="3">
        <v>9.35</v>
      </c>
      <c r="E599" s="3">
        <v>40</v>
      </c>
      <c r="F599" s="11"/>
      <c r="G599" s="11"/>
      <c r="H599" s="9">
        <f t="shared" si="27"/>
        <v>0.23374999999999999</v>
      </c>
      <c r="I599" s="4" t="str">
        <f t="shared" si="28"/>
        <v>Sin riesgo &lt;85%</v>
      </c>
      <c r="J599" s="1" t="s">
        <v>13</v>
      </c>
      <c r="K599" s="1" t="str">
        <f t="shared" si="29"/>
        <v>Sin riesgo</v>
      </c>
    </row>
    <row r="600" spans="1:11">
      <c r="A600" s="1" t="s">
        <v>213</v>
      </c>
      <c r="B600" s="6" t="s">
        <v>14</v>
      </c>
      <c r="C600" s="3">
        <v>6.26</v>
      </c>
      <c r="D600" s="3">
        <v>9.48</v>
      </c>
      <c r="E600" s="3">
        <v>40</v>
      </c>
      <c r="F600" s="11"/>
      <c r="G600" s="11"/>
      <c r="H600" s="9">
        <f t="shared" si="27"/>
        <v>0.23700000000000002</v>
      </c>
      <c r="I600" s="4" t="str">
        <f t="shared" si="28"/>
        <v>Sin riesgo &lt;85%</v>
      </c>
      <c r="J600" s="1" t="s">
        <v>13</v>
      </c>
      <c r="K600" s="1" t="str">
        <f t="shared" si="29"/>
        <v>Sin riesgo</v>
      </c>
    </row>
    <row r="601" spans="1:11">
      <c r="A601" s="1" t="s">
        <v>213</v>
      </c>
      <c r="B601" s="6" t="s">
        <v>15</v>
      </c>
      <c r="C601" s="3">
        <v>6.26</v>
      </c>
      <c r="D601" s="3">
        <v>9.49</v>
      </c>
      <c r="E601" s="3">
        <v>40</v>
      </c>
      <c r="F601" s="11"/>
      <c r="G601" s="11"/>
      <c r="H601" s="9">
        <f t="shared" si="27"/>
        <v>0.23725000000000002</v>
      </c>
      <c r="I601" s="4" t="str">
        <f t="shared" si="28"/>
        <v>Sin riesgo &lt;85%</v>
      </c>
      <c r="J601" s="1" t="s">
        <v>13</v>
      </c>
      <c r="K601" s="1" t="str">
        <f t="shared" si="29"/>
        <v>Sin riesgo</v>
      </c>
    </row>
    <row r="602" spans="1:11">
      <c r="A602" s="1" t="s">
        <v>214</v>
      </c>
      <c r="B602" s="6" t="s">
        <v>12</v>
      </c>
      <c r="C602" s="3">
        <v>38.39</v>
      </c>
      <c r="D602" s="3">
        <v>36.299999999999997</v>
      </c>
      <c r="E602" s="3">
        <v>25</v>
      </c>
      <c r="F602" s="11"/>
      <c r="G602" s="11"/>
      <c r="H602" s="9">
        <f t="shared" si="27"/>
        <v>1.5356000000000001</v>
      </c>
      <c r="I602" s="4" t="str">
        <f t="shared" si="28"/>
        <v>Altamente critico &gt;100%</v>
      </c>
      <c r="J602" s="1" t="s">
        <v>13</v>
      </c>
      <c r="K602" s="1" t="str">
        <f t="shared" si="29"/>
        <v>Sin riesgo</v>
      </c>
    </row>
    <row r="603" spans="1:11">
      <c r="A603" s="1" t="s">
        <v>214</v>
      </c>
      <c r="B603" s="6" t="s">
        <v>14</v>
      </c>
      <c r="C603" s="3">
        <v>39.15</v>
      </c>
      <c r="D603" s="3">
        <v>37.04</v>
      </c>
      <c r="E603" s="3">
        <v>25</v>
      </c>
      <c r="F603" s="11"/>
      <c r="G603" s="11"/>
      <c r="H603" s="9">
        <f t="shared" si="27"/>
        <v>1.5659999999999998</v>
      </c>
      <c r="I603" s="4" t="str">
        <f t="shared" si="28"/>
        <v>Altamente critico &gt;100%</v>
      </c>
      <c r="J603" s="1" t="s">
        <v>13</v>
      </c>
      <c r="K603" s="1" t="str">
        <f t="shared" si="29"/>
        <v>Sin riesgo</v>
      </c>
    </row>
    <row r="604" spans="1:11">
      <c r="A604" s="1" t="s">
        <v>214</v>
      </c>
      <c r="B604" s="6" t="s">
        <v>15</v>
      </c>
      <c r="C604" s="3">
        <v>39.159999999999997</v>
      </c>
      <c r="D604" s="3">
        <v>37.07</v>
      </c>
      <c r="E604" s="3">
        <v>25</v>
      </c>
      <c r="F604" s="11"/>
      <c r="G604" s="11"/>
      <c r="H604" s="9">
        <f t="shared" si="27"/>
        <v>1.5663999999999998</v>
      </c>
      <c r="I604" s="4" t="str">
        <f t="shared" si="28"/>
        <v>Altamente critico &gt;100%</v>
      </c>
      <c r="J604" s="1" t="s">
        <v>13</v>
      </c>
      <c r="K604" s="1" t="str">
        <f t="shared" si="29"/>
        <v>Sin riesgo</v>
      </c>
    </row>
    <row r="605" spans="1:11">
      <c r="A605" s="1" t="s">
        <v>215</v>
      </c>
      <c r="B605" s="6" t="s">
        <v>12</v>
      </c>
      <c r="C605" s="3">
        <v>34.130000000000003</v>
      </c>
      <c r="D605" s="3">
        <v>40.19</v>
      </c>
      <c r="E605" s="3">
        <v>40</v>
      </c>
      <c r="F605" s="4">
        <v>4.6584947100000003</v>
      </c>
      <c r="G605" s="4">
        <v>-74.099935250000001</v>
      </c>
      <c r="H605" s="9">
        <f t="shared" si="27"/>
        <v>1.00475</v>
      </c>
      <c r="I605" s="4" t="str">
        <f t="shared" si="28"/>
        <v>Altamente critico &gt;100%</v>
      </c>
      <c r="J605" s="1" t="s">
        <v>13</v>
      </c>
      <c r="K605" s="1" t="str">
        <f t="shared" si="29"/>
        <v>Sin riesgo</v>
      </c>
    </row>
    <row r="606" spans="1:11">
      <c r="A606" s="1" t="s">
        <v>215</v>
      </c>
      <c r="B606" s="6" t="s">
        <v>14</v>
      </c>
      <c r="C606" s="3">
        <v>37.17</v>
      </c>
      <c r="D606" s="3">
        <v>42.95</v>
      </c>
      <c r="E606" s="3">
        <v>40</v>
      </c>
      <c r="F606" s="4">
        <v>4.6584947100000003</v>
      </c>
      <c r="G606" s="4">
        <v>-74.099935250000001</v>
      </c>
      <c r="H606" s="9">
        <f t="shared" si="27"/>
        <v>1.07375</v>
      </c>
      <c r="I606" s="4" t="str">
        <f t="shared" si="28"/>
        <v>Altamente critico &gt;100%</v>
      </c>
      <c r="J606" s="1" t="s">
        <v>13</v>
      </c>
      <c r="K606" s="1" t="str">
        <f t="shared" si="29"/>
        <v>Sin riesgo</v>
      </c>
    </row>
    <row r="607" spans="1:11">
      <c r="A607" s="1" t="s">
        <v>215</v>
      </c>
      <c r="B607" s="6" t="s">
        <v>15</v>
      </c>
      <c r="C607" s="3">
        <v>37.26</v>
      </c>
      <c r="D607" s="3">
        <v>43.14</v>
      </c>
      <c r="E607" s="3">
        <v>40</v>
      </c>
      <c r="F607" s="4">
        <v>4.6584947100000003</v>
      </c>
      <c r="G607" s="4">
        <v>-74.099935250000001</v>
      </c>
      <c r="H607" s="9">
        <f t="shared" si="27"/>
        <v>1.0785</v>
      </c>
      <c r="I607" s="4" t="str">
        <f t="shared" si="28"/>
        <v>Altamente critico &gt;100%</v>
      </c>
      <c r="J607" s="1" t="s">
        <v>13</v>
      </c>
      <c r="K607" s="1" t="str">
        <f t="shared" si="29"/>
        <v>Sin riesgo</v>
      </c>
    </row>
    <row r="608" spans="1:11">
      <c r="A608" s="1" t="s">
        <v>216</v>
      </c>
      <c r="B608" s="6" t="s">
        <v>12</v>
      </c>
      <c r="C608" s="3">
        <v>21.89</v>
      </c>
      <c r="D608" s="3">
        <v>14.7</v>
      </c>
      <c r="E608" s="3">
        <v>15</v>
      </c>
      <c r="F608" s="4">
        <v>4.6584947100000003</v>
      </c>
      <c r="G608" s="4">
        <v>-74.099935250000001</v>
      </c>
      <c r="H608" s="9">
        <f t="shared" si="27"/>
        <v>1.4593333333333334</v>
      </c>
      <c r="I608" s="4" t="str">
        <f t="shared" si="28"/>
        <v>Altamente critico &gt;100%</v>
      </c>
      <c r="J608" s="1" t="s">
        <v>13</v>
      </c>
      <c r="K608" s="1" t="str">
        <f t="shared" si="29"/>
        <v>Sin riesgo</v>
      </c>
    </row>
    <row r="609" spans="1:11">
      <c r="A609" s="1" t="s">
        <v>216</v>
      </c>
      <c r="B609" s="6" t="s">
        <v>14</v>
      </c>
      <c r="C609" s="3">
        <v>15.9</v>
      </c>
      <c r="D609" s="3">
        <v>10.63</v>
      </c>
      <c r="E609" s="3">
        <v>15</v>
      </c>
      <c r="F609" s="4">
        <v>4.6584947100000003</v>
      </c>
      <c r="G609" s="4">
        <v>-74.099935250000001</v>
      </c>
      <c r="H609" s="9">
        <f t="shared" si="27"/>
        <v>1.06</v>
      </c>
      <c r="I609" s="4" t="str">
        <f t="shared" si="28"/>
        <v>Altamente critico &gt;100%</v>
      </c>
      <c r="J609" s="1" t="s">
        <v>13</v>
      </c>
      <c r="K609" s="1" t="str">
        <f t="shared" si="29"/>
        <v>Sin riesgo</v>
      </c>
    </row>
    <row r="610" spans="1:11">
      <c r="A610" s="1" t="s">
        <v>216</v>
      </c>
      <c r="B610" s="6" t="s">
        <v>15</v>
      </c>
      <c r="C610" s="3">
        <v>15.91</v>
      </c>
      <c r="D610" s="3">
        <v>10.63</v>
      </c>
      <c r="E610" s="3">
        <v>15</v>
      </c>
      <c r="F610" s="4">
        <v>4.6584947100000003</v>
      </c>
      <c r="G610" s="4">
        <v>-74.099935250000001</v>
      </c>
      <c r="H610" s="9">
        <f t="shared" si="27"/>
        <v>1.0606666666666666</v>
      </c>
      <c r="I610" s="4" t="str">
        <f t="shared" si="28"/>
        <v>Altamente critico &gt;100%</v>
      </c>
      <c r="J610" s="1" t="s">
        <v>13</v>
      </c>
      <c r="K610" s="1" t="str">
        <f t="shared" si="29"/>
        <v>Sin riesgo</v>
      </c>
    </row>
    <row r="611" spans="1:11">
      <c r="A611" s="1" t="s">
        <v>217</v>
      </c>
      <c r="B611" s="6" t="s">
        <v>12</v>
      </c>
      <c r="C611" s="3">
        <v>20.77</v>
      </c>
      <c r="D611" s="3">
        <v>23.33</v>
      </c>
      <c r="E611" s="3">
        <v>31.5</v>
      </c>
      <c r="F611" s="4">
        <v>4.5827448899999998</v>
      </c>
      <c r="G611" s="4">
        <v>-74.307664709999997</v>
      </c>
      <c r="H611" s="9">
        <f t="shared" si="27"/>
        <v>0.74063492063492053</v>
      </c>
      <c r="I611" s="4" t="str">
        <f t="shared" si="28"/>
        <v>Sin riesgo &lt;85%</v>
      </c>
      <c r="J611" s="1" t="s">
        <v>13</v>
      </c>
      <c r="K611" s="1" t="str">
        <f t="shared" si="29"/>
        <v>Sin riesgo</v>
      </c>
    </row>
    <row r="612" spans="1:11">
      <c r="A612" s="1" t="s">
        <v>217</v>
      </c>
      <c r="B612" s="6" t="s">
        <v>14</v>
      </c>
      <c r="C612" s="3">
        <v>20.99</v>
      </c>
      <c r="D612" s="3">
        <v>23.6</v>
      </c>
      <c r="E612" s="3">
        <v>31.5</v>
      </c>
      <c r="F612" s="4">
        <v>4.5827448899999998</v>
      </c>
      <c r="G612" s="4">
        <v>-74.307664709999997</v>
      </c>
      <c r="H612" s="9">
        <f t="shared" si="27"/>
        <v>0.74920634920634921</v>
      </c>
      <c r="I612" s="4" t="str">
        <f t="shared" si="28"/>
        <v>Sin riesgo &lt;85%</v>
      </c>
      <c r="J612" s="1" t="s">
        <v>13</v>
      </c>
      <c r="K612" s="1" t="str">
        <f t="shared" si="29"/>
        <v>Sin riesgo</v>
      </c>
    </row>
    <row r="613" spans="1:11">
      <c r="A613" s="1" t="s">
        <v>217</v>
      </c>
      <c r="B613" s="6" t="s">
        <v>15</v>
      </c>
      <c r="C613" s="3">
        <v>21</v>
      </c>
      <c r="D613" s="3">
        <v>23.62</v>
      </c>
      <c r="E613" s="3">
        <v>31.5</v>
      </c>
      <c r="F613" s="4">
        <v>4.5827448899999998</v>
      </c>
      <c r="G613" s="4">
        <v>-74.307664709999997</v>
      </c>
      <c r="H613" s="9">
        <f t="shared" si="27"/>
        <v>0.74984126984126986</v>
      </c>
      <c r="I613" s="4" t="str">
        <f t="shared" si="28"/>
        <v>Sin riesgo &lt;85%</v>
      </c>
      <c r="J613" s="1" t="s">
        <v>13</v>
      </c>
      <c r="K613" s="1" t="str">
        <f t="shared" si="29"/>
        <v>Sin riesgo</v>
      </c>
    </row>
    <row r="614" spans="1:11">
      <c r="A614" s="1" t="s">
        <v>218</v>
      </c>
      <c r="B614" s="6" t="s">
        <v>12</v>
      </c>
      <c r="C614" s="3">
        <v>21.37</v>
      </c>
      <c r="D614" s="3">
        <v>23.88</v>
      </c>
      <c r="E614" s="3">
        <v>40</v>
      </c>
      <c r="F614" s="4">
        <v>4.5815422699999999</v>
      </c>
      <c r="G614" s="4">
        <v>-74.308351040000005</v>
      </c>
      <c r="H614" s="9">
        <f t="shared" si="27"/>
        <v>0.59699999999999998</v>
      </c>
      <c r="I614" s="4" t="str">
        <f t="shared" si="28"/>
        <v>Sin riesgo &lt;85%</v>
      </c>
      <c r="J614" s="1" t="s">
        <v>13</v>
      </c>
      <c r="K614" s="1" t="str">
        <f t="shared" si="29"/>
        <v>Sin riesgo</v>
      </c>
    </row>
    <row r="615" spans="1:11">
      <c r="A615" s="1" t="s">
        <v>218</v>
      </c>
      <c r="B615" s="6" t="s">
        <v>14</v>
      </c>
      <c r="C615" s="3">
        <v>21.6</v>
      </c>
      <c r="D615" s="3">
        <v>24.16</v>
      </c>
      <c r="E615" s="3">
        <v>40</v>
      </c>
      <c r="F615" s="4">
        <v>4.5815422699999999</v>
      </c>
      <c r="G615" s="4">
        <v>-74.308351040000005</v>
      </c>
      <c r="H615" s="9">
        <f t="shared" si="27"/>
        <v>0.60399999999999998</v>
      </c>
      <c r="I615" s="4" t="str">
        <f t="shared" si="28"/>
        <v>Sin riesgo &lt;85%</v>
      </c>
      <c r="J615" s="1" t="s">
        <v>13</v>
      </c>
      <c r="K615" s="1" t="str">
        <f t="shared" si="29"/>
        <v>Sin riesgo</v>
      </c>
    </row>
    <row r="616" spans="1:11">
      <c r="A616" s="1" t="s">
        <v>218</v>
      </c>
      <c r="B616" s="6" t="s">
        <v>15</v>
      </c>
      <c r="C616" s="3">
        <v>21.61</v>
      </c>
      <c r="D616" s="3">
        <v>24.18</v>
      </c>
      <c r="E616" s="3">
        <v>40</v>
      </c>
      <c r="F616" s="4">
        <v>4.5815422699999999</v>
      </c>
      <c r="G616" s="4">
        <v>-74.308351040000005</v>
      </c>
      <c r="H616" s="9">
        <f t="shared" si="27"/>
        <v>0.60450000000000004</v>
      </c>
      <c r="I616" s="4" t="str">
        <f t="shared" si="28"/>
        <v>Sin riesgo &lt;85%</v>
      </c>
      <c r="J616" s="1" t="s">
        <v>13</v>
      </c>
      <c r="K616" s="1" t="str">
        <f t="shared" si="29"/>
        <v>Sin riesgo</v>
      </c>
    </row>
    <row r="617" spans="1:11">
      <c r="A617" s="1" t="s">
        <v>219</v>
      </c>
      <c r="B617" s="6" t="s">
        <v>12</v>
      </c>
      <c r="C617" s="3">
        <v>23.11</v>
      </c>
      <c r="D617" s="3">
        <v>28.12</v>
      </c>
      <c r="E617" s="3">
        <v>40</v>
      </c>
      <c r="F617" s="4">
        <v>2.5465810000000002</v>
      </c>
      <c r="G617" s="4">
        <v>-72.628955000000005</v>
      </c>
      <c r="H617" s="9">
        <f t="shared" si="27"/>
        <v>0.70300000000000007</v>
      </c>
      <c r="I617" s="4" t="str">
        <f t="shared" si="28"/>
        <v>Sin riesgo &lt;85%</v>
      </c>
      <c r="J617" s="1" t="s">
        <v>13</v>
      </c>
      <c r="K617" s="1" t="str">
        <f t="shared" si="29"/>
        <v>Sin riesgo</v>
      </c>
    </row>
    <row r="618" spans="1:11">
      <c r="A618" s="1" t="s">
        <v>219</v>
      </c>
      <c r="B618" s="6" t="s">
        <v>14</v>
      </c>
      <c r="C618" s="3">
        <v>24.24</v>
      </c>
      <c r="D618" s="3">
        <v>29.45</v>
      </c>
      <c r="E618" s="3">
        <v>40</v>
      </c>
      <c r="F618" s="4">
        <v>2.5465810000000002</v>
      </c>
      <c r="G618" s="4">
        <v>-72.628955000000005</v>
      </c>
      <c r="H618" s="9">
        <f t="shared" si="27"/>
        <v>0.73624999999999996</v>
      </c>
      <c r="I618" s="4" t="str">
        <f t="shared" si="28"/>
        <v>Sin riesgo &lt;85%</v>
      </c>
      <c r="J618" s="1" t="s">
        <v>13</v>
      </c>
      <c r="K618" s="1" t="str">
        <f t="shared" si="29"/>
        <v>Sin riesgo</v>
      </c>
    </row>
    <row r="619" spans="1:11">
      <c r="A619" s="1" t="s">
        <v>219</v>
      </c>
      <c r="B619" s="6" t="s">
        <v>15</v>
      </c>
      <c r="C619" s="3">
        <v>24.26</v>
      </c>
      <c r="D619" s="3">
        <v>29.51</v>
      </c>
      <c r="E619" s="3">
        <v>40</v>
      </c>
      <c r="F619" s="4">
        <v>2.5465810000000002</v>
      </c>
      <c r="G619" s="4">
        <v>-72.628955000000005</v>
      </c>
      <c r="H619" s="9">
        <f t="shared" si="27"/>
        <v>0.73775000000000002</v>
      </c>
      <c r="I619" s="4" t="str">
        <f t="shared" si="28"/>
        <v>Sin riesgo &lt;85%</v>
      </c>
      <c r="J619" s="1" t="s">
        <v>13</v>
      </c>
      <c r="K619" s="1" t="str">
        <f t="shared" si="29"/>
        <v>Sin riesgo</v>
      </c>
    </row>
    <row r="620" spans="1:11">
      <c r="A620" s="1" t="s">
        <v>220</v>
      </c>
      <c r="B620" s="6" t="s">
        <v>12</v>
      </c>
      <c r="C620" s="3">
        <v>13.5</v>
      </c>
      <c r="D620" s="3">
        <v>15.37</v>
      </c>
      <c r="E620" s="3">
        <v>40</v>
      </c>
      <c r="F620" s="4">
        <v>7.873513</v>
      </c>
      <c r="G620" s="4">
        <v>-72.484335999999999</v>
      </c>
      <c r="H620" s="9">
        <f t="shared" si="27"/>
        <v>0.38424999999999998</v>
      </c>
      <c r="I620" s="4" t="str">
        <f t="shared" si="28"/>
        <v>Sin riesgo &lt;85%</v>
      </c>
      <c r="J620" s="1" t="s">
        <v>13</v>
      </c>
      <c r="K620" s="1" t="str">
        <f t="shared" si="29"/>
        <v>Sin riesgo</v>
      </c>
    </row>
    <row r="621" spans="1:11">
      <c r="A621" s="1" t="s">
        <v>220</v>
      </c>
      <c r="B621" s="6" t="s">
        <v>14</v>
      </c>
      <c r="C621" s="3">
        <v>13.78</v>
      </c>
      <c r="D621" s="3">
        <v>15.73</v>
      </c>
      <c r="E621" s="3">
        <v>40</v>
      </c>
      <c r="F621" s="4">
        <v>7.873513</v>
      </c>
      <c r="G621" s="4">
        <v>-72.484335999999999</v>
      </c>
      <c r="H621" s="9">
        <f t="shared" si="27"/>
        <v>0.39324999999999999</v>
      </c>
      <c r="I621" s="4" t="str">
        <f t="shared" si="28"/>
        <v>Sin riesgo &lt;85%</v>
      </c>
      <c r="J621" s="1" t="s">
        <v>13</v>
      </c>
      <c r="K621" s="1" t="str">
        <f t="shared" si="29"/>
        <v>Sin riesgo</v>
      </c>
    </row>
    <row r="622" spans="1:11">
      <c r="A622" s="1" t="s">
        <v>220</v>
      </c>
      <c r="B622" s="6" t="s">
        <v>15</v>
      </c>
      <c r="C622" s="3">
        <v>13.79</v>
      </c>
      <c r="D622" s="3">
        <v>15.74</v>
      </c>
      <c r="E622" s="3">
        <v>40</v>
      </c>
      <c r="F622" s="4">
        <v>7.873513</v>
      </c>
      <c r="G622" s="4">
        <v>-72.484335999999999</v>
      </c>
      <c r="H622" s="9">
        <f t="shared" si="27"/>
        <v>0.39350000000000002</v>
      </c>
      <c r="I622" s="4" t="str">
        <f t="shared" si="28"/>
        <v>Sin riesgo &lt;85%</v>
      </c>
      <c r="J622" s="1" t="s">
        <v>13</v>
      </c>
      <c r="K622" s="1" t="str">
        <f t="shared" si="29"/>
        <v>Sin riesgo</v>
      </c>
    </row>
    <row r="623" spans="1:11">
      <c r="A623" s="1" t="s">
        <v>221</v>
      </c>
      <c r="B623" s="6" t="s">
        <v>12</v>
      </c>
      <c r="C623" s="3">
        <v>4.4000000000000004</v>
      </c>
      <c r="D623" s="3">
        <v>4.93</v>
      </c>
      <c r="E623" s="3">
        <v>10</v>
      </c>
      <c r="F623" s="4">
        <v>4.8624320000000001</v>
      </c>
      <c r="G623" s="4">
        <v>-73.265073000000001</v>
      </c>
      <c r="H623" s="9">
        <f t="shared" si="27"/>
        <v>0.49299999999999999</v>
      </c>
      <c r="I623" s="4" t="str">
        <f t="shared" si="28"/>
        <v>Sin riesgo &lt;85%</v>
      </c>
      <c r="J623" s="1" t="s">
        <v>13</v>
      </c>
      <c r="K623" s="1" t="str">
        <f t="shared" si="29"/>
        <v>Sin riesgo</v>
      </c>
    </row>
    <row r="624" spans="1:11">
      <c r="A624" s="1" t="s">
        <v>221</v>
      </c>
      <c r="B624" s="6" t="s">
        <v>14</v>
      </c>
      <c r="C624" s="3">
        <v>4.5599999999999996</v>
      </c>
      <c r="D624" s="3">
        <v>5.1100000000000003</v>
      </c>
      <c r="E624" s="3">
        <v>10</v>
      </c>
      <c r="F624" s="4">
        <v>4.8624320000000001</v>
      </c>
      <c r="G624" s="4">
        <v>-73.265073000000001</v>
      </c>
      <c r="H624" s="9">
        <f t="shared" si="27"/>
        <v>0.51100000000000001</v>
      </c>
      <c r="I624" s="4" t="str">
        <f t="shared" si="28"/>
        <v>Sin riesgo &lt;85%</v>
      </c>
      <c r="J624" s="1" t="s">
        <v>13</v>
      </c>
      <c r="K624" s="1" t="str">
        <f t="shared" si="29"/>
        <v>Sin riesgo</v>
      </c>
    </row>
    <row r="625" spans="1:11">
      <c r="A625" s="1" t="s">
        <v>221</v>
      </c>
      <c r="B625" s="6" t="s">
        <v>15</v>
      </c>
      <c r="C625" s="3">
        <v>4.5599999999999996</v>
      </c>
      <c r="D625" s="3">
        <v>5.0999999999999996</v>
      </c>
      <c r="E625" s="3">
        <v>10</v>
      </c>
      <c r="F625" s="4">
        <v>4.8624320000000001</v>
      </c>
      <c r="G625" s="4">
        <v>-73.265073000000001</v>
      </c>
      <c r="H625" s="9">
        <f t="shared" si="27"/>
        <v>0.51</v>
      </c>
      <c r="I625" s="4" t="str">
        <f t="shared" si="28"/>
        <v>Sin riesgo &lt;85%</v>
      </c>
      <c r="J625" s="1" t="s">
        <v>13</v>
      </c>
      <c r="K625" s="1" t="str">
        <f t="shared" si="29"/>
        <v>Sin riesgo</v>
      </c>
    </row>
    <row r="626" spans="1:11">
      <c r="A626" s="1" t="s">
        <v>222</v>
      </c>
      <c r="B626" s="6" t="s">
        <v>12</v>
      </c>
      <c r="C626" s="3">
        <v>5.1100000000000003</v>
      </c>
      <c r="D626" s="3">
        <v>6.03</v>
      </c>
      <c r="E626" s="3">
        <v>40</v>
      </c>
      <c r="F626" s="4">
        <v>4.3318672999999999</v>
      </c>
      <c r="G626" s="4">
        <v>-74.357206829999996</v>
      </c>
      <c r="H626" s="9">
        <f t="shared" si="27"/>
        <v>0.15075</v>
      </c>
      <c r="I626" s="4" t="str">
        <f t="shared" si="28"/>
        <v>Sin riesgo &lt;85%</v>
      </c>
      <c r="J626" s="1" t="s">
        <v>13</v>
      </c>
      <c r="K626" s="1" t="str">
        <f t="shared" si="29"/>
        <v>Sin riesgo</v>
      </c>
    </row>
    <row r="627" spans="1:11">
      <c r="A627" s="1" t="s">
        <v>222</v>
      </c>
      <c r="B627" s="6" t="s">
        <v>14</v>
      </c>
      <c r="C627" s="3">
        <v>5.16</v>
      </c>
      <c r="D627" s="3">
        <v>6.09</v>
      </c>
      <c r="E627" s="3">
        <v>40</v>
      </c>
      <c r="F627" s="4">
        <v>4.3318672999999999</v>
      </c>
      <c r="G627" s="4">
        <v>-74.357206829999996</v>
      </c>
      <c r="H627" s="9">
        <f t="shared" si="27"/>
        <v>0.15225</v>
      </c>
      <c r="I627" s="4" t="str">
        <f t="shared" si="28"/>
        <v>Sin riesgo &lt;85%</v>
      </c>
      <c r="J627" s="1" t="s">
        <v>13</v>
      </c>
      <c r="K627" s="1" t="str">
        <f t="shared" si="29"/>
        <v>Sin riesgo</v>
      </c>
    </row>
    <row r="628" spans="1:11">
      <c r="A628" s="1" t="s">
        <v>222</v>
      </c>
      <c r="B628" s="6" t="s">
        <v>15</v>
      </c>
      <c r="C628" s="3">
        <v>5.16</v>
      </c>
      <c r="D628" s="3">
        <v>6.09</v>
      </c>
      <c r="E628" s="3">
        <v>40</v>
      </c>
      <c r="F628" s="4">
        <v>4.3318672999999999</v>
      </c>
      <c r="G628" s="4">
        <v>-74.357206829999996</v>
      </c>
      <c r="H628" s="9">
        <f t="shared" si="27"/>
        <v>0.15225</v>
      </c>
      <c r="I628" s="4" t="str">
        <f t="shared" si="28"/>
        <v>Sin riesgo &lt;85%</v>
      </c>
      <c r="J628" s="1" t="s">
        <v>13</v>
      </c>
      <c r="K628" s="1" t="str">
        <f t="shared" si="29"/>
        <v>Sin riesgo</v>
      </c>
    </row>
    <row r="629" spans="1:11">
      <c r="A629" s="1" t="s">
        <v>223</v>
      </c>
      <c r="B629" s="6" t="s">
        <v>12</v>
      </c>
      <c r="C629" s="3">
        <v>14.78</v>
      </c>
      <c r="D629" s="3">
        <v>15.07</v>
      </c>
      <c r="E629" s="3">
        <v>40</v>
      </c>
      <c r="F629" s="4">
        <v>5.0375636999999998</v>
      </c>
      <c r="G629" s="4">
        <v>-73.809529400000002</v>
      </c>
      <c r="H629" s="9">
        <f t="shared" si="27"/>
        <v>0.37675000000000003</v>
      </c>
      <c r="I629" s="4" t="str">
        <f t="shared" si="28"/>
        <v>Sin riesgo &lt;85%</v>
      </c>
      <c r="J629" s="1" t="s">
        <v>13</v>
      </c>
      <c r="K629" s="1" t="str">
        <f t="shared" si="29"/>
        <v>Sin riesgo</v>
      </c>
    </row>
    <row r="630" spans="1:11">
      <c r="A630" s="1" t="s">
        <v>223</v>
      </c>
      <c r="B630" s="6" t="s">
        <v>14</v>
      </c>
      <c r="C630" s="3">
        <v>15.39</v>
      </c>
      <c r="D630" s="3">
        <v>15.85</v>
      </c>
      <c r="E630" s="3">
        <v>40</v>
      </c>
      <c r="F630" s="4">
        <v>5.0375636999999998</v>
      </c>
      <c r="G630" s="4">
        <v>-73.809529400000002</v>
      </c>
      <c r="H630" s="9">
        <f t="shared" si="27"/>
        <v>0.39624999999999999</v>
      </c>
      <c r="I630" s="4" t="str">
        <f t="shared" si="28"/>
        <v>Sin riesgo &lt;85%</v>
      </c>
      <c r="J630" s="1" t="s">
        <v>13</v>
      </c>
      <c r="K630" s="1" t="str">
        <f t="shared" si="29"/>
        <v>Sin riesgo</v>
      </c>
    </row>
    <row r="631" spans="1:11">
      <c r="A631" s="1" t="s">
        <v>223</v>
      </c>
      <c r="B631" s="6" t="s">
        <v>15</v>
      </c>
      <c r="C631" s="3">
        <v>15.39</v>
      </c>
      <c r="D631" s="3">
        <v>15.86</v>
      </c>
      <c r="E631" s="3">
        <v>40</v>
      </c>
      <c r="F631" s="4">
        <v>5.0375636999999998</v>
      </c>
      <c r="G631" s="4">
        <v>-73.809529400000002</v>
      </c>
      <c r="H631" s="9">
        <f t="shared" si="27"/>
        <v>0.39649999999999996</v>
      </c>
      <c r="I631" s="4" t="str">
        <f t="shared" si="28"/>
        <v>Sin riesgo &lt;85%</v>
      </c>
      <c r="J631" s="1" t="s">
        <v>13</v>
      </c>
      <c r="K631" s="1" t="str">
        <f t="shared" si="29"/>
        <v>Sin riesgo</v>
      </c>
    </row>
    <row r="632" spans="1:11">
      <c r="A632" s="1" t="s">
        <v>224</v>
      </c>
      <c r="B632" s="6" t="s">
        <v>12</v>
      </c>
      <c r="C632" s="3">
        <v>3.49</v>
      </c>
      <c r="D632" s="3">
        <v>3.37</v>
      </c>
      <c r="E632" s="3">
        <v>40</v>
      </c>
      <c r="F632" s="4">
        <v>5.5060224099999999</v>
      </c>
      <c r="G632" s="4">
        <v>-73.849632119999995</v>
      </c>
      <c r="H632" s="9">
        <f t="shared" si="27"/>
        <v>8.7250000000000008E-2</v>
      </c>
      <c r="I632" s="4" t="str">
        <f t="shared" si="28"/>
        <v>Sin riesgo &lt;85%</v>
      </c>
      <c r="J632" s="1" t="s">
        <v>13</v>
      </c>
      <c r="K632" s="1" t="str">
        <f t="shared" si="29"/>
        <v>Sin riesgo</v>
      </c>
    </row>
    <row r="633" spans="1:11">
      <c r="A633" s="1" t="s">
        <v>224</v>
      </c>
      <c r="B633" s="6" t="s">
        <v>14</v>
      </c>
      <c r="C633" s="3">
        <v>3.56</v>
      </c>
      <c r="D633" s="3">
        <v>3.44</v>
      </c>
      <c r="E633" s="3">
        <v>40</v>
      </c>
      <c r="F633" s="4">
        <v>5.5060224099999999</v>
      </c>
      <c r="G633" s="4">
        <v>-73.849632119999995</v>
      </c>
      <c r="H633" s="9">
        <f t="shared" si="27"/>
        <v>8.8999999999999996E-2</v>
      </c>
      <c r="I633" s="4" t="str">
        <f t="shared" si="28"/>
        <v>Sin riesgo &lt;85%</v>
      </c>
      <c r="J633" s="1" t="s">
        <v>13</v>
      </c>
      <c r="K633" s="1" t="str">
        <f t="shared" si="29"/>
        <v>Sin riesgo</v>
      </c>
    </row>
    <row r="634" spans="1:11">
      <c r="A634" s="1" t="s">
        <v>224</v>
      </c>
      <c r="B634" s="6" t="s">
        <v>15</v>
      </c>
      <c r="C634" s="3">
        <v>3.56</v>
      </c>
      <c r="D634" s="3">
        <v>3.44</v>
      </c>
      <c r="E634" s="3">
        <v>40</v>
      </c>
      <c r="F634" s="4">
        <v>5.5060224099999999</v>
      </c>
      <c r="G634" s="4">
        <v>-73.849632119999995</v>
      </c>
      <c r="H634" s="9">
        <f t="shared" si="27"/>
        <v>8.8999999999999996E-2</v>
      </c>
      <c r="I634" s="4" t="str">
        <f t="shared" si="28"/>
        <v>Sin riesgo &lt;85%</v>
      </c>
      <c r="J634" s="1" t="s">
        <v>13</v>
      </c>
      <c r="K634" s="1" t="str">
        <f t="shared" si="29"/>
        <v>Sin riesgo</v>
      </c>
    </row>
    <row r="635" spans="1:11">
      <c r="A635" s="1" t="s">
        <v>225</v>
      </c>
      <c r="B635" s="6" t="s">
        <v>12</v>
      </c>
      <c r="C635" s="3">
        <v>25.87</v>
      </c>
      <c r="D635" s="3">
        <v>30.55</v>
      </c>
      <c r="E635" s="3">
        <v>31.5</v>
      </c>
      <c r="F635" s="4">
        <v>4.5750486500000003</v>
      </c>
      <c r="G635" s="4">
        <v>-74.112335950000002</v>
      </c>
      <c r="H635" s="9">
        <f t="shared" si="27"/>
        <v>0.96984126984126984</v>
      </c>
      <c r="I635" s="4" t="str">
        <f t="shared" si="28"/>
        <v>Critico &gt;95%</v>
      </c>
      <c r="J635" s="1" t="s">
        <v>13</v>
      </c>
      <c r="K635" s="1" t="str">
        <f t="shared" si="29"/>
        <v>Sin riesgo</v>
      </c>
    </row>
    <row r="636" spans="1:11">
      <c r="A636" s="1" t="s">
        <v>225</v>
      </c>
      <c r="B636" s="6" t="s">
        <v>14</v>
      </c>
      <c r="C636" s="3">
        <v>26.71</v>
      </c>
      <c r="D636" s="3">
        <v>31.63</v>
      </c>
      <c r="E636" s="3">
        <v>31.5</v>
      </c>
      <c r="F636" s="4">
        <v>4.5750486500000003</v>
      </c>
      <c r="G636" s="4">
        <v>-74.112335950000002</v>
      </c>
      <c r="H636" s="9">
        <f t="shared" si="27"/>
        <v>1.0041269841269842</v>
      </c>
      <c r="I636" s="4" t="str">
        <f t="shared" si="28"/>
        <v>Altamente critico &gt;100%</v>
      </c>
      <c r="J636" s="1" t="s">
        <v>13</v>
      </c>
      <c r="K636" s="1" t="str">
        <f t="shared" si="29"/>
        <v>Sin riesgo</v>
      </c>
    </row>
    <row r="637" spans="1:11">
      <c r="A637" s="1" t="s">
        <v>225</v>
      </c>
      <c r="B637" s="6" t="s">
        <v>15</v>
      </c>
      <c r="C637" s="3">
        <v>26.73</v>
      </c>
      <c r="D637" s="3">
        <v>31.69</v>
      </c>
      <c r="E637" s="3">
        <v>31.5</v>
      </c>
      <c r="F637" s="4">
        <v>4.5750486500000003</v>
      </c>
      <c r="G637" s="4">
        <v>-74.112335950000002</v>
      </c>
      <c r="H637" s="9">
        <f t="shared" si="27"/>
        <v>1.0060317460317461</v>
      </c>
      <c r="I637" s="4" t="str">
        <f t="shared" si="28"/>
        <v>Altamente critico &gt;100%</v>
      </c>
      <c r="J637" s="1" t="s">
        <v>13</v>
      </c>
      <c r="K637" s="1" t="str">
        <f t="shared" si="29"/>
        <v>Sin riesgo</v>
      </c>
    </row>
    <row r="638" spans="1:11">
      <c r="A638" s="1" t="s">
        <v>226</v>
      </c>
      <c r="B638" s="6" t="s">
        <v>12</v>
      </c>
      <c r="C638" s="3">
        <v>18.36</v>
      </c>
      <c r="D638" s="3">
        <v>24.83</v>
      </c>
      <c r="E638" s="3">
        <v>40</v>
      </c>
      <c r="F638" s="4">
        <v>4.7551667100000001</v>
      </c>
      <c r="G638" s="4">
        <v>-74.067181939999998</v>
      </c>
      <c r="H638" s="9">
        <f t="shared" si="27"/>
        <v>0.62074999999999991</v>
      </c>
      <c r="I638" s="4" t="str">
        <f t="shared" si="28"/>
        <v>Sin riesgo &lt;85%</v>
      </c>
      <c r="J638" s="1" t="s">
        <v>13</v>
      </c>
      <c r="K638" s="1" t="str">
        <f t="shared" si="29"/>
        <v>Sin riesgo</v>
      </c>
    </row>
    <row r="639" spans="1:11">
      <c r="A639" s="1" t="s">
        <v>226</v>
      </c>
      <c r="B639" s="6" t="s">
        <v>14</v>
      </c>
      <c r="C639" s="3">
        <v>18.760000000000002</v>
      </c>
      <c r="D639" s="3">
        <v>25.39</v>
      </c>
      <c r="E639" s="3">
        <v>40</v>
      </c>
      <c r="F639" s="4">
        <v>4.7551667100000001</v>
      </c>
      <c r="G639" s="4">
        <v>-74.067181939999998</v>
      </c>
      <c r="H639" s="9">
        <f t="shared" si="27"/>
        <v>0.63475000000000004</v>
      </c>
      <c r="I639" s="4" t="str">
        <f t="shared" si="28"/>
        <v>Sin riesgo &lt;85%</v>
      </c>
      <c r="J639" s="1" t="s">
        <v>13</v>
      </c>
      <c r="K639" s="1" t="str">
        <f t="shared" si="29"/>
        <v>Sin riesgo</v>
      </c>
    </row>
    <row r="640" spans="1:11">
      <c r="A640" s="1" t="s">
        <v>226</v>
      </c>
      <c r="B640" s="6" t="s">
        <v>15</v>
      </c>
      <c r="C640" s="3">
        <v>18.77</v>
      </c>
      <c r="D640" s="3">
        <v>25.43</v>
      </c>
      <c r="E640" s="3">
        <v>40</v>
      </c>
      <c r="F640" s="4">
        <v>4.7551667100000001</v>
      </c>
      <c r="G640" s="4">
        <v>-74.067181939999998</v>
      </c>
      <c r="H640" s="9">
        <f t="shared" si="27"/>
        <v>0.63575000000000004</v>
      </c>
      <c r="I640" s="4" t="str">
        <f t="shared" si="28"/>
        <v>Sin riesgo &lt;85%</v>
      </c>
      <c r="J640" s="1" t="s">
        <v>13</v>
      </c>
      <c r="K640" s="1" t="str">
        <f t="shared" si="29"/>
        <v>Sin riesgo</v>
      </c>
    </row>
    <row r="641" spans="1:11">
      <c r="A641" s="1" t="s">
        <v>227</v>
      </c>
      <c r="B641" s="6" t="s">
        <v>12</v>
      </c>
      <c r="C641" s="3">
        <v>18.16</v>
      </c>
      <c r="D641" s="3">
        <v>23.77</v>
      </c>
      <c r="E641" s="3">
        <v>25</v>
      </c>
      <c r="F641" s="4">
        <v>4.63230115</v>
      </c>
      <c r="G641" s="4">
        <v>-74.151276100000004</v>
      </c>
      <c r="H641" s="9">
        <f t="shared" si="27"/>
        <v>0.95079999999999998</v>
      </c>
      <c r="I641" s="4" t="str">
        <f t="shared" si="28"/>
        <v>Critico &gt;95%</v>
      </c>
      <c r="J641" s="1" t="s">
        <v>13</v>
      </c>
      <c r="K641" s="1" t="str">
        <f t="shared" si="29"/>
        <v>Sin riesgo</v>
      </c>
    </row>
    <row r="642" spans="1:11">
      <c r="A642" s="1" t="s">
        <v>227</v>
      </c>
      <c r="B642" s="6" t="s">
        <v>14</v>
      </c>
      <c r="C642" s="3">
        <v>18.989999999999998</v>
      </c>
      <c r="D642" s="3">
        <v>24.81</v>
      </c>
      <c r="E642" s="3">
        <v>25</v>
      </c>
      <c r="F642" s="4">
        <v>4.63230115</v>
      </c>
      <c r="G642" s="4">
        <v>-74.151276100000004</v>
      </c>
      <c r="H642" s="9">
        <f t="shared" si="27"/>
        <v>0.99239999999999995</v>
      </c>
      <c r="I642" s="4" t="str">
        <f t="shared" si="28"/>
        <v>Critico &gt;95%</v>
      </c>
      <c r="J642" s="1" t="s">
        <v>13</v>
      </c>
      <c r="K642" s="1" t="str">
        <f t="shared" si="29"/>
        <v>Sin riesgo</v>
      </c>
    </row>
    <row r="643" spans="1:11">
      <c r="A643" s="1" t="s">
        <v>227</v>
      </c>
      <c r="B643" s="6" t="s">
        <v>15</v>
      </c>
      <c r="C643" s="3">
        <v>19.010000000000002</v>
      </c>
      <c r="D643" s="3">
        <v>24.87</v>
      </c>
      <c r="E643" s="3">
        <v>25</v>
      </c>
      <c r="F643" s="4">
        <v>4.63230115</v>
      </c>
      <c r="G643" s="4">
        <v>-74.151276100000004</v>
      </c>
      <c r="H643" s="9">
        <f t="shared" ref="H643:H706" si="30">IF(C643&gt;D643,C643/E643,D643/E643)</f>
        <v>0.99480000000000002</v>
      </c>
      <c r="I643" s="4" t="str">
        <f t="shared" ref="I643:I706" si="31">IF(H643&gt;100%,"Altamente critico &gt;100%",IF(H643&gt;95%,"Critico &gt;95%",IF(H643&gt;85%,"En riesgo &gt;85%","Sin riesgo &lt;85%")))</f>
        <v>Critico &gt;95%</v>
      </c>
      <c r="J643" s="1" t="s">
        <v>13</v>
      </c>
      <c r="K643" s="1" t="str">
        <f t="shared" ref="K643:K706" si="32">IF(J643="&gt;5","Sin riesgo",IF(J643&gt;1.5,"Estado de alerta","Estado critico"))</f>
        <v>Sin riesgo</v>
      </c>
    </row>
    <row r="644" spans="1:11">
      <c r="A644" s="1" t="s">
        <v>228</v>
      </c>
      <c r="B644" s="6" t="s">
        <v>12</v>
      </c>
      <c r="C644" s="3">
        <v>9.3800000000000008</v>
      </c>
      <c r="D644" s="3">
        <v>13.86</v>
      </c>
      <c r="E644" s="3">
        <v>31.5</v>
      </c>
      <c r="F644" s="4">
        <v>4.87215533</v>
      </c>
      <c r="G644" s="4">
        <v>-74.103333960000001</v>
      </c>
      <c r="H644" s="9">
        <f t="shared" si="30"/>
        <v>0.44</v>
      </c>
      <c r="I644" s="4" t="str">
        <f t="shared" si="31"/>
        <v>Sin riesgo &lt;85%</v>
      </c>
      <c r="J644" s="1" t="s">
        <v>13</v>
      </c>
      <c r="K644" s="1" t="str">
        <f t="shared" si="32"/>
        <v>Sin riesgo</v>
      </c>
    </row>
    <row r="645" spans="1:11">
      <c r="A645" s="1" t="s">
        <v>228</v>
      </c>
      <c r="B645" s="6" t="s">
        <v>14</v>
      </c>
      <c r="C645" s="3">
        <v>9.74</v>
      </c>
      <c r="D645" s="3">
        <v>14.53</v>
      </c>
      <c r="E645" s="3">
        <v>31.5</v>
      </c>
      <c r="F645" s="4">
        <v>4.87215533</v>
      </c>
      <c r="G645" s="4">
        <v>-74.103333960000001</v>
      </c>
      <c r="H645" s="9">
        <f t="shared" si="30"/>
        <v>0.46126984126984127</v>
      </c>
      <c r="I645" s="4" t="str">
        <f t="shared" si="31"/>
        <v>Sin riesgo &lt;85%</v>
      </c>
      <c r="J645" s="1" t="s">
        <v>13</v>
      </c>
      <c r="K645" s="1" t="str">
        <f t="shared" si="32"/>
        <v>Sin riesgo</v>
      </c>
    </row>
    <row r="646" spans="1:11">
      <c r="A646" s="1" t="s">
        <v>228</v>
      </c>
      <c r="B646" s="6" t="s">
        <v>15</v>
      </c>
      <c r="C646" s="3">
        <v>9.74</v>
      </c>
      <c r="D646" s="3">
        <v>14.55</v>
      </c>
      <c r="E646" s="3">
        <v>31.5</v>
      </c>
      <c r="F646" s="4">
        <v>4.87215533</v>
      </c>
      <c r="G646" s="4">
        <v>-74.103333960000001</v>
      </c>
      <c r="H646" s="9">
        <f t="shared" si="30"/>
        <v>0.46190476190476193</v>
      </c>
      <c r="I646" s="4" t="str">
        <f t="shared" si="31"/>
        <v>Sin riesgo &lt;85%</v>
      </c>
      <c r="J646" s="1" t="s">
        <v>13</v>
      </c>
      <c r="K646" s="1" t="str">
        <f t="shared" si="32"/>
        <v>Sin riesgo</v>
      </c>
    </row>
    <row r="647" spans="1:11">
      <c r="A647" s="1" t="s">
        <v>229</v>
      </c>
      <c r="B647" s="6" t="s">
        <v>12</v>
      </c>
      <c r="C647" s="3">
        <v>12.69</v>
      </c>
      <c r="D647" s="3">
        <v>18.3</v>
      </c>
      <c r="E647" s="3">
        <v>40</v>
      </c>
      <c r="F647" s="4">
        <v>4.65385867</v>
      </c>
      <c r="G647" s="4">
        <v>-74.131460290000007</v>
      </c>
      <c r="H647" s="9">
        <f t="shared" si="30"/>
        <v>0.45750000000000002</v>
      </c>
      <c r="I647" s="4" t="str">
        <f t="shared" si="31"/>
        <v>Sin riesgo &lt;85%</v>
      </c>
      <c r="J647" s="1" t="s">
        <v>13</v>
      </c>
      <c r="K647" s="1" t="str">
        <f t="shared" si="32"/>
        <v>Sin riesgo</v>
      </c>
    </row>
    <row r="648" spans="1:11">
      <c r="A648" s="1" t="s">
        <v>229</v>
      </c>
      <c r="B648" s="6" t="s">
        <v>14</v>
      </c>
      <c r="C648" s="3">
        <v>13.05</v>
      </c>
      <c r="D648" s="3">
        <v>18.829999999999998</v>
      </c>
      <c r="E648" s="3">
        <v>40</v>
      </c>
      <c r="F648" s="4">
        <v>4.65385867</v>
      </c>
      <c r="G648" s="4">
        <v>-74.131460290000007</v>
      </c>
      <c r="H648" s="9">
        <f t="shared" si="30"/>
        <v>0.47074999999999995</v>
      </c>
      <c r="I648" s="4" t="str">
        <f t="shared" si="31"/>
        <v>Sin riesgo &lt;85%</v>
      </c>
      <c r="J648" s="1" t="s">
        <v>13</v>
      </c>
      <c r="K648" s="1" t="str">
        <f t="shared" si="32"/>
        <v>Sin riesgo</v>
      </c>
    </row>
    <row r="649" spans="1:11">
      <c r="A649" s="1" t="s">
        <v>229</v>
      </c>
      <c r="B649" s="6" t="s">
        <v>15</v>
      </c>
      <c r="C649" s="3">
        <v>13.06</v>
      </c>
      <c r="D649" s="3">
        <v>18.88</v>
      </c>
      <c r="E649" s="3">
        <v>40</v>
      </c>
      <c r="F649" s="4">
        <v>4.65385867</v>
      </c>
      <c r="G649" s="4">
        <v>-74.131460290000007</v>
      </c>
      <c r="H649" s="9">
        <f t="shared" si="30"/>
        <v>0.47199999999999998</v>
      </c>
      <c r="I649" s="4" t="str">
        <f t="shared" si="31"/>
        <v>Sin riesgo &lt;85%</v>
      </c>
      <c r="J649" s="1" t="s">
        <v>13</v>
      </c>
      <c r="K649" s="1" t="str">
        <f t="shared" si="32"/>
        <v>Sin riesgo</v>
      </c>
    </row>
    <row r="650" spans="1:11">
      <c r="A650" s="1" t="s">
        <v>230</v>
      </c>
      <c r="B650" s="6" t="s">
        <v>12</v>
      </c>
      <c r="C650" s="3">
        <v>24.83</v>
      </c>
      <c r="D650" s="3">
        <v>21.36</v>
      </c>
      <c r="E650" s="3">
        <v>40</v>
      </c>
      <c r="F650" s="4">
        <v>4.9717769000000001</v>
      </c>
      <c r="G650" s="4">
        <v>-73.946543669999997</v>
      </c>
      <c r="H650" s="9">
        <f t="shared" si="30"/>
        <v>0.62074999999999991</v>
      </c>
      <c r="I650" s="4" t="str">
        <f t="shared" si="31"/>
        <v>Sin riesgo &lt;85%</v>
      </c>
      <c r="J650" s="1" t="s">
        <v>13</v>
      </c>
      <c r="K650" s="1" t="str">
        <f t="shared" si="32"/>
        <v>Sin riesgo</v>
      </c>
    </row>
    <row r="651" spans="1:11">
      <c r="A651" s="1" t="s">
        <v>230</v>
      </c>
      <c r="B651" s="6" t="s">
        <v>14</v>
      </c>
      <c r="C651" s="3">
        <v>30.87</v>
      </c>
      <c r="D651" s="3">
        <v>27.28</v>
      </c>
      <c r="E651" s="3">
        <v>40</v>
      </c>
      <c r="F651" s="4">
        <v>4.9717769000000001</v>
      </c>
      <c r="G651" s="4">
        <v>-73.946543669999997</v>
      </c>
      <c r="H651" s="9">
        <f t="shared" si="30"/>
        <v>0.77175000000000005</v>
      </c>
      <c r="I651" s="4" t="str">
        <f t="shared" si="31"/>
        <v>Sin riesgo &lt;85%</v>
      </c>
      <c r="J651" s="1" t="s">
        <v>13</v>
      </c>
      <c r="K651" s="1" t="str">
        <f t="shared" si="32"/>
        <v>Sin riesgo</v>
      </c>
    </row>
    <row r="652" spans="1:11">
      <c r="A652" s="1" t="s">
        <v>230</v>
      </c>
      <c r="B652" s="6" t="s">
        <v>15</v>
      </c>
      <c r="C652" s="3">
        <v>30.88</v>
      </c>
      <c r="D652" s="3">
        <v>27.3</v>
      </c>
      <c r="E652" s="3">
        <v>40</v>
      </c>
      <c r="F652" s="4">
        <v>4.9717769000000001</v>
      </c>
      <c r="G652" s="4">
        <v>-73.946543669999997</v>
      </c>
      <c r="H652" s="9">
        <f t="shared" si="30"/>
        <v>0.77200000000000002</v>
      </c>
      <c r="I652" s="4" t="str">
        <f t="shared" si="31"/>
        <v>Sin riesgo &lt;85%</v>
      </c>
      <c r="J652" s="1" t="s">
        <v>13</v>
      </c>
      <c r="K652" s="1" t="str">
        <f t="shared" si="32"/>
        <v>Sin riesgo</v>
      </c>
    </row>
    <row r="653" spans="1:11">
      <c r="A653" s="1" t="s">
        <v>231</v>
      </c>
      <c r="B653" s="6" t="s">
        <v>12</v>
      </c>
      <c r="C653" s="3">
        <v>12.33</v>
      </c>
      <c r="D653" s="3">
        <v>17.149999999999999</v>
      </c>
      <c r="E653" s="3">
        <v>31.5</v>
      </c>
      <c r="F653" s="4">
        <v>4.72974373</v>
      </c>
      <c r="G653" s="4">
        <v>-74.104417699999999</v>
      </c>
      <c r="H653" s="9">
        <f t="shared" si="30"/>
        <v>0.5444444444444444</v>
      </c>
      <c r="I653" s="4" t="str">
        <f t="shared" si="31"/>
        <v>Sin riesgo &lt;85%</v>
      </c>
      <c r="J653" s="1" t="s">
        <v>13</v>
      </c>
      <c r="K653" s="1" t="str">
        <f t="shared" si="32"/>
        <v>Sin riesgo</v>
      </c>
    </row>
    <row r="654" spans="1:11">
      <c r="A654" s="1" t="s">
        <v>231</v>
      </c>
      <c r="B654" s="6" t="s">
        <v>14</v>
      </c>
      <c r="C654" s="3">
        <v>12.52</v>
      </c>
      <c r="D654" s="3">
        <v>17.45</v>
      </c>
      <c r="E654" s="3">
        <v>31.5</v>
      </c>
      <c r="F654" s="4">
        <v>4.72974373</v>
      </c>
      <c r="G654" s="4">
        <v>-74.104417699999999</v>
      </c>
      <c r="H654" s="9">
        <f t="shared" si="30"/>
        <v>0.553968253968254</v>
      </c>
      <c r="I654" s="4" t="str">
        <f t="shared" si="31"/>
        <v>Sin riesgo &lt;85%</v>
      </c>
      <c r="J654" s="1" t="s">
        <v>13</v>
      </c>
      <c r="K654" s="1" t="str">
        <f t="shared" si="32"/>
        <v>Sin riesgo</v>
      </c>
    </row>
    <row r="655" spans="1:11">
      <c r="A655" s="1" t="s">
        <v>231</v>
      </c>
      <c r="B655" s="6" t="s">
        <v>15</v>
      </c>
      <c r="C655" s="3">
        <v>12.53</v>
      </c>
      <c r="D655" s="3">
        <v>17.5</v>
      </c>
      <c r="E655" s="3">
        <v>31.5</v>
      </c>
      <c r="F655" s="4">
        <v>4.72974373</v>
      </c>
      <c r="G655" s="4">
        <v>-74.104417699999999</v>
      </c>
      <c r="H655" s="9">
        <f t="shared" si="30"/>
        <v>0.55555555555555558</v>
      </c>
      <c r="I655" s="4" t="str">
        <f t="shared" si="31"/>
        <v>Sin riesgo &lt;85%</v>
      </c>
      <c r="J655" s="1" t="s">
        <v>13</v>
      </c>
      <c r="K655" s="1" t="str">
        <f t="shared" si="32"/>
        <v>Sin riesgo</v>
      </c>
    </row>
    <row r="656" spans="1:11">
      <c r="A656" s="1" t="s">
        <v>232</v>
      </c>
      <c r="B656" s="6" t="s">
        <v>12</v>
      </c>
      <c r="C656" s="3">
        <v>42.3</v>
      </c>
      <c r="D656" s="3">
        <v>37.06</v>
      </c>
      <c r="E656" s="3">
        <v>40</v>
      </c>
      <c r="F656" s="4">
        <v>4.7783740699999999</v>
      </c>
      <c r="G656" s="4">
        <v>-74.029358169999995</v>
      </c>
      <c r="H656" s="9">
        <f t="shared" si="30"/>
        <v>1.0574999999999999</v>
      </c>
      <c r="I656" s="4" t="str">
        <f t="shared" si="31"/>
        <v>Altamente critico &gt;100%</v>
      </c>
      <c r="J656" s="1" t="s">
        <v>13</v>
      </c>
      <c r="K656" s="1" t="str">
        <f t="shared" si="32"/>
        <v>Sin riesgo</v>
      </c>
    </row>
    <row r="657" spans="1:11">
      <c r="A657" s="1" t="s">
        <v>232</v>
      </c>
      <c r="B657" s="6" t="s">
        <v>14</v>
      </c>
      <c r="C657" s="3">
        <v>43.19</v>
      </c>
      <c r="D657" s="3">
        <v>37.880000000000003</v>
      </c>
      <c r="E657" s="3">
        <v>40</v>
      </c>
      <c r="F657" s="4">
        <v>4.7783740699999999</v>
      </c>
      <c r="G657" s="4">
        <v>-74.029358169999995</v>
      </c>
      <c r="H657" s="9">
        <f t="shared" si="30"/>
        <v>1.07975</v>
      </c>
      <c r="I657" s="4" t="str">
        <f t="shared" si="31"/>
        <v>Altamente critico &gt;100%</v>
      </c>
      <c r="J657" s="1" t="s">
        <v>13</v>
      </c>
      <c r="K657" s="1" t="str">
        <f t="shared" si="32"/>
        <v>Sin riesgo</v>
      </c>
    </row>
    <row r="658" spans="1:11">
      <c r="A658" s="1" t="s">
        <v>232</v>
      </c>
      <c r="B658" s="6" t="s">
        <v>15</v>
      </c>
      <c r="C658" s="3">
        <v>43.26</v>
      </c>
      <c r="D658" s="3">
        <v>37.96</v>
      </c>
      <c r="E658" s="3">
        <v>40</v>
      </c>
      <c r="F658" s="4">
        <v>4.7783740699999999</v>
      </c>
      <c r="G658" s="4">
        <v>-74.029358169999995</v>
      </c>
      <c r="H658" s="9">
        <f t="shared" si="30"/>
        <v>1.0814999999999999</v>
      </c>
      <c r="I658" s="4" t="str">
        <f t="shared" si="31"/>
        <v>Altamente critico &gt;100%</v>
      </c>
      <c r="J658" s="1" t="s">
        <v>13</v>
      </c>
      <c r="K658" s="1" t="str">
        <f t="shared" si="32"/>
        <v>Sin riesgo</v>
      </c>
    </row>
    <row r="659" spans="1:11">
      <c r="A659" s="1" t="s">
        <v>233</v>
      </c>
      <c r="B659" s="6" t="s">
        <v>12</v>
      </c>
      <c r="C659" s="3">
        <v>27.27</v>
      </c>
      <c r="D659" s="3">
        <v>28.73</v>
      </c>
      <c r="E659" s="3">
        <v>26.2</v>
      </c>
      <c r="F659" s="4">
        <v>4.7783740699999999</v>
      </c>
      <c r="G659" s="4">
        <v>-74.029358169999995</v>
      </c>
      <c r="H659" s="9">
        <f t="shared" si="30"/>
        <v>1.0965648854961834</v>
      </c>
      <c r="I659" s="4" t="str">
        <f t="shared" si="31"/>
        <v>Altamente critico &gt;100%</v>
      </c>
      <c r="J659" s="1" t="s">
        <v>13</v>
      </c>
      <c r="K659" s="1" t="str">
        <f t="shared" si="32"/>
        <v>Sin riesgo</v>
      </c>
    </row>
    <row r="660" spans="1:11">
      <c r="A660" s="1" t="s">
        <v>233</v>
      </c>
      <c r="B660" s="6" t="s">
        <v>14</v>
      </c>
      <c r="C660" s="3">
        <v>27.73</v>
      </c>
      <c r="D660" s="3">
        <v>29.23</v>
      </c>
      <c r="E660" s="3">
        <v>26.2</v>
      </c>
      <c r="F660" s="4">
        <v>4.7783740699999999</v>
      </c>
      <c r="G660" s="4">
        <v>-74.029358169999995</v>
      </c>
      <c r="H660" s="9">
        <f t="shared" si="30"/>
        <v>1.1156488549618322</v>
      </c>
      <c r="I660" s="4" t="str">
        <f t="shared" si="31"/>
        <v>Altamente critico &gt;100%</v>
      </c>
      <c r="J660" s="1" t="s">
        <v>13</v>
      </c>
      <c r="K660" s="1" t="str">
        <f t="shared" si="32"/>
        <v>Sin riesgo</v>
      </c>
    </row>
    <row r="661" spans="1:11">
      <c r="A661" s="1" t="s">
        <v>233</v>
      </c>
      <c r="B661" s="6" t="s">
        <v>15</v>
      </c>
      <c r="C661" s="3">
        <v>27.77</v>
      </c>
      <c r="D661" s="3">
        <v>29.29</v>
      </c>
      <c r="E661" s="3">
        <v>26.2</v>
      </c>
      <c r="F661" s="4">
        <v>4.7783740699999999</v>
      </c>
      <c r="G661" s="4">
        <v>-74.029358169999995</v>
      </c>
      <c r="H661" s="9">
        <f t="shared" si="30"/>
        <v>1.1179389312977099</v>
      </c>
      <c r="I661" s="4" t="str">
        <f t="shared" si="31"/>
        <v>Altamente critico &gt;100%</v>
      </c>
      <c r="J661" s="1" t="s">
        <v>13</v>
      </c>
      <c r="K661" s="1" t="str">
        <f t="shared" si="32"/>
        <v>Sin riesgo</v>
      </c>
    </row>
    <row r="662" spans="1:11">
      <c r="A662" s="1" t="s">
        <v>234</v>
      </c>
      <c r="B662" s="6" t="s">
        <v>12</v>
      </c>
      <c r="C662" s="3">
        <v>11.84</v>
      </c>
      <c r="D662" s="3">
        <v>14.68</v>
      </c>
      <c r="E662" s="3">
        <v>40</v>
      </c>
      <c r="F662" s="11"/>
      <c r="G662" s="11"/>
      <c r="H662" s="9">
        <f t="shared" si="30"/>
        <v>0.36699999999999999</v>
      </c>
      <c r="I662" s="4" t="str">
        <f t="shared" si="31"/>
        <v>Sin riesgo &lt;85%</v>
      </c>
      <c r="J662" s="1" t="s">
        <v>13</v>
      </c>
      <c r="K662" s="1" t="str">
        <f t="shared" si="32"/>
        <v>Sin riesgo</v>
      </c>
    </row>
    <row r="663" spans="1:11">
      <c r="A663" s="1" t="s">
        <v>234</v>
      </c>
      <c r="B663" s="6" t="s">
        <v>14</v>
      </c>
      <c r="C663" s="3">
        <v>11.98</v>
      </c>
      <c r="D663" s="3">
        <v>14.86</v>
      </c>
      <c r="E663" s="3">
        <v>40</v>
      </c>
      <c r="F663" s="11"/>
      <c r="G663" s="11"/>
      <c r="H663" s="9">
        <f t="shared" si="30"/>
        <v>0.3715</v>
      </c>
      <c r="I663" s="4" t="str">
        <f t="shared" si="31"/>
        <v>Sin riesgo &lt;85%</v>
      </c>
      <c r="J663" s="1" t="s">
        <v>13</v>
      </c>
      <c r="K663" s="1" t="str">
        <f t="shared" si="32"/>
        <v>Sin riesgo</v>
      </c>
    </row>
    <row r="664" spans="1:11">
      <c r="A664" s="1" t="s">
        <v>234</v>
      </c>
      <c r="B664" s="6" t="s">
        <v>15</v>
      </c>
      <c r="C664" s="3">
        <v>12.54</v>
      </c>
      <c r="D664" s="3">
        <v>16.149999999999999</v>
      </c>
      <c r="E664" s="3">
        <v>40</v>
      </c>
      <c r="F664" s="11"/>
      <c r="G664" s="11"/>
      <c r="H664" s="9">
        <f t="shared" si="30"/>
        <v>0.40374999999999994</v>
      </c>
      <c r="I664" s="4" t="str">
        <f t="shared" si="31"/>
        <v>Sin riesgo &lt;85%</v>
      </c>
      <c r="J664" s="1" t="s">
        <v>13</v>
      </c>
      <c r="K664" s="1" t="str">
        <f t="shared" si="32"/>
        <v>Sin riesgo</v>
      </c>
    </row>
    <row r="665" spans="1:11">
      <c r="A665" s="1" t="s">
        <v>235</v>
      </c>
      <c r="B665" s="6" t="s">
        <v>12</v>
      </c>
      <c r="C665" s="3">
        <v>37.590000000000003</v>
      </c>
      <c r="D665" s="3">
        <v>35.81</v>
      </c>
      <c r="E665" s="3">
        <v>40</v>
      </c>
      <c r="F665" s="4">
        <v>4.5735955099999996</v>
      </c>
      <c r="G665" s="4">
        <v>-74.140793479999999</v>
      </c>
      <c r="H665" s="9">
        <f t="shared" si="30"/>
        <v>0.93975000000000009</v>
      </c>
      <c r="I665" s="4" t="str">
        <f t="shared" si="31"/>
        <v>En riesgo &gt;85%</v>
      </c>
      <c r="J665" s="1" t="s">
        <v>13</v>
      </c>
      <c r="K665" s="1" t="str">
        <f t="shared" si="32"/>
        <v>Sin riesgo</v>
      </c>
    </row>
    <row r="666" spans="1:11">
      <c r="A666" s="1" t="s">
        <v>235</v>
      </c>
      <c r="B666" s="6" t="s">
        <v>14</v>
      </c>
      <c r="C666" s="3">
        <v>39.42</v>
      </c>
      <c r="D666" s="3">
        <v>37.700000000000003</v>
      </c>
      <c r="E666" s="3">
        <v>40</v>
      </c>
      <c r="F666" s="4">
        <v>4.5735955099999996</v>
      </c>
      <c r="G666" s="4">
        <v>-74.140793479999999</v>
      </c>
      <c r="H666" s="9">
        <f t="shared" si="30"/>
        <v>0.98550000000000004</v>
      </c>
      <c r="I666" s="4" t="str">
        <f t="shared" si="31"/>
        <v>Critico &gt;95%</v>
      </c>
      <c r="J666" s="1" t="s">
        <v>13</v>
      </c>
      <c r="K666" s="1" t="str">
        <f t="shared" si="32"/>
        <v>Sin riesgo</v>
      </c>
    </row>
    <row r="667" spans="1:11">
      <c r="A667" s="1" t="s">
        <v>235</v>
      </c>
      <c r="B667" s="6" t="s">
        <v>15</v>
      </c>
      <c r="C667" s="3">
        <v>39.479999999999997</v>
      </c>
      <c r="D667" s="3">
        <v>37.78</v>
      </c>
      <c r="E667" s="3">
        <v>40</v>
      </c>
      <c r="F667" s="4">
        <v>4.5735955099999996</v>
      </c>
      <c r="G667" s="4">
        <v>-74.140793479999999</v>
      </c>
      <c r="H667" s="9">
        <f t="shared" si="30"/>
        <v>0.98699999999999988</v>
      </c>
      <c r="I667" s="4" t="str">
        <f t="shared" si="31"/>
        <v>Critico &gt;95%</v>
      </c>
      <c r="J667" s="1" t="s">
        <v>13</v>
      </c>
      <c r="K667" s="1" t="str">
        <f t="shared" si="32"/>
        <v>Sin riesgo</v>
      </c>
    </row>
    <row r="668" spans="1:11">
      <c r="A668" s="1" t="s">
        <v>236</v>
      </c>
      <c r="B668" s="6" t="s">
        <v>12</v>
      </c>
      <c r="C668" s="3">
        <v>19.309999999999999</v>
      </c>
      <c r="D668" s="3">
        <v>18.48</v>
      </c>
      <c r="E668" s="3">
        <v>40</v>
      </c>
      <c r="F668" s="4">
        <v>4.5735955099999996</v>
      </c>
      <c r="G668" s="4">
        <v>-74.140793479999999</v>
      </c>
      <c r="H668" s="9">
        <f t="shared" si="30"/>
        <v>0.48274999999999996</v>
      </c>
      <c r="I668" s="4" t="str">
        <f t="shared" si="31"/>
        <v>Sin riesgo &lt;85%</v>
      </c>
      <c r="J668" s="1" t="s">
        <v>13</v>
      </c>
      <c r="K668" s="1" t="str">
        <f t="shared" si="32"/>
        <v>Sin riesgo</v>
      </c>
    </row>
    <row r="669" spans="1:11">
      <c r="A669" s="1" t="s">
        <v>236</v>
      </c>
      <c r="B669" s="6" t="s">
        <v>14</v>
      </c>
      <c r="C669" s="3">
        <v>19.920000000000002</v>
      </c>
      <c r="D669" s="3">
        <v>19.100000000000001</v>
      </c>
      <c r="E669" s="3">
        <v>40</v>
      </c>
      <c r="F669" s="4">
        <v>4.5735955099999996</v>
      </c>
      <c r="G669" s="4">
        <v>-74.140793479999999</v>
      </c>
      <c r="H669" s="9">
        <f t="shared" si="30"/>
        <v>0.49800000000000005</v>
      </c>
      <c r="I669" s="4" t="str">
        <f t="shared" si="31"/>
        <v>Sin riesgo &lt;85%</v>
      </c>
      <c r="J669" s="1" t="s">
        <v>13</v>
      </c>
      <c r="K669" s="1" t="str">
        <f t="shared" si="32"/>
        <v>Sin riesgo</v>
      </c>
    </row>
    <row r="670" spans="1:11">
      <c r="A670" s="1" t="s">
        <v>236</v>
      </c>
      <c r="B670" s="6" t="s">
        <v>15</v>
      </c>
      <c r="C670" s="3">
        <v>19.93</v>
      </c>
      <c r="D670" s="3">
        <v>19.12</v>
      </c>
      <c r="E670" s="3">
        <v>40</v>
      </c>
      <c r="F670" s="4">
        <v>4.5735955099999996</v>
      </c>
      <c r="G670" s="4">
        <v>-74.140793479999999</v>
      </c>
      <c r="H670" s="9">
        <f t="shared" si="30"/>
        <v>0.49824999999999997</v>
      </c>
      <c r="I670" s="4" t="str">
        <f t="shared" si="31"/>
        <v>Sin riesgo &lt;85%</v>
      </c>
      <c r="J670" s="1" t="s">
        <v>13</v>
      </c>
      <c r="K670" s="1" t="str">
        <f t="shared" si="32"/>
        <v>Sin riesgo</v>
      </c>
    </row>
    <row r="671" spans="1:11">
      <c r="A671" s="1" t="s">
        <v>237</v>
      </c>
      <c r="B671" s="6" t="s">
        <v>12</v>
      </c>
      <c r="C671" s="3">
        <v>5.84</v>
      </c>
      <c r="D671" s="3">
        <v>6.78</v>
      </c>
      <c r="E671" s="3">
        <v>10</v>
      </c>
      <c r="F671" s="4">
        <v>4.9955720000000001</v>
      </c>
      <c r="G671" s="4">
        <v>-73.352171999999996</v>
      </c>
      <c r="H671" s="9">
        <f t="shared" si="30"/>
        <v>0.67800000000000005</v>
      </c>
      <c r="I671" s="4" t="str">
        <f t="shared" si="31"/>
        <v>Sin riesgo &lt;85%</v>
      </c>
      <c r="J671" s="1" t="s">
        <v>13</v>
      </c>
      <c r="K671" s="1" t="str">
        <f t="shared" si="32"/>
        <v>Sin riesgo</v>
      </c>
    </row>
    <row r="672" spans="1:11">
      <c r="A672" s="1" t="s">
        <v>237</v>
      </c>
      <c r="B672" s="6" t="s">
        <v>14</v>
      </c>
      <c r="C672" s="3">
        <v>6.1</v>
      </c>
      <c r="D672" s="3">
        <v>7.09</v>
      </c>
      <c r="E672" s="3">
        <v>10</v>
      </c>
      <c r="F672" s="4">
        <v>4.9955720000000001</v>
      </c>
      <c r="G672" s="4">
        <v>-73.352171999999996</v>
      </c>
      <c r="H672" s="9">
        <f t="shared" si="30"/>
        <v>0.70899999999999996</v>
      </c>
      <c r="I672" s="4" t="str">
        <f t="shared" si="31"/>
        <v>Sin riesgo &lt;85%</v>
      </c>
      <c r="J672" s="1" t="s">
        <v>13</v>
      </c>
      <c r="K672" s="1" t="str">
        <f t="shared" si="32"/>
        <v>Sin riesgo</v>
      </c>
    </row>
    <row r="673" spans="1:11">
      <c r="A673" s="1" t="s">
        <v>237</v>
      </c>
      <c r="B673" s="6" t="s">
        <v>15</v>
      </c>
      <c r="C673" s="3">
        <v>6.09</v>
      </c>
      <c r="D673" s="3">
        <v>7.08</v>
      </c>
      <c r="E673" s="3">
        <v>10</v>
      </c>
      <c r="F673" s="4">
        <v>4.9955720000000001</v>
      </c>
      <c r="G673" s="4">
        <v>-73.352171999999996</v>
      </c>
      <c r="H673" s="9">
        <f t="shared" si="30"/>
        <v>0.70799999999999996</v>
      </c>
      <c r="I673" s="4" t="str">
        <f t="shared" si="31"/>
        <v>Sin riesgo &lt;85%</v>
      </c>
      <c r="J673" s="1" t="s">
        <v>13</v>
      </c>
      <c r="K673" s="1" t="str">
        <f t="shared" si="32"/>
        <v>Sin riesgo</v>
      </c>
    </row>
    <row r="674" spans="1:11">
      <c r="A674" s="1" t="s">
        <v>238</v>
      </c>
      <c r="B674" s="6" t="s">
        <v>12</v>
      </c>
      <c r="C674" s="3">
        <v>2.73</v>
      </c>
      <c r="D674" s="3">
        <v>3.02</v>
      </c>
      <c r="E674" s="3">
        <v>25</v>
      </c>
      <c r="F674" s="4">
        <v>4.7339589499999999</v>
      </c>
      <c r="G674" s="4">
        <v>-73.489746980000007</v>
      </c>
      <c r="H674" s="9">
        <f t="shared" si="30"/>
        <v>0.1208</v>
      </c>
      <c r="I674" s="4" t="str">
        <f t="shared" si="31"/>
        <v>Sin riesgo &lt;85%</v>
      </c>
      <c r="J674" s="1" t="s">
        <v>13</v>
      </c>
      <c r="K674" s="1" t="str">
        <f t="shared" si="32"/>
        <v>Sin riesgo</v>
      </c>
    </row>
    <row r="675" spans="1:11">
      <c r="A675" s="1" t="s">
        <v>238</v>
      </c>
      <c r="B675" s="6" t="s">
        <v>14</v>
      </c>
      <c r="C675" s="3">
        <v>2.81</v>
      </c>
      <c r="D675" s="3">
        <v>3.11</v>
      </c>
      <c r="E675" s="3">
        <v>25</v>
      </c>
      <c r="F675" s="4">
        <v>4.7339589499999999</v>
      </c>
      <c r="G675" s="4">
        <v>-73.489746980000007</v>
      </c>
      <c r="H675" s="9">
        <f t="shared" si="30"/>
        <v>0.1244</v>
      </c>
      <c r="I675" s="4" t="str">
        <f t="shared" si="31"/>
        <v>Sin riesgo &lt;85%</v>
      </c>
      <c r="J675" s="1" t="s">
        <v>13</v>
      </c>
      <c r="K675" s="1" t="str">
        <f t="shared" si="32"/>
        <v>Sin riesgo</v>
      </c>
    </row>
    <row r="676" spans="1:11">
      <c r="A676" s="1" t="s">
        <v>238</v>
      </c>
      <c r="B676" s="6" t="s">
        <v>15</v>
      </c>
      <c r="C676" s="3">
        <v>2.81</v>
      </c>
      <c r="D676" s="3">
        <v>3.11</v>
      </c>
      <c r="E676" s="3">
        <v>25</v>
      </c>
      <c r="F676" s="4">
        <v>4.7339589499999999</v>
      </c>
      <c r="G676" s="4">
        <v>-73.489746980000007</v>
      </c>
      <c r="H676" s="9">
        <f t="shared" si="30"/>
        <v>0.1244</v>
      </c>
      <c r="I676" s="4" t="str">
        <f t="shared" si="31"/>
        <v>Sin riesgo &lt;85%</v>
      </c>
      <c r="J676" s="1" t="s">
        <v>13</v>
      </c>
      <c r="K676" s="1" t="str">
        <f t="shared" si="32"/>
        <v>Sin riesgo</v>
      </c>
    </row>
    <row r="677" spans="1:11">
      <c r="A677" s="1" t="s">
        <v>239</v>
      </c>
      <c r="B677" s="6" t="s">
        <v>12</v>
      </c>
      <c r="C677" s="3">
        <v>8.7200000000000006</v>
      </c>
      <c r="D677" s="3">
        <v>6.65</v>
      </c>
      <c r="E677" s="3">
        <v>40</v>
      </c>
      <c r="F677" s="4">
        <v>5.28666182</v>
      </c>
      <c r="G677" s="4">
        <v>-73.820521510000006</v>
      </c>
      <c r="H677" s="9">
        <f t="shared" si="30"/>
        <v>0.21800000000000003</v>
      </c>
      <c r="I677" s="4" t="str">
        <f t="shared" si="31"/>
        <v>Sin riesgo &lt;85%</v>
      </c>
      <c r="J677" s="1" t="s">
        <v>13</v>
      </c>
      <c r="K677" s="1" t="str">
        <f t="shared" si="32"/>
        <v>Sin riesgo</v>
      </c>
    </row>
    <row r="678" spans="1:11">
      <c r="A678" s="1" t="s">
        <v>239</v>
      </c>
      <c r="B678" s="6" t="s">
        <v>14</v>
      </c>
      <c r="C678" s="3">
        <v>8.94</v>
      </c>
      <c r="D678" s="3">
        <v>6.84</v>
      </c>
      <c r="E678" s="3">
        <v>40</v>
      </c>
      <c r="F678" s="4">
        <v>5.28666182</v>
      </c>
      <c r="G678" s="4">
        <v>-73.820521510000006</v>
      </c>
      <c r="H678" s="9">
        <f t="shared" si="30"/>
        <v>0.22349999999999998</v>
      </c>
      <c r="I678" s="4" t="str">
        <f t="shared" si="31"/>
        <v>Sin riesgo &lt;85%</v>
      </c>
      <c r="J678" s="1" t="s">
        <v>13</v>
      </c>
      <c r="K678" s="1" t="str">
        <f t="shared" si="32"/>
        <v>Sin riesgo</v>
      </c>
    </row>
    <row r="679" spans="1:11">
      <c r="A679" s="1" t="s">
        <v>239</v>
      </c>
      <c r="B679" s="6" t="s">
        <v>15</v>
      </c>
      <c r="C679" s="3">
        <v>8.94</v>
      </c>
      <c r="D679" s="3">
        <v>6.84</v>
      </c>
      <c r="E679" s="3">
        <v>40</v>
      </c>
      <c r="F679" s="4">
        <v>5.28666182</v>
      </c>
      <c r="G679" s="4">
        <v>-73.820521510000006</v>
      </c>
      <c r="H679" s="9">
        <f t="shared" si="30"/>
        <v>0.22349999999999998</v>
      </c>
      <c r="I679" s="4" t="str">
        <f t="shared" si="31"/>
        <v>Sin riesgo &lt;85%</v>
      </c>
      <c r="J679" s="1" t="s">
        <v>13</v>
      </c>
      <c r="K679" s="1" t="str">
        <f t="shared" si="32"/>
        <v>Sin riesgo</v>
      </c>
    </row>
    <row r="680" spans="1:11">
      <c r="A680" s="1" t="s">
        <v>240</v>
      </c>
      <c r="B680" s="6" t="s">
        <v>12</v>
      </c>
      <c r="C680" s="3">
        <v>18.02</v>
      </c>
      <c r="D680" s="3">
        <v>23.37</v>
      </c>
      <c r="E680" s="3">
        <v>25</v>
      </c>
      <c r="F680" s="4">
        <v>4.6923485899999999</v>
      </c>
      <c r="G680" s="4">
        <v>-74.037244959999995</v>
      </c>
      <c r="H680" s="9">
        <f t="shared" si="30"/>
        <v>0.93480000000000008</v>
      </c>
      <c r="I680" s="4" t="str">
        <f t="shared" si="31"/>
        <v>En riesgo &gt;85%</v>
      </c>
      <c r="J680" s="1" t="s">
        <v>13</v>
      </c>
      <c r="K680" s="1" t="str">
        <f t="shared" si="32"/>
        <v>Sin riesgo</v>
      </c>
    </row>
    <row r="681" spans="1:11">
      <c r="A681" s="1" t="s">
        <v>240</v>
      </c>
      <c r="B681" s="6" t="s">
        <v>14</v>
      </c>
      <c r="C681" s="3">
        <v>18.420000000000002</v>
      </c>
      <c r="D681" s="3">
        <v>23.93</v>
      </c>
      <c r="E681" s="3">
        <v>25</v>
      </c>
      <c r="F681" s="4">
        <v>4.6923485899999999</v>
      </c>
      <c r="G681" s="4">
        <v>-74.037244959999995</v>
      </c>
      <c r="H681" s="9">
        <f t="shared" si="30"/>
        <v>0.95719999999999994</v>
      </c>
      <c r="I681" s="4" t="str">
        <f t="shared" si="31"/>
        <v>Critico &gt;95%</v>
      </c>
      <c r="J681" s="1" t="s">
        <v>13</v>
      </c>
      <c r="K681" s="1" t="str">
        <f t="shared" si="32"/>
        <v>Sin riesgo</v>
      </c>
    </row>
    <row r="682" spans="1:11">
      <c r="A682" s="1" t="s">
        <v>240</v>
      </c>
      <c r="B682" s="6" t="s">
        <v>15</v>
      </c>
      <c r="C682" s="3">
        <v>18.43</v>
      </c>
      <c r="D682" s="3">
        <v>23.96</v>
      </c>
      <c r="E682" s="3">
        <v>25</v>
      </c>
      <c r="F682" s="4">
        <v>4.6923485899999999</v>
      </c>
      <c r="G682" s="4">
        <v>-74.037244959999995</v>
      </c>
      <c r="H682" s="9">
        <f t="shared" si="30"/>
        <v>0.95840000000000003</v>
      </c>
      <c r="I682" s="4" t="str">
        <f t="shared" si="31"/>
        <v>Critico &gt;95%</v>
      </c>
      <c r="J682" s="1" t="s">
        <v>13</v>
      </c>
      <c r="K682" s="1" t="str">
        <f t="shared" si="32"/>
        <v>Sin riesgo</v>
      </c>
    </row>
    <row r="683" spans="1:11">
      <c r="A683" s="1" t="s">
        <v>241</v>
      </c>
      <c r="B683" s="6" t="s">
        <v>12</v>
      </c>
      <c r="C683" s="3">
        <v>9.77</v>
      </c>
      <c r="D683" s="3">
        <v>13.92</v>
      </c>
      <c r="E683" s="3">
        <v>31.5</v>
      </c>
      <c r="F683" s="4">
        <v>4.5264586099999997</v>
      </c>
      <c r="G683" s="4">
        <v>-74.121226719999996</v>
      </c>
      <c r="H683" s="9">
        <f t="shared" si="30"/>
        <v>0.44190476190476191</v>
      </c>
      <c r="I683" s="4" t="str">
        <f t="shared" si="31"/>
        <v>Sin riesgo &lt;85%</v>
      </c>
      <c r="J683" s="1" t="s">
        <v>13</v>
      </c>
      <c r="K683" s="1" t="str">
        <f t="shared" si="32"/>
        <v>Sin riesgo</v>
      </c>
    </row>
    <row r="684" spans="1:11">
      <c r="A684" s="1" t="s">
        <v>241</v>
      </c>
      <c r="B684" s="6" t="s">
        <v>14</v>
      </c>
      <c r="C684" s="3">
        <v>9.93</v>
      </c>
      <c r="D684" s="3">
        <v>14.17</v>
      </c>
      <c r="E684" s="3">
        <v>31.5</v>
      </c>
      <c r="F684" s="4">
        <v>4.5264586099999997</v>
      </c>
      <c r="G684" s="4">
        <v>-74.121226719999996</v>
      </c>
      <c r="H684" s="9">
        <f t="shared" si="30"/>
        <v>0.44984126984126982</v>
      </c>
      <c r="I684" s="4" t="str">
        <f t="shared" si="31"/>
        <v>Sin riesgo &lt;85%</v>
      </c>
      <c r="J684" s="1" t="s">
        <v>13</v>
      </c>
      <c r="K684" s="1" t="str">
        <f t="shared" si="32"/>
        <v>Sin riesgo</v>
      </c>
    </row>
    <row r="685" spans="1:11">
      <c r="A685" s="1" t="s">
        <v>241</v>
      </c>
      <c r="B685" s="6" t="s">
        <v>15</v>
      </c>
      <c r="C685" s="3">
        <v>9.94</v>
      </c>
      <c r="D685" s="3">
        <v>14.18</v>
      </c>
      <c r="E685" s="3">
        <v>31.5</v>
      </c>
      <c r="F685" s="4">
        <v>4.5264586099999997</v>
      </c>
      <c r="G685" s="4">
        <v>-74.121226719999996</v>
      </c>
      <c r="H685" s="9">
        <f t="shared" si="30"/>
        <v>0.45015873015873015</v>
      </c>
      <c r="I685" s="4" t="str">
        <f t="shared" si="31"/>
        <v>Sin riesgo &lt;85%</v>
      </c>
      <c r="J685" s="1" t="s">
        <v>13</v>
      </c>
      <c r="K685" s="1" t="str">
        <f t="shared" si="32"/>
        <v>Sin riesgo</v>
      </c>
    </row>
    <row r="686" spans="1:11">
      <c r="A686" s="1" t="s">
        <v>242</v>
      </c>
      <c r="B686" s="6" t="s">
        <v>12</v>
      </c>
      <c r="C686" s="3">
        <v>33.42</v>
      </c>
      <c r="D686" s="3">
        <v>37.17</v>
      </c>
      <c r="E686" s="3">
        <v>31.5</v>
      </c>
      <c r="F686" s="4">
        <v>4.6081610199999998</v>
      </c>
      <c r="G686" s="4">
        <v>-74.107847739999997</v>
      </c>
      <c r="H686" s="9">
        <f t="shared" si="30"/>
        <v>1.1800000000000002</v>
      </c>
      <c r="I686" s="4" t="str">
        <f t="shared" si="31"/>
        <v>Altamente critico &gt;100%</v>
      </c>
      <c r="J686" s="1" t="s">
        <v>13</v>
      </c>
      <c r="K686" s="1" t="str">
        <f t="shared" si="32"/>
        <v>Sin riesgo</v>
      </c>
    </row>
    <row r="687" spans="1:11">
      <c r="A687" s="1" t="s">
        <v>242</v>
      </c>
      <c r="B687" s="6" t="s">
        <v>14</v>
      </c>
      <c r="C687" s="3">
        <v>38.1</v>
      </c>
      <c r="D687" s="3">
        <v>41.48</v>
      </c>
      <c r="E687" s="3">
        <v>31.5</v>
      </c>
      <c r="F687" s="4">
        <v>4.6081610199999998</v>
      </c>
      <c r="G687" s="4">
        <v>-74.107847739999997</v>
      </c>
      <c r="H687" s="9">
        <f t="shared" si="30"/>
        <v>1.3168253968253967</v>
      </c>
      <c r="I687" s="4" t="str">
        <f t="shared" si="31"/>
        <v>Altamente critico &gt;100%</v>
      </c>
      <c r="J687" s="1" t="s">
        <v>13</v>
      </c>
      <c r="K687" s="1" t="str">
        <f t="shared" si="32"/>
        <v>Sin riesgo</v>
      </c>
    </row>
    <row r="688" spans="1:11">
      <c r="A688" s="1" t="s">
        <v>242</v>
      </c>
      <c r="B688" s="6" t="s">
        <v>15</v>
      </c>
      <c r="C688" s="3">
        <v>38.17</v>
      </c>
      <c r="D688" s="3">
        <v>41.61</v>
      </c>
      <c r="E688" s="3">
        <v>31.5</v>
      </c>
      <c r="F688" s="4">
        <v>4.6081610199999998</v>
      </c>
      <c r="G688" s="4">
        <v>-74.107847739999997</v>
      </c>
      <c r="H688" s="9">
        <f t="shared" si="30"/>
        <v>1.3209523809523809</v>
      </c>
      <c r="I688" s="4" t="str">
        <f t="shared" si="31"/>
        <v>Altamente critico &gt;100%</v>
      </c>
      <c r="J688" s="1" t="s">
        <v>13</v>
      </c>
      <c r="K688" s="1" t="str">
        <f t="shared" si="32"/>
        <v>Sin riesgo</v>
      </c>
    </row>
    <row r="689" spans="1:11">
      <c r="A689" s="1" t="s">
        <v>243</v>
      </c>
      <c r="B689" s="6" t="s">
        <v>12</v>
      </c>
      <c r="C689" s="3">
        <v>22.25</v>
      </c>
      <c r="D689" s="3">
        <v>14.85</v>
      </c>
      <c r="E689" s="3">
        <v>15</v>
      </c>
      <c r="F689" s="4">
        <v>4.6081610199999998</v>
      </c>
      <c r="G689" s="4">
        <v>-74.107847739999997</v>
      </c>
      <c r="H689" s="9">
        <f t="shared" si="30"/>
        <v>1.4833333333333334</v>
      </c>
      <c r="I689" s="4" t="str">
        <f t="shared" si="31"/>
        <v>Altamente critico &gt;100%</v>
      </c>
      <c r="J689" s="1" t="s">
        <v>13</v>
      </c>
      <c r="K689" s="1" t="str">
        <f t="shared" si="32"/>
        <v>Sin riesgo</v>
      </c>
    </row>
    <row r="690" spans="1:11">
      <c r="A690" s="1" t="s">
        <v>243</v>
      </c>
      <c r="B690" s="6" t="s">
        <v>14</v>
      </c>
      <c r="C690" s="3">
        <v>16.41</v>
      </c>
      <c r="D690" s="3">
        <v>10.9</v>
      </c>
      <c r="E690" s="3">
        <v>15</v>
      </c>
      <c r="F690" s="4">
        <v>4.6081610199999998</v>
      </c>
      <c r="G690" s="4">
        <v>-74.107847739999997</v>
      </c>
      <c r="H690" s="9">
        <f t="shared" si="30"/>
        <v>1.0940000000000001</v>
      </c>
      <c r="I690" s="4" t="str">
        <f t="shared" si="31"/>
        <v>Altamente critico &gt;100%</v>
      </c>
      <c r="J690" s="1" t="s">
        <v>13</v>
      </c>
      <c r="K690" s="1" t="str">
        <f t="shared" si="32"/>
        <v>Sin riesgo</v>
      </c>
    </row>
    <row r="691" spans="1:11">
      <c r="A691" s="1" t="s">
        <v>243</v>
      </c>
      <c r="B691" s="6" t="s">
        <v>15</v>
      </c>
      <c r="C691" s="3">
        <v>16.41</v>
      </c>
      <c r="D691" s="3">
        <v>10.9</v>
      </c>
      <c r="E691" s="3">
        <v>15</v>
      </c>
      <c r="F691" s="4">
        <v>4.6081610199999998</v>
      </c>
      <c r="G691" s="4">
        <v>-74.107847739999997</v>
      </c>
      <c r="H691" s="9">
        <f t="shared" si="30"/>
        <v>1.0940000000000001</v>
      </c>
      <c r="I691" s="4" t="str">
        <f t="shared" si="31"/>
        <v>Altamente critico &gt;100%</v>
      </c>
      <c r="J691" s="1" t="s">
        <v>13</v>
      </c>
      <c r="K691" s="1" t="str">
        <f t="shared" si="32"/>
        <v>Sin riesgo</v>
      </c>
    </row>
    <row r="692" spans="1:11">
      <c r="A692" s="1" t="s">
        <v>244</v>
      </c>
      <c r="B692" s="6" t="s">
        <v>12</v>
      </c>
      <c r="C692" s="3">
        <v>23.33</v>
      </c>
      <c r="D692" s="3">
        <v>27.69</v>
      </c>
      <c r="E692" s="3">
        <v>31.5</v>
      </c>
      <c r="F692" s="4">
        <v>4.5457560099999998</v>
      </c>
      <c r="G692" s="4">
        <v>-74.099897040000002</v>
      </c>
      <c r="H692" s="9">
        <f t="shared" si="30"/>
        <v>0.87904761904761908</v>
      </c>
      <c r="I692" s="4" t="str">
        <f t="shared" si="31"/>
        <v>En riesgo &gt;85%</v>
      </c>
      <c r="J692" s="1" t="s">
        <v>13</v>
      </c>
      <c r="K692" s="1" t="str">
        <f t="shared" si="32"/>
        <v>Sin riesgo</v>
      </c>
    </row>
    <row r="693" spans="1:11">
      <c r="A693" s="1" t="s">
        <v>244</v>
      </c>
      <c r="B693" s="6" t="s">
        <v>14</v>
      </c>
      <c r="C693" s="3">
        <v>23.92</v>
      </c>
      <c r="D693" s="3">
        <v>28.46</v>
      </c>
      <c r="E693" s="3">
        <v>31.5</v>
      </c>
      <c r="F693" s="4">
        <v>4.5457560099999998</v>
      </c>
      <c r="G693" s="4">
        <v>-74.099897040000002</v>
      </c>
      <c r="H693" s="9">
        <f t="shared" si="30"/>
        <v>0.90349206349206357</v>
      </c>
      <c r="I693" s="4" t="str">
        <f t="shared" si="31"/>
        <v>En riesgo &gt;85%</v>
      </c>
      <c r="J693" s="1" t="s">
        <v>13</v>
      </c>
      <c r="K693" s="1" t="str">
        <f t="shared" si="32"/>
        <v>Sin riesgo</v>
      </c>
    </row>
    <row r="694" spans="1:11">
      <c r="A694" s="1" t="s">
        <v>244</v>
      </c>
      <c r="B694" s="6" t="s">
        <v>15</v>
      </c>
      <c r="C694" s="3">
        <v>23.94</v>
      </c>
      <c r="D694" s="3">
        <v>28.5</v>
      </c>
      <c r="E694" s="3">
        <v>31.5</v>
      </c>
      <c r="F694" s="4">
        <v>4.5457560099999998</v>
      </c>
      <c r="G694" s="4">
        <v>-74.099897040000002</v>
      </c>
      <c r="H694" s="9">
        <f t="shared" si="30"/>
        <v>0.90476190476190477</v>
      </c>
      <c r="I694" s="4" t="str">
        <f t="shared" si="31"/>
        <v>En riesgo &gt;85%</v>
      </c>
      <c r="J694" s="1" t="s">
        <v>13</v>
      </c>
      <c r="K694" s="1" t="str">
        <f t="shared" si="32"/>
        <v>Sin riesgo</v>
      </c>
    </row>
    <row r="695" spans="1:11">
      <c r="A695" s="1" t="s">
        <v>245</v>
      </c>
      <c r="B695" s="6" t="s">
        <v>12</v>
      </c>
      <c r="C695" s="3">
        <v>4.3499999999999996</v>
      </c>
      <c r="D695" s="3">
        <v>3.72</v>
      </c>
      <c r="E695" s="3">
        <v>40</v>
      </c>
      <c r="F695" s="4">
        <v>5.01563801</v>
      </c>
      <c r="G695" s="4">
        <v>-74.468556070000005</v>
      </c>
      <c r="H695" s="9">
        <f t="shared" si="30"/>
        <v>0.10874999999999999</v>
      </c>
      <c r="I695" s="4" t="str">
        <f t="shared" si="31"/>
        <v>Sin riesgo &lt;85%</v>
      </c>
      <c r="J695" s="1" t="s">
        <v>13</v>
      </c>
      <c r="K695" s="1" t="str">
        <f t="shared" si="32"/>
        <v>Sin riesgo</v>
      </c>
    </row>
    <row r="696" spans="1:11">
      <c r="A696" s="1" t="s">
        <v>245</v>
      </c>
      <c r="B696" s="6" t="s">
        <v>14</v>
      </c>
      <c r="C696" s="3">
        <v>4.3899999999999997</v>
      </c>
      <c r="D696" s="3">
        <v>3.75</v>
      </c>
      <c r="E696" s="3">
        <v>40</v>
      </c>
      <c r="F696" s="4">
        <v>5.01563801</v>
      </c>
      <c r="G696" s="4">
        <v>-74.468556070000005</v>
      </c>
      <c r="H696" s="9">
        <f t="shared" si="30"/>
        <v>0.10974999999999999</v>
      </c>
      <c r="I696" s="4" t="str">
        <f t="shared" si="31"/>
        <v>Sin riesgo &lt;85%</v>
      </c>
      <c r="J696" s="1" t="s">
        <v>13</v>
      </c>
      <c r="K696" s="1" t="str">
        <f t="shared" si="32"/>
        <v>Sin riesgo</v>
      </c>
    </row>
    <row r="697" spans="1:11">
      <c r="A697" s="1" t="s">
        <v>245</v>
      </c>
      <c r="B697" s="6" t="s">
        <v>15</v>
      </c>
      <c r="C697" s="3">
        <v>6.27</v>
      </c>
      <c r="D697" s="3">
        <v>5.8</v>
      </c>
      <c r="E697" s="3">
        <v>40</v>
      </c>
      <c r="F697" s="4">
        <v>5.01563801</v>
      </c>
      <c r="G697" s="4">
        <v>-74.468556070000005</v>
      </c>
      <c r="H697" s="9">
        <f t="shared" si="30"/>
        <v>0.15675</v>
      </c>
      <c r="I697" s="4" t="str">
        <f t="shared" si="31"/>
        <v>Sin riesgo &lt;85%</v>
      </c>
      <c r="J697" s="1" t="s">
        <v>13</v>
      </c>
      <c r="K697" s="1" t="str">
        <f t="shared" si="32"/>
        <v>Sin riesgo</v>
      </c>
    </row>
    <row r="698" spans="1:11">
      <c r="A698" s="1" t="s">
        <v>246</v>
      </c>
      <c r="B698" s="6" t="s">
        <v>12</v>
      </c>
      <c r="C698" s="3">
        <v>10.26</v>
      </c>
      <c r="D698" s="3">
        <v>13.8</v>
      </c>
      <c r="E698" s="3">
        <v>40</v>
      </c>
      <c r="F698" s="4">
        <v>5.0122642400000004</v>
      </c>
      <c r="G698" s="4">
        <v>-74.004565650000004</v>
      </c>
      <c r="H698" s="9">
        <f t="shared" si="30"/>
        <v>0.34500000000000003</v>
      </c>
      <c r="I698" s="4" t="str">
        <f t="shared" si="31"/>
        <v>Sin riesgo &lt;85%</v>
      </c>
      <c r="J698" s="1" t="s">
        <v>13</v>
      </c>
      <c r="K698" s="1" t="str">
        <f t="shared" si="32"/>
        <v>Sin riesgo</v>
      </c>
    </row>
    <row r="699" spans="1:11">
      <c r="A699" s="1" t="s">
        <v>246</v>
      </c>
      <c r="B699" s="6" t="s">
        <v>14</v>
      </c>
      <c r="C699" s="3">
        <v>14.83</v>
      </c>
      <c r="D699" s="3">
        <v>15.27</v>
      </c>
      <c r="E699" s="3">
        <v>40</v>
      </c>
      <c r="F699" s="4">
        <v>5.0122642400000004</v>
      </c>
      <c r="G699" s="4">
        <v>-74.004565650000004</v>
      </c>
      <c r="H699" s="9">
        <f t="shared" si="30"/>
        <v>0.38174999999999998</v>
      </c>
      <c r="I699" s="4" t="str">
        <f t="shared" si="31"/>
        <v>Sin riesgo &lt;85%</v>
      </c>
      <c r="J699" s="1" t="s">
        <v>13</v>
      </c>
      <c r="K699" s="1" t="str">
        <f t="shared" si="32"/>
        <v>Sin riesgo</v>
      </c>
    </row>
    <row r="700" spans="1:11">
      <c r="A700" s="1" t="s">
        <v>246</v>
      </c>
      <c r="B700" s="6" t="s">
        <v>15</v>
      </c>
      <c r="C700" s="3">
        <v>14.83</v>
      </c>
      <c r="D700" s="3">
        <v>15.27</v>
      </c>
      <c r="E700" s="3">
        <v>40</v>
      </c>
      <c r="F700" s="4">
        <v>5.0122642400000004</v>
      </c>
      <c r="G700" s="4">
        <v>-74.004565650000004</v>
      </c>
      <c r="H700" s="9">
        <f t="shared" si="30"/>
        <v>0.38174999999999998</v>
      </c>
      <c r="I700" s="4" t="str">
        <f t="shared" si="31"/>
        <v>Sin riesgo &lt;85%</v>
      </c>
      <c r="J700" s="1" t="s">
        <v>13</v>
      </c>
      <c r="K700" s="1" t="str">
        <f t="shared" si="32"/>
        <v>Sin riesgo</v>
      </c>
    </row>
    <row r="701" spans="1:11">
      <c r="A701" s="1" t="s">
        <v>247</v>
      </c>
      <c r="B701" s="6" t="s">
        <v>12</v>
      </c>
      <c r="C701" s="3">
        <v>13.71</v>
      </c>
      <c r="D701" s="3">
        <v>11.52</v>
      </c>
      <c r="E701" s="3">
        <v>25</v>
      </c>
      <c r="F701" s="4">
        <v>10.333090570151599</v>
      </c>
      <c r="G701" s="4">
        <v>-75.505399479761294</v>
      </c>
      <c r="H701" s="9">
        <f t="shared" si="30"/>
        <v>0.5484</v>
      </c>
      <c r="I701" s="4" t="str">
        <f t="shared" si="31"/>
        <v>Sin riesgo &lt;85%</v>
      </c>
      <c r="J701" s="1" t="s">
        <v>13</v>
      </c>
      <c r="K701" s="1" t="str">
        <f t="shared" si="32"/>
        <v>Sin riesgo</v>
      </c>
    </row>
    <row r="702" spans="1:11">
      <c r="A702" s="1" t="s">
        <v>247</v>
      </c>
      <c r="B702" s="6" t="s">
        <v>14</v>
      </c>
      <c r="C702" s="3">
        <v>19.55</v>
      </c>
      <c r="D702" s="3">
        <v>17.670000000000002</v>
      </c>
      <c r="E702" s="3">
        <v>25</v>
      </c>
      <c r="F702" s="4">
        <v>10.333090570151599</v>
      </c>
      <c r="G702" s="4">
        <v>-75.505399479761294</v>
      </c>
      <c r="H702" s="9">
        <f t="shared" si="30"/>
        <v>0.78200000000000003</v>
      </c>
      <c r="I702" s="4" t="str">
        <f t="shared" si="31"/>
        <v>Sin riesgo &lt;85%</v>
      </c>
      <c r="J702" s="1" t="s">
        <v>13</v>
      </c>
      <c r="K702" s="1" t="str">
        <f t="shared" si="32"/>
        <v>Sin riesgo</v>
      </c>
    </row>
    <row r="703" spans="1:11">
      <c r="A703" s="1" t="s">
        <v>247</v>
      </c>
      <c r="B703" s="6" t="s">
        <v>15</v>
      </c>
      <c r="C703" s="3">
        <v>19.55</v>
      </c>
      <c r="D703" s="3">
        <v>17.670000000000002</v>
      </c>
      <c r="E703" s="3">
        <v>25</v>
      </c>
      <c r="F703" s="4">
        <v>10.333090570151599</v>
      </c>
      <c r="G703" s="4">
        <v>-75.505399479761294</v>
      </c>
      <c r="H703" s="9">
        <f t="shared" si="30"/>
        <v>0.78200000000000003</v>
      </c>
      <c r="I703" s="4" t="str">
        <f t="shared" si="31"/>
        <v>Sin riesgo &lt;85%</v>
      </c>
      <c r="J703" s="1" t="s">
        <v>13</v>
      </c>
      <c r="K703" s="1" t="str">
        <f t="shared" si="32"/>
        <v>Sin riesgo</v>
      </c>
    </row>
    <row r="704" spans="1:11">
      <c r="A704" s="1" t="s">
        <v>248</v>
      </c>
      <c r="B704" s="6" t="s">
        <v>12</v>
      </c>
      <c r="C704" s="3">
        <v>6.39</v>
      </c>
      <c r="D704" s="3">
        <v>9.0399999999999991</v>
      </c>
      <c r="E704" s="3">
        <v>25</v>
      </c>
      <c r="F704" s="11"/>
      <c r="G704" s="11"/>
      <c r="H704" s="9">
        <f t="shared" si="30"/>
        <v>0.36159999999999998</v>
      </c>
      <c r="I704" s="4" t="str">
        <f t="shared" si="31"/>
        <v>Sin riesgo &lt;85%</v>
      </c>
      <c r="J704" s="1" t="s">
        <v>13</v>
      </c>
      <c r="K704" s="1" t="str">
        <f t="shared" si="32"/>
        <v>Sin riesgo</v>
      </c>
    </row>
    <row r="705" spans="1:11">
      <c r="A705" s="1" t="s">
        <v>248</v>
      </c>
      <c r="B705" s="6" t="s">
        <v>14</v>
      </c>
      <c r="C705" s="3">
        <v>6.39</v>
      </c>
      <c r="D705" s="3">
        <v>9.0399999999999991</v>
      </c>
      <c r="E705" s="3">
        <v>25</v>
      </c>
      <c r="F705" s="11"/>
      <c r="G705" s="11"/>
      <c r="H705" s="9">
        <f t="shared" si="30"/>
        <v>0.36159999999999998</v>
      </c>
      <c r="I705" s="4" t="str">
        <f t="shared" si="31"/>
        <v>Sin riesgo &lt;85%</v>
      </c>
      <c r="J705" s="1" t="s">
        <v>13</v>
      </c>
      <c r="K705" s="1" t="str">
        <f t="shared" si="32"/>
        <v>Sin riesgo</v>
      </c>
    </row>
    <row r="706" spans="1:11">
      <c r="A706" s="1" t="s">
        <v>248</v>
      </c>
      <c r="B706" s="6" t="s">
        <v>15</v>
      </c>
      <c r="C706" s="3">
        <v>6.39</v>
      </c>
      <c r="D706" s="3">
        <v>9.0399999999999991</v>
      </c>
      <c r="E706" s="3">
        <v>25</v>
      </c>
      <c r="F706" s="11"/>
      <c r="G706" s="11"/>
      <c r="H706" s="9">
        <f t="shared" si="30"/>
        <v>0.36159999999999998</v>
      </c>
      <c r="I706" s="4" t="str">
        <f t="shared" si="31"/>
        <v>Sin riesgo &lt;85%</v>
      </c>
      <c r="J706" s="1" t="s">
        <v>13</v>
      </c>
      <c r="K706" s="1" t="str">
        <f t="shared" si="32"/>
        <v>Sin riesgo</v>
      </c>
    </row>
    <row r="707" spans="1:11">
      <c r="A707" s="1" t="s">
        <v>249</v>
      </c>
      <c r="B707" s="6" t="s">
        <v>12</v>
      </c>
      <c r="C707" s="3">
        <v>11.83</v>
      </c>
      <c r="D707" s="3">
        <v>30.39</v>
      </c>
      <c r="E707" s="3">
        <v>31.5</v>
      </c>
      <c r="F707" s="11"/>
      <c r="G707" s="11"/>
      <c r="H707" s="9">
        <f t="shared" ref="H707:H770" si="33">IF(C707&gt;D707,C707/E707,D707/E707)</f>
        <v>0.96476190476190482</v>
      </c>
      <c r="I707" s="4" t="str">
        <f t="shared" ref="I707:I770" si="34">IF(H707&gt;100%,"Altamente critico &gt;100%",IF(H707&gt;95%,"Critico &gt;95%",IF(H707&gt;85%,"En riesgo &gt;85%","Sin riesgo &lt;85%")))</f>
        <v>Critico &gt;95%</v>
      </c>
      <c r="J707" s="1" t="s">
        <v>13</v>
      </c>
      <c r="K707" s="1" t="str">
        <f t="shared" ref="K707:K770" si="35">IF(J707="&gt;5","Sin riesgo",IF(J707&gt;1.5,"Estado de alerta","Estado critico"))</f>
        <v>Sin riesgo</v>
      </c>
    </row>
    <row r="708" spans="1:11">
      <c r="A708" s="1" t="s">
        <v>249</v>
      </c>
      <c r="B708" s="6" t="s">
        <v>14</v>
      </c>
      <c r="C708" s="3">
        <v>11.89</v>
      </c>
      <c r="D708" s="3">
        <v>30.58</v>
      </c>
      <c r="E708" s="3">
        <v>31.5</v>
      </c>
      <c r="F708" s="11"/>
      <c r="G708" s="11"/>
      <c r="H708" s="9">
        <f t="shared" si="33"/>
        <v>0.97079365079365076</v>
      </c>
      <c r="I708" s="4" t="str">
        <f t="shared" si="34"/>
        <v>Critico &gt;95%</v>
      </c>
      <c r="J708" s="1" t="s">
        <v>13</v>
      </c>
      <c r="K708" s="1" t="str">
        <f t="shared" si="35"/>
        <v>Sin riesgo</v>
      </c>
    </row>
    <row r="709" spans="1:11">
      <c r="A709" s="1" t="s">
        <v>249</v>
      </c>
      <c r="B709" s="6" t="s">
        <v>15</v>
      </c>
      <c r="C709" s="3">
        <v>11.89</v>
      </c>
      <c r="D709" s="3">
        <v>30.58</v>
      </c>
      <c r="E709" s="3">
        <v>31.5</v>
      </c>
      <c r="F709" s="11"/>
      <c r="G709" s="11"/>
      <c r="H709" s="9">
        <f t="shared" si="33"/>
        <v>0.97079365079365076</v>
      </c>
      <c r="I709" s="4" t="str">
        <f t="shared" si="34"/>
        <v>Critico &gt;95%</v>
      </c>
      <c r="J709" s="1" t="s">
        <v>13</v>
      </c>
      <c r="K709" s="1" t="str">
        <f t="shared" si="35"/>
        <v>Sin riesgo</v>
      </c>
    </row>
    <row r="710" spans="1:11">
      <c r="A710" s="1" t="s">
        <v>250</v>
      </c>
      <c r="B710" s="6" t="s">
        <v>12</v>
      </c>
      <c r="C710" s="3">
        <v>51.05</v>
      </c>
      <c r="D710" s="3">
        <v>42.32</v>
      </c>
      <c r="E710" s="3">
        <v>40</v>
      </c>
      <c r="F710" s="11"/>
      <c r="G710" s="11"/>
      <c r="H710" s="9">
        <f t="shared" si="33"/>
        <v>1.2762499999999999</v>
      </c>
      <c r="I710" s="4" t="str">
        <f t="shared" si="34"/>
        <v>Altamente critico &gt;100%</v>
      </c>
      <c r="J710" s="1">
        <v>1.03</v>
      </c>
      <c r="K710" s="1" t="str">
        <f t="shared" si="35"/>
        <v>Estado critico</v>
      </c>
    </row>
    <row r="711" spans="1:11">
      <c r="A711" s="1" t="s">
        <v>250</v>
      </c>
      <c r="B711" s="6" t="s">
        <v>14</v>
      </c>
      <c r="C711" s="3">
        <v>51.6</v>
      </c>
      <c r="D711" s="3">
        <v>42.52</v>
      </c>
      <c r="E711" s="3">
        <v>40</v>
      </c>
      <c r="F711" s="11"/>
      <c r="G711" s="11"/>
      <c r="H711" s="9">
        <f t="shared" si="33"/>
        <v>1.29</v>
      </c>
      <c r="I711" s="4" t="str">
        <f t="shared" si="34"/>
        <v>Altamente critico &gt;100%</v>
      </c>
      <c r="J711" s="1">
        <v>1.03</v>
      </c>
      <c r="K711" s="1" t="str">
        <f t="shared" si="35"/>
        <v>Estado critico</v>
      </c>
    </row>
    <row r="712" spans="1:11">
      <c r="A712" s="1" t="s">
        <v>250</v>
      </c>
      <c r="B712" s="6" t="s">
        <v>15</v>
      </c>
      <c r="C712" s="3">
        <v>51.6</v>
      </c>
      <c r="D712" s="3">
        <v>42.52</v>
      </c>
      <c r="E712" s="3">
        <v>40</v>
      </c>
      <c r="F712" s="11"/>
      <c r="G712" s="11"/>
      <c r="H712" s="9">
        <f t="shared" si="33"/>
        <v>1.29</v>
      </c>
      <c r="I712" s="4" t="str">
        <f t="shared" si="34"/>
        <v>Altamente critico &gt;100%</v>
      </c>
      <c r="J712" s="1">
        <v>1.03</v>
      </c>
      <c r="K712" s="1" t="str">
        <f t="shared" si="35"/>
        <v>Estado critico</v>
      </c>
    </row>
    <row r="713" spans="1:11">
      <c r="A713" s="1" t="s">
        <v>251</v>
      </c>
      <c r="B713" s="6" t="s">
        <v>12</v>
      </c>
      <c r="C713" s="3">
        <v>20.59</v>
      </c>
      <c r="D713" s="3">
        <v>19.21</v>
      </c>
      <c r="E713" s="3">
        <v>40</v>
      </c>
      <c r="F713" s="11"/>
      <c r="G713" s="11"/>
      <c r="H713" s="9">
        <f t="shared" si="33"/>
        <v>0.51475000000000004</v>
      </c>
      <c r="I713" s="4" t="str">
        <f t="shared" si="34"/>
        <v>Sin riesgo &lt;85%</v>
      </c>
      <c r="J713" s="1" t="s">
        <v>13</v>
      </c>
      <c r="K713" s="1" t="str">
        <f t="shared" si="35"/>
        <v>Sin riesgo</v>
      </c>
    </row>
    <row r="714" spans="1:11">
      <c r="A714" s="1" t="s">
        <v>251</v>
      </c>
      <c r="B714" s="6" t="s">
        <v>14</v>
      </c>
      <c r="C714" s="3">
        <v>20.92</v>
      </c>
      <c r="D714" s="3">
        <v>19.510000000000002</v>
      </c>
      <c r="E714" s="3">
        <v>40</v>
      </c>
      <c r="F714" s="11"/>
      <c r="G714" s="11"/>
      <c r="H714" s="9">
        <f t="shared" si="33"/>
        <v>0.52300000000000002</v>
      </c>
      <c r="I714" s="4" t="str">
        <f t="shared" si="34"/>
        <v>Sin riesgo &lt;85%</v>
      </c>
      <c r="J714" s="1" t="s">
        <v>13</v>
      </c>
      <c r="K714" s="1" t="str">
        <f t="shared" si="35"/>
        <v>Sin riesgo</v>
      </c>
    </row>
    <row r="715" spans="1:11">
      <c r="A715" s="1" t="s">
        <v>251</v>
      </c>
      <c r="B715" s="6" t="s">
        <v>15</v>
      </c>
      <c r="C715" s="3">
        <v>20.92</v>
      </c>
      <c r="D715" s="3">
        <v>19.510000000000002</v>
      </c>
      <c r="E715" s="3">
        <v>40</v>
      </c>
      <c r="F715" s="11"/>
      <c r="G715" s="11"/>
      <c r="H715" s="9">
        <f t="shared" si="33"/>
        <v>0.52300000000000002</v>
      </c>
      <c r="I715" s="4" t="str">
        <f t="shared" si="34"/>
        <v>Sin riesgo &lt;85%</v>
      </c>
      <c r="J715" s="1" t="s">
        <v>13</v>
      </c>
      <c r="K715" s="1" t="str">
        <f t="shared" si="35"/>
        <v>Sin riesgo</v>
      </c>
    </row>
    <row r="716" spans="1:11">
      <c r="A716" s="1" t="s">
        <v>252</v>
      </c>
      <c r="B716" s="6" t="s">
        <v>12</v>
      </c>
      <c r="C716" s="3">
        <v>6.07</v>
      </c>
      <c r="D716" s="3">
        <v>21.65</v>
      </c>
      <c r="E716" s="3">
        <v>40</v>
      </c>
      <c r="F716" s="11"/>
      <c r="G716" s="11"/>
      <c r="H716" s="9">
        <f t="shared" si="33"/>
        <v>0.54125000000000001</v>
      </c>
      <c r="I716" s="4" t="str">
        <f t="shared" si="34"/>
        <v>Sin riesgo &lt;85%</v>
      </c>
      <c r="J716" s="1">
        <v>1.27</v>
      </c>
      <c r="K716" s="1" t="str">
        <f t="shared" si="35"/>
        <v>Estado critico</v>
      </c>
    </row>
    <row r="717" spans="1:11">
      <c r="A717" s="1" t="s">
        <v>252</v>
      </c>
      <c r="B717" s="6" t="s">
        <v>14</v>
      </c>
      <c r="C717" s="3">
        <v>6.07</v>
      </c>
      <c r="D717" s="3">
        <v>21.66</v>
      </c>
      <c r="E717" s="3">
        <v>40</v>
      </c>
      <c r="F717" s="11"/>
      <c r="G717" s="11"/>
      <c r="H717" s="9">
        <f t="shared" si="33"/>
        <v>0.54149999999999998</v>
      </c>
      <c r="I717" s="4" t="str">
        <f t="shared" si="34"/>
        <v>Sin riesgo &lt;85%</v>
      </c>
      <c r="J717" s="1">
        <v>1.27</v>
      </c>
      <c r="K717" s="1" t="str">
        <f t="shared" si="35"/>
        <v>Estado critico</v>
      </c>
    </row>
    <row r="718" spans="1:11">
      <c r="A718" s="1" t="s">
        <v>252</v>
      </c>
      <c r="B718" s="6" t="s">
        <v>15</v>
      </c>
      <c r="C718" s="3">
        <v>6.07</v>
      </c>
      <c r="D718" s="3">
        <v>21.66</v>
      </c>
      <c r="E718" s="3">
        <v>40</v>
      </c>
      <c r="F718" s="11"/>
      <c r="G718" s="11"/>
      <c r="H718" s="9">
        <f t="shared" si="33"/>
        <v>0.54149999999999998</v>
      </c>
      <c r="I718" s="4" t="str">
        <f t="shared" si="34"/>
        <v>Sin riesgo &lt;85%</v>
      </c>
      <c r="J718" s="1">
        <v>1.27</v>
      </c>
      <c r="K718" s="1" t="str">
        <f t="shared" si="35"/>
        <v>Estado critico</v>
      </c>
    </row>
    <row r="719" spans="1:11">
      <c r="A719" s="1" t="s">
        <v>253</v>
      </c>
      <c r="B719" s="6" t="s">
        <v>12</v>
      </c>
      <c r="C719" s="3">
        <v>27.58</v>
      </c>
      <c r="D719" s="3">
        <v>23.62</v>
      </c>
      <c r="E719" s="3">
        <v>40</v>
      </c>
      <c r="F719" s="11"/>
      <c r="G719" s="11"/>
      <c r="H719" s="9">
        <f t="shared" si="33"/>
        <v>0.6895</v>
      </c>
      <c r="I719" s="4" t="str">
        <f t="shared" si="34"/>
        <v>Sin riesgo &lt;85%</v>
      </c>
      <c r="J719" s="1" t="s">
        <v>13</v>
      </c>
      <c r="K719" s="1" t="str">
        <f t="shared" si="35"/>
        <v>Sin riesgo</v>
      </c>
    </row>
    <row r="720" spans="1:11">
      <c r="A720" s="1" t="s">
        <v>253</v>
      </c>
      <c r="B720" s="6" t="s">
        <v>14</v>
      </c>
      <c r="C720" s="3">
        <v>27.71</v>
      </c>
      <c r="D720" s="3">
        <v>23.73</v>
      </c>
      <c r="E720" s="3">
        <v>40</v>
      </c>
      <c r="F720" s="11"/>
      <c r="G720" s="11"/>
      <c r="H720" s="9">
        <f t="shared" si="33"/>
        <v>0.69274999999999998</v>
      </c>
      <c r="I720" s="4" t="str">
        <f t="shared" si="34"/>
        <v>Sin riesgo &lt;85%</v>
      </c>
      <c r="J720" s="1" t="s">
        <v>13</v>
      </c>
      <c r="K720" s="1" t="str">
        <f t="shared" si="35"/>
        <v>Sin riesgo</v>
      </c>
    </row>
    <row r="721" spans="1:11">
      <c r="A721" s="1" t="s">
        <v>253</v>
      </c>
      <c r="B721" s="6" t="s">
        <v>15</v>
      </c>
      <c r="C721" s="3">
        <v>27.71</v>
      </c>
      <c r="D721" s="3">
        <v>23.73</v>
      </c>
      <c r="E721" s="3">
        <v>40</v>
      </c>
      <c r="F721" s="11"/>
      <c r="G721" s="11"/>
      <c r="H721" s="9">
        <f t="shared" si="33"/>
        <v>0.69274999999999998</v>
      </c>
      <c r="I721" s="4" t="str">
        <f t="shared" si="34"/>
        <v>Sin riesgo &lt;85%</v>
      </c>
      <c r="J721" s="1" t="s">
        <v>13</v>
      </c>
      <c r="K721" s="1" t="str">
        <f t="shared" si="35"/>
        <v>Sin riesgo</v>
      </c>
    </row>
    <row r="722" spans="1:11">
      <c r="A722" s="1" t="s">
        <v>254</v>
      </c>
      <c r="B722" s="6" t="s">
        <v>12</v>
      </c>
      <c r="C722" s="3">
        <v>13.15</v>
      </c>
      <c r="D722" s="3">
        <v>44.82</v>
      </c>
      <c r="E722" s="3">
        <v>31.5</v>
      </c>
      <c r="F722" s="11"/>
      <c r="G722" s="11"/>
      <c r="H722" s="9">
        <f t="shared" si="33"/>
        <v>1.4228571428571428</v>
      </c>
      <c r="I722" s="4" t="str">
        <f t="shared" si="34"/>
        <v>Altamente critico &gt;100%</v>
      </c>
      <c r="J722" s="1" t="s">
        <v>13</v>
      </c>
      <c r="K722" s="1" t="str">
        <f t="shared" si="35"/>
        <v>Sin riesgo</v>
      </c>
    </row>
    <row r="723" spans="1:11">
      <c r="A723" s="1" t="s">
        <v>254</v>
      </c>
      <c r="B723" s="6" t="s">
        <v>14</v>
      </c>
      <c r="C723" s="3">
        <v>13.22</v>
      </c>
      <c r="D723" s="3">
        <v>45.18</v>
      </c>
      <c r="E723" s="3">
        <v>31.5</v>
      </c>
      <c r="F723" s="11"/>
      <c r="G723" s="11"/>
      <c r="H723" s="9">
        <f t="shared" si="33"/>
        <v>1.4342857142857144</v>
      </c>
      <c r="I723" s="4" t="str">
        <f t="shared" si="34"/>
        <v>Altamente critico &gt;100%</v>
      </c>
      <c r="J723" s="1" t="s">
        <v>13</v>
      </c>
      <c r="K723" s="1" t="str">
        <f t="shared" si="35"/>
        <v>Sin riesgo</v>
      </c>
    </row>
    <row r="724" spans="1:11">
      <c r="A724" s="1" t="s">
        <v>254</v>
      </c>
      <c r="B724" s="6" t="s">
        <v>15</v>
      </c>
      <c r="C724" s="3">
        <v>13.22</v>
      </c>
      <c r="D724" s="3">
        <v>45.18</v>
      </c>
      <c r="E724" s="3">
        <v>31.5</v>
      </c>
      <c r="F724" s="11"/>
      <c r="G724" s="11"/>
      <c r="H724" s="9">
        <f t="shared" si="33"/>
        <v>1.4342857142857144</v>
      </c>
      <c r="I724" s="4" t="str">
        <f t="shared" si="34"/>
        <v>Altamente critico &gt;100%</v>
      </c>
      <c r="J724" s="1" t="s">
        <v>13</v>
      </c>
      <c r="K724" s="1" t="str">
        <f t="shared" si="35"/>
        <v>Sin riesgo</v>
      </c>
    </row>
    <row r="725" spans="1:11">
      <c r="A725" s="1" t="s">
        <v>255</v>
      </c>
      <c r="B725" s="6" t="s">
        <v>12</v>
      </c>
      <c r="C725" s="3">
        <v>1.2</v>
      </c>
      <c r="D725" s="3">
        <v>1.68</v>
      </c>
      <c r="E725" s="3">
        <v>31.5</v>
      </c>
      <c r="F725" s="11"/>
      <c r="G725" s="11"/>
      <c r="H725" s="9">
        <f t="shared" si="33"/>
        <v>5.333333333333333E-2</v>
      </c>
      <c r="I725" s="4" t="str">
        <f t="shared" si="34"/>
        <v>Sin riesgo &lt;85%</v>
      </c>
      <c r="J725" s="1" t="s">
        <v>13</v>
      </c>
      <c r="K725" s="1" t="str">
        <f t="shared" si="35"/>
        <v>Sin riesgo</v>
      </c>
    </row>
    <row r="726" spans="1:11">
      <c r="A726" s="1" t="s">
        <v>255</v>
      </c>
      <c r="B726" s="6" t="s">
        <v>14</v>
      </c>
      <c r="C726" s="3">
        <v>3.95</v>
      </c>
      <c r="D726" s="3">
        <v>5.96</v>
      </c>
      <c r="E726" s="3">
        <v>31.5</v>
      </c>
      <c r="F726" s="11"/>
      <c r="G726" s="11"/>
      <c r="H726" s="9">
        <f t="shared" si="33"/>
        <v>0.18920634920634921</v>
      </c>
      <c r="I726" s="4" t="str">
        <f t="shared" si="34"/>
        <v>Sin riesgo &lt;85%</v>
      </c>
      <c r="J726" s="1" t="s">
        <v>13</v>
      </c>
      <c r="K726" s="1" t="str">
        <f t="shared" si="35"/>
        <v>Sin riesgo</v>
      </c>
    </row>
    <row r="727" spans="1:11">
      <c r="A727" s="1" t="s">
        <v>255</v>
      </c>
      <c r="B727" s="6" t="s">
        <v>15</v>
      </c>
      <c r="C727" s="3">
        <v>3.95</v>
      </c>
      <c r="D727" s="3">
        <v>5.96</v>
      </c>
      <c r="E727" s="3">
        <v>31.5</v>
      </c>
      <c r="F727" s="11"/>
      <c r="G727" s="11"/>
      <c r="H727" s="9">
        <f t="shared" si="33"/>
        <v>0.18920634920634921</v>
      </c>
      <c r="I727" s="4" t="str">
        <f t="shared" si="34"/>
        <v>Sin riesgo &lt;85%</v>
      </c>
      <c r="J727" s="1" t="s">
        <v>13</v>
      </c>
      <c r="K727" s="1" t="str">
        <f t="shared" si="35"/>
        <v>Sin riesgo</v>
      </c>
    </row>
    <row r="728" spans="1:11">
      <c r="A728" s="1" t="s">
        <v>256</v>
      </c>
      <c r="B728" s="6" t="s">
        <v>12</v>
      </c>
      <c r="C728" s="3">
        <v>14.44</v>
      </c>
      <c r="D728" s="3">
        <v>32.630000000000003</v>
      </c>
      <c r="E728" s="3">
        <v>40</v>
      </c>
      <c r="F728" s="11"/>
      <c r="G728" s="11"/>
      <c r="H728" s="9">
        <f t="shared" si="33"/>
        <v>0.81575000000000009</v>
      </c>
      <c r="I728" s="4" t="str">
        <f t="shared" si="34"/>
        <v>Sin riesgo &lt;85%</v>
      </c>
      <c r="J728" s="1" t="s">
        <v>13</v>
      </c>
      <c r="K728" s="1" t="str">
        <f t="shared" si="35"/>
        <v>Sin riesgo</v>
      </c>
    </row>
    <row r="729" spans="1:11">
      <c r="A729" s="1" t="s">
        <v>256</v>
      </c>
      <c r="B729" s="6" t="s">
        <v>14</v>
      </c>
      <c r="C729" s="3">
        <v>14.59</v>
      </c>
      <c r="D729" s="3">
        <v>33.15</v>
      </c>
      <c r="E729" s="3">
        <v>40</v>
      </c>
      <c r="F729" s="11"/>
      <c r="G729" s="11"/>
      <c r="H729" s="9">
        <f t="shared" si="33"/>
        <v>0.82874999999999999</v>
      </c>
      <c r="I729" s="4" t="str">
        <f t="shared" si="34"/>
        <v>Sin riesgo &lt;85%</v>
      </c>
      <c r="J729" s="1" t="s">
        <v>13</v>
      </c>
      <c r="K729" s="1" t="str">
        <f t="shared" si="35"/>
        <v>Sin riesgo</v>
      </c>
    </row>
    <row r="730" spans="1:11">
      <c r="A730" s="1" t="s">
        <v>256</v>
      </c>
      <c r="B730" s="6" t="s">
        <v>15</v>
      </c>
      <c r="C730" s="3">
        <v>14.59</v>
      </c>
      <c r="D730" s="3">
        <v>33.15</v>
      </c>
      <c r="E730" s="3">
        <v>40</v>
      </c>
      <c r="F730" s="11"/>
      <c r="G730" s="11"/>
      <c r="H730" s="9">
        <f t="shared" si="33"/>
        <v>0.82874999999999999</v>
      </c>
      <c r="I730" s="4" t="str">
        <f t="shared" si="34"/>
        <v>Sin riesgo &lt;85%</v>
      </c>
      <c r="J730" s="1" t="s">
        <v>13</v>
      </c>
      <c r="K730" s="1" t="str">
        <f t="shared" si="35"/>
        <v>Sin riesgo</v>
      </c>
    </row>
    <row r="731" spans="1:11">
      <c r="A731" s="1" t="s">
        <v>257</v>
      </c>
      <c r="B731" s="6" t="s">
        <v>12</v>
      </c>
      <c r="C731" s="3">
        <v>21.57</v>
      </c>
      <c r="D731" s="3">
        <v>13.89</v>
      </c>
      <c r="E731" s="3">
        <v>40</v>
      </c>
      <c r="F731" s="4">
        <v>3.3928656806631001</v>
      </c>
      <c r="G731" s="4">
        <v>-76.353315847431503</v>
      </c>
      <c r="H731" s="9">
        <f t="shared" si="33"/>
        <v>0.53925000000000001</v>
      </c>
      <c r="I731" s="4" t="str">
        <f t="shared" si="34"/>
        <v>Sin riesgo &lt;85%</v>
      </c>
      <c r="J731" s="1" t="s">
        <v>13</v>
      </c>
      <c r="K731" s="1" t="str">
        <f t="shared" si="35"/>
        <v>Sin riesgo</v>
      </c>
    </row>
    <row r="732" spans="1:11">
      <c r="A732" s="1" t="s">
        <v>257</v>
      </c>
      <c r="B732" s="6" t="s">
        <v>14</v>
      </c>
      <c r="C732" s="3">
        <v>30.91</v>
      </c>
      <c r="D732" s="3">
        <v>19.72</v>
      </c>
      <c r="E732" s="3">
        <v>40</v>
      </c>
      <c r="F732" s="4">
        <v>3.3928656806631001</v>
      </c>
      <c r="G732" s="4">
        <v>-76.353315847431503</v>
      </c>
      <c r="H732" s="9">
        <f t="shared" si="33"/>
        <v>0.77275000000000005</v>
      </c>
      <c r="I732" s="4" t="str">
        <f t="shared" si="34"/>
        <v>Sin riesgo &lt;85%</v>
      </c>
      <c r="J732" s="1" t="s">
        <v>13</v>
      </c>
      <c r="K732" s="1" t="str">
        <f t="shared" si="35"/>
        <v>Sin riesgo</v>
      </c>
    </row>
    <row r="733" spans="1:11">
      <c r="A733" s="1" t="s">
        <v>257</v>
      </c>
      <c r="B733" s="6" t="s">
        <v>15</v>
      </c>
      <c r="C733" s="3">
        <v>30.9</v>
      </c>
      <c r="D733" s="3">
        <v>19.72</v>
      </c>
      <c r="E733" s="3">
        <v>40</v>
      </c>
      <c r="F733" s="4">
        <v>3.3928656806631001</v>
      </c>
      <c r="G733" s="4">
        <v>-76.353315847431503</v>
      </c>
      <c r="H733" s="9">
        <f t="shared" si="33"/>
        <v>0.77249999999999996</v>
      </c>
      <c r="I733" s="4" t="str">
        <f t="shared" si="34"/>
        <v>Sin riesgo &lt;85%</v>
      </c>
      <c r="J733" s="1" t="s">
        <v>13</v>
      </c>
      <c r="K733" s="1" t="str">
        <f t="shared" si="35"/>
        <v>Sin riesgo</v>
      </c>
    </row>
    <row r="734" spans="1:11">
      <c r="A734" s="1" t="s">
        <v>258</v>
      </c>
      <c r="B734" s="6" t="s">
        <v>12</v>
      </c>
      <c r="C734" s="3">
        <v>40.04</v>
      </c>
      <c r="D734" s="3">
        <v>34.770000000000003</v>
      </c>
      <c r="E734" s="3">
        <v>40</v>
      </c>
      <c r="F734" s="4">
        <v>3.3928656806631001</v>
      </c>
      <c r="G734" s="4">
        <v>-76.353315847431503</v>
      </c>
      <c r="H734" s="9">
        <f t="shared" si="33"/>
        <v>1.0009999999999999</v>
      </c>
      <c r="I734" s="4" t="str">
        <f t="shared" si="34"/>
        <v>Altamente critico &gt;100%</v>
      </c>
      <c r="J734" s="1" t="s">
        <v>13</v>
      </c>
      <c r="K734" s="1" t="str">
        <f t="shared" si="35"/>
        <v>Sin riesgo</v>
      </c>
    </row>
    <row r="735" spans="1:11">
      <c r="A735" s="1" t="s">
        <v>258</v>
      </c>
      <c r="B735" s="6" t="s">
        <v>14</v>
      </c>
      <c r="C735" s="3">
        <v>40.6</v>
      </c>
      <c r="D735" s="3">
        <v>35.26</v>
      </c>
      <c r="E735" s="3">
        <v>40</v>
      </c>
      <c r="F735" s="4">
        <v>3.3928656806631001</v>
      </c>
      <c r="G735" s="4">
        <v>-76.353315847431503</v>
      </c>
      <c r="H735" s="9">
        <f t="shared" si="33"/>
        <v>1.0150000000000001</v>
      </c>
      <c r="I735" s="4" t="str">
        <f t="shared" si="34"/>
        <v>Altamente critico &gt;100%</v>
      </c>
      <c r="J735" s="1" t="s">
        <v>13</v>
      </c>
      <c r="K735" s="1" t="str">
        <f t="shared" si="35"/>
        <v>Sin riesgo</v>
      </c>
    </row>
    <row r="736" spans="1:11">
      <c r="A736" s="1" t="s">
        <v>258</v>
      </c>
      <c r="B736" s="6" t="s">
        <v>15</v>
      </c>
      <c r="C736" s="3">
        <v>40.6</v>
      </c>
      <c r="D736" s="3">
        <v>35.26</v>
      </c>
      <c r="E736" s="3">
        <v>40</v>
      </c>
      <c r="F736" s="4">
        <v>3.3928656806631001</v>
      </c>
      <c r="G736" s="4">
        <v>-76.353315847431503</v>
      </c>
      <c r="H736" s="9">
        <f t="shared" si="33"/>
        <v>1.0150000000000001</v>
      </c>
      <c r="I736" s="4" t="str">
        <f t="shared" si="34"/>
        <v>Altamente critico &gt;100%</v>
      </c>
      <c r="J736" s="1" t="s">
        <v>13</v>
      </c>
      <c r="K736" s="1" t="str">
        <f t="shared" si="35"/>
        <v>Sin riesgo</v>
      </c>
    </row>
    <row r="737" spans="1:11">
      <c r="A737" s="1" t="s">
        <v>259</v>
      </c>
      <c r="B737" s="6" t="s">
        <v>12</v>
      </c>
      <c r="C737" s="3">
        <v>0</v>
      </c>
      <c r="D737" s="3">
        <v>0</v>
      </c>
      <c r="E737" s="3">
        <v>40</v>
      </c>
      <c r="F737" s="11"/>
      <c r="G737" s="11"/>
      <c r="H737" s="9">
        <f t="shared" si="33"/>
        <v>0</v>
      </c>
      <c r="I737" s="4" t="str">
        <f t="shared" si="34"/>
        <v>Sin riesgo &lt;85%</v>
      </c>
      <c r="J737" s="1">
        <v>0.95</v>
      </c>
      <c r="K737" s="1" t="str">
        <f t="shared" si="35"/>
        <v>Estado critico</v>
      </c>
    </row>
    <row r="738" spans="1:11">
      <c r="A738" s="1" t="s">
        <v>259</v>
      </c>
      <c r="B738" s="6" t="s">
        <v>14</v>
      </c>
      <c r="C738" s="3">
        <v>16.75</v>
      </c>
      <c r="D738" s="3">
        <v>16.32</v>
      </c>
      <c r="E738" s="3">
        <v>40</v>
      </c>
      <c r="F738" s="11"/>
      <c r="G738" s="11"/>
      <c r="H738" s="9">
        <f t="shared" si="33"/>
        <v>0.41875000000000001</v>
      </c>
      <c r="I738" s="4" t="str">
        <f t="shared" si="34"/>
        <v>Sin riesgo &lt;85%</v>
      </c>
      <c r="J738" s="1">
        <v>0.95</v>
      </c>
      <c r="K738" s="1" t="str">
        <f t="shared" si="35"/>
        <v>Estado critico</v>
      </c>
    </row>
    <row r="739" spans="1:11">
      <c r="A739" s="1" t="s">
        <v>259</v>
      </c>
      <c r="B739" s="6" t="s">
        <v>15</v>
      </c>
      <c r="C739" s="3">
        <v>16.75</v>
      </c>
      <c r="D739" s="3">
        <v>16.32</v>
      </c>
      <c r="E739" s="3">
        <v>40</v>
      </c>
      <c r="F739" s="11"/>
      <c r="G739" s="11"/>
      <c r="H739" s="9">
        <f t="shared" si="33"/>
        <v>0.41875000000000001</v>
      </c>
      <c r="I739" s="4" t="str">
        <f t="shared" si="34"/>
        <v>Sin riesgo &lt;85%</v>
      </c>
      <c r="J739" s="1">
        <v>0.95</v>
      </c>
      <c r="K739" s="1" t="str">
        <f t="shared" si="35"/>
        <v>Estado critico</v>
      </c>
    </row>
    <row r="740" spans="1:11">
      <c r="A740" s="1" t="s">
        <v>260</v>
      </c>
      <c r="B740" s="6" t="s">
        <v>12</v>
      </c>
      <c r="C740" s="3">
        <v>0</v>
      </c>
      <c r="D740" s="3">
        <v>0</v>
      </c>
      <c r="E740" s="3">
        <v>40</v>
      </c>
      <c r="F740" s="11"/>
      <c r="G740" s="11"/>
      <c r="H740" s="9">
        <f t="shared" si="33"/>
        <v>0</v>
      </c>
      <c r="I740" s="4" t="str">
        <f t="shared" si="34"/>
        <v>Sin riesgo &lt;85%</v>
      </c>
      <c r="J740" s="1" t="s">
        <v>13</v>
      </c>
      <c r="K740" s="1" t="str">
        <f t="shared" si="35"/>
        <v>Sin riesgo</v>
      </c>
    </row>
    <row r="741" spans="1:11">
      <c r="A741" s="1" t="s">
        <v>260</v>
      </c>
      <c r="B741" s="6" t="s">
        <v>14</v>
      </c>
      <c r="C741" s="3">
        <v>19.23</v>
      </c>
      <c r="D741" s="3">
        <v>17.79</v>
      </c>
      <c r="E741" s="3">
        <v>40</v>
      </c>
      <c r="F741" s="11"/>
      <c r="G741" s="11"/>
      <c r="H741" s="9">
        <f t="shared" si="33"/>
        <v>0.48075000000000001</v>
      </c>
      <c r="I741" s="4" t="str">
        <f t="shared" si="34"/>
        <v>Sin riesgo &lt;85%</v>
      </c>
      <c r="J741" s="1" t="s">
        <v>13</v>
      </c>
      <c r="K741" s="1" t="str">
        <f t="shared" si="35"/>
        <v>Sin riesgo</v>
      </c>
    </row>
    <row r="742" spans="1:11">
      <c r="A742" s="1" t="s">
        <v>260</v>
      </c>
      <c r="B742" s="6" t="s">
        <v>15</v>
      </c>
      <c r="C742" s="3">
        <v>19.23</v>
      </c>
      <c r="D742" s="3">
        <v>17.79</v>
      </c>
      <c r="E742" s="3">
        <v>40</v>
      </c>
      <c r="F742" s="11"/>
      <c r="G742" s="11"/>
      <c r="H742" s="9">
        <f t="shared" si="33"/>
        <v>0.48075000000000001</v>
      </c>
      <c r="I742" s="4" t="str">
        <f t="shared" si="34"/>
        <v>Sin riesgo &lt;85%</v>
      </c>
      <c r="J742" s="1" t="s">
        <v>13</v>
      </c>
      <c r="K742" s="1" t="str">
        <f t="shared" si="35"/>
        <v>Sin riesgo</v>
      </c>
    </row>
    <row r="743" spans="1:11">
      <c r="A743" s="1" t="s">
        <v>261</v>
      </c>
      <c r="B743" s="6" t="s">
        <v>12</v>
      </c>
      <c r="C743" s="3">
        <v>40.18</v>
      </c>
      <c r="D743" s="3">
        <v>35.46</v>
      </c>
      <c r="E743" s="3">
        <v>31.5</v>
      </c>
      <c r="F743" s="4">
        <v>10.3556541211719</v>
      </c>
      <c r="G743" s="4">
        <v>-75.509342925267504</v>
      </c>
      <c r="H743" s="9">
        <f t="shared" si="33"/>
        <v>1.2755555555555556</v>
      </c>
      <c r="I743" s="4" t="str">
        <f t="shared" si="34"/>
        <v>Altamente critico &gt;100%</v>
      </c>
      <c r="J743" s="1" t="s">
        <v>13</v>
      </c>
      <c r="K743" s="1" t="str">
        <f t="shared" si="35"/>
        <v>Sin riesgo</v>
      </c>
    </row>
    <row r="744" spans="1:11">
      <c r="A744" s="1" t="s">
        <v>261</v>
      </c>
      <c r="B744" s="6" t="s">
        <v>14</v>
      </c>
      <c r="C744" s="3">
        <v>40.590000000000003</v>
      </c>
      <c r="D744" s="3">
        <v>35.81</v>
      </c>
      <c r="E744" s="3">
        <v>31.5</v>
      </c>
      <c r="F744" s="4">
        <v>10.3556541211719</v>
      </c>
      <c r="G744" s="4">
        <v>-75.509342925267504</v>
      </c>
      <c r="H744" s="9">
        <f t="shared" si="33"/>
        <v>1.2885714285714287</v>
      </c>
      <c r="I744" s="4" t="str">
        <f t="shared" si="34"/>
        <v>Altamente critico &gt;100%</v>
      </c>
      <c r="J744" s="1" t="s">
        <v>13</v>
      </c>
      <c r="K744" s="1" t="str">
        <f t="shared" si="35"/>
        <v>Sin riesgo</v>
      </c>
    </row>
    <row r="745" spans="1:11">
      <c r="A745" s="1" t="s">
        <v>261</v>
      </c>
      <c r="B745" s="6" t="s">
        <v>15</v>
      </c>
      <c r="C745" s="3">
        <v>40.590000000000003</v>
      </c>
      <c r="D745" s="3">
        <v>35.81</v>
      </c>
      <c r="E745" s="3">
        <v>31.5</v>
      </c>
      <c r="F745" s="4">
        <v>10.3556541211719</v>
      </c>
      <c r="G745" s="4">
        <v>-75.509342925267504</v>
      </c>
      <c r="H745" s="9">
        <f t="shared" si="33"/>
        <v>1.2885714285714287</v>
      </c>
      <c r="I745" s="4" t="str">
        <f t="shared" si="34"/>
        <v>Altamente critico &gt;100%</v>
      </c>
      <c r="J745" s="1" t="s">
        <v>13</v>
      </c>
      <c r="K745" s="1" t="str">
        <f t="shared" si="35"/>
        <v>Sin riesgo</v>
      </c>
    </row>
    <row r="746" spans="1:11">
      <c r="A746" s="1" t="s">
        <v>262</v>
      </c>
      <c r="B746" s="6" t="s">
        <v>12</v>
      </c>
      <c r="C746" s="3">
        <v>22.85</v>
      </c>
      <c r="D746" s="3">
        <v>35.880000000000003</v>
      </c>
      <c r="E746" s="3">
        <v>31.5</v>
      </c>
      <c r="F746" s="4">
        <v>10.3556541211719</v>
      </c>
      <c r="G746" s="4">
        <v>-75.509342925267504</v>
      </c>
      <c r="H746" s="9">
        <f t="shared" si="33"/>
        <v>1.1390476190476191</v>
      </c>
      <c r="I746" s="4" t="str">
        <f t="shared" si="34"/>
        <v>Altamente critico &gt;100%</v>
      </c>
      <c r="J746" s="1" t="s">
        <v>13</v>
      </c>
      <c r="K746" s="1" t="str">
        <f t="shared" si="35"/>
        <v>Sin riesgo</v>
      </c>
    </row>
    <row r="747" spans="1:11">
      <c r="A747" s="1" t="s">
        <v>262</v>
      </c>
      <c r="B747" s="6" t="s">
        <v>14</v>
      </c>
      <c r="C747" s="3">
        <v>23.02</v>
      </c>
      <c r="D747" s="3">
        <v>36.270000000000003</v>
      </c>
      <c r="E747" s="3">
        <v>31.5</v>
      </c>
      <c r="F747" s="4">
        <v>10.3556541211719</v>
      </c>
      <c r="G747" s="4">
        <v>-75.509342925267504</v>
      </c>
      <c r="H747" s="9">
        <f t="shared" si="33"/>
        <v>1.1514285714285715</v>
      </c>
      <c r="I747" s="4" t="str">
        <f t="shared" si="34"/>
        <v>Altamente critico &gt;100%</v>
      </c>
      <c r="J747" s="1" t="s">
        <v>13</v>
      </c>
      <c r="K747" s="1" t="str">
        <f t="shared" si="35"/>
        <v>Sin riesgo</v>
      </c>
    </row>
    <row r="748" spans="1:11">
      <c r="A748" s="1" t="s">
        <v>262</v>
      </c>
      <c r="B748" s="6" t="s">
        <v>15</v>
      </c>
      <c r="C748" s="3">
        <v>23.02</v>
      </c>
      <c r="D748" s="3">
        <v>36.270000000000003</v>
      </c>
      <c r="E748" s="3">
        <v>31.5</v>
      </c>
      <c r="F748" s="4">
        <v>10.3556541211719</v>
      </c>
      <c r="G748" s="4">
        <v>-75.509342925267504</v>
      </c>
      <c r="H748" s="9">
        <f t="shared" si="33"/>
        <v>1.1514285714285715</v>
      </c>
      <c r="I748" s="4" t="str">
        <f t="shared" si="34"/>
        <v>Altamente critico &gt;100%</v>
      </c>
      <c r="J748" s="1" t="s">
        <v>13</v>
      </c>
      <c r="K748" s="1" t="str">
        <f t="shared" si="35"/>
        <v>Sin riesgo</v>
      </c>
    </row>
    <row r="749" spans="1:11">
      <c r="A749" s="1" t="s">
        <v>263</v>
      </c>
      <c r="B749" s="6" t="s">
        <v>12</v>
      </c>
      <c r="C749" s="3">
        <v>11.7</v>
      </c>
      <c r="D749" s="3">
        <v>29.91</v>
      </c>
      <c r="E749" s="3">
        <v>31.5</v>
      </c>
      <c r="F749" s="4">
        <v>10.4276629984435</v>
      </c>
      <c r="G749" s="4">
        <v>-75.538719376697202</v>
      </c>
      <c r="H749" s="9">
        <f t="shared" si="33"/>
        <v>0.94952380952380955</v>
      </c>
      <c r="I749" s="4" t="str">
        <f t="shared" si="34"/>
        <v>En riesgo &gt;85%</v>
      </c>
      <c r="J749" s="1" t="s">
        <v>13</v>
      </c>
      <c r="K749" s="1" t="str">
        <f t="shared" si="35"/>
        <v>Sin riesgo</v>
      </c>
    </row>
    <row r="750" spans="1:11">
      <c r="A750" s="1" t="s">
        <v>263</v>
      </c>
      <c r="B750" s="6" t="s">
        <v>14</v>
      </c>
      <c r="C750" s="3">
        <v>11.76</v>
      </c>
      <c r="D750" s="3">
        <v>30.09</v>
      </c>
      <c r="E750" s="3">
        <v>31.5</v>
      </c>
      <c r="F750" s="4">
        <v>10.4276629984435</v>
      </c>
      <c r="G750" s="4">
        <v>-75.538719376697202</v>
      </c>
      <c r="H750" s="9">
        <f t="shared" si="33"/>
        <v>0.95523809523809522</v>
      </c>
      <c r="I750" s="4" t="str">
        <f t="shared" si="34"/>
        <v>Critico &gt;95%</v>
      </c>
      <c r="J750" s="1" t="s">
        <v>13</v>
      </c>
      <c r="K750" s="1" t="str">
        <f t="shared" si="35"/>
        <v>Sin riesgo</v>
      </c>
    </row>
    <row r="751" spans="1:11">
      <c r="A751" s="1" t="s">
        <v>263</v>
      </c>
      <c r="B751" s="6" t="s">
        <v>15</v>
      </c>
      <c r="C751" s="3">
        <v>11.76</v>
      </c>
      <c r="D751" s="3">
        <v>30.09</v>
      </c>
      <c r="E751" s="3">
        <v>31.5</v>
      </c>
      <c r="F751" s="4">
        <v>10.4276629984435</v>
      </c>
      <c r="G751" s="4">
        <v>-75.538719376697202</v>
      </c>
      <c r="H751" s="9">
        <f t="shared" si="33"/>
        <v>0.95523809523809522</v>
      </c>
      <c r="I751" s="4" t="str">
        <f t="shared" si="34"/>
        <v>Critico &gt;95%</v>
      </c>
      <c r="J751" s="1" t="s">
        <v>13</v>
      </c>
      <c r="K751" s="1" t="str">
        <f t="shared" si="35"/>
        <v>Sin riesgo</v>
      </c>
    </row>
    <row r="752" spans="1:11">
      <c r="A752" s="1" t="s">
        <v>264</v>
      </c>
      <c r="B752" s="6" t="s">
        <v>12</v>
      </c>
      <c r="C752" s="3">
        <v>13.5</v>
      </c>
      <c r="D752" s="3">
        <v>22.41</v>
      </c>
      <c r="E752" s="3">
        <v>18</v>
      </c>
      <c r="F752" s="4">
        <v>10.3359119563489</v>
      </c>
      <c r="G752" s="4">
        <v>-75.505825260988999</v>
      </c>
      <c r="H752" s="9">
        <f t="shared" si="33"/>
        <v>1.2450000000000001</v>
      </c>
      <c r="I752" s="4" t="str">
        <f t="shared" si="34"/>
        <v>Altamente critico &gt;100%</v>
      </c>
      <c r="J752" s="1" t="s">
        <v>13</v>
      </c>
      <c r="K752" s="1" t="str">
        <f t="shared" si="35"/>
        <v>Sin riesgo</v>
      </c>
    </row>
    <row r="753" spans="1:11">
      <c r="A753" s="1" t="s">
        <v>264</v>
      </c>
      <c r="B753" s="6" t="s">
        <v>14</v>
      </c>
      <c r="C753" s="3">
        <v>13.65</v>
      </c>
      <c r="D753" s="3">
        <v>22.77</v>
      </c>
      <c r="E753" s="3">
        <v>18</v>
      </c>
      <c r="F753" s="4">
        <v>10.3359119563489</v>
      </c>
      <c r="G753" s="4">
        <v>-75.505825260988999</v>
      </c>
      <c r="H753" s="9">
        <f t="shared" si="33"/>
        <v>1.2649999999999999</v>
      </c>
      <c r="I753" s="4" t="str">
        <f t="shared" si="34"/>
        <v>Altamente critico &gt;100%</v>
      </c>
      <c r="J753" s="1" t="s">
        <v>13</v>
      </c>
      <c r="K753" s="1" t="str">
        <f t="shared" si="35"/>
        <v>Sin riesgo</v>
      </c>
    </row>
    <row r="754" spans="1:11">
      <c r="A754" s="1" t="s">
        <v>264</v>
      </c>
      <c r="B754" s="6" t="s">
        <v>15</v>
      </c>
      <c r="C754" s="3">
        <v>13.65</v>
      </c>
      <c r="D754" s="3">
        <v>22.77</v>
      </c>
      <c r="E754" s="3">
        <v>18</v>
      </c>
      <c r="F754" s="4">
        <v>10.3359119563489</v>
      </c>
      <c r="G754" s="4">
        <v>-75.505825260988999</v>
      </c>
      <c r="H754" s="9">
        <f t="shared" si="33"/>
        <v>1.2649999999999999</v>
      </c>
      <c r="I754" s="4" t="str">
        <f t="shared" si="34"/>
        <v>Altamente critico &gt;100%</v>
      </c>
      <c r="J754" s="1" t="s">
        <v>13</v>
      </c>
      <c r="K754" s="1" t="str">
        <f t="shared" si="35"/>
        <v>Sin riesgo</v>
      </c>
    </row>
    <row r="755" spans="1:11">
      <c r="A755" s="1" t="s">
        <v>265</v>
      </c>
      <c r="B755" s="6" t="s">
        <v>12</v>
      </c>
      <c r="C755" s="3">
        <v>4.0599999999999996</v>
      </c>
      <c r="D755" s="3">
        <v>3.52</v>
      </c>
      <c r="E755" s="3">
        <v>31.5</v>
      </c>
      <c r="F755" s="4">
        <v>9.7194500000000001</v>
      </c>
      <c r="G755" s="4">
        <v>-75.113183000000006</v>
      </c>
      <c r="H755" s="9">
        <f t="shared" si="33"/>
        <v>0.12888888888888889</v>
      </c>
      <c r="I755" s="4" t="str">
        <f t="shared" si="34"/>
        <v>Sin riesgo &lt;85%</v>
      </c>
      <c r="J755" s="1" t="s">
        <v>13</v>
      </c>
      <c r="K755" s="1" t="str">
        <f t="shared" si="35"/>
        <v>Sin riesgo</v>
      </c>
    </row>
    <row r="756" spans="1:11">
      <c r="A756" s="1" t="s">
        <v>265</v>
      </c>
      <c r="B756" s="6" t="s">
        <v>14</v>
      </c>
      <c r="C756" s="3">
        <v>4.97</v>
      </c>
      <c r="D756" s="3">
        <v>4.76</v>
      </c>
      <c r="E756" s="3">
        <v>31.5</v>
      </c>
      <c r="F756" s="4">
        <v>9.7194500000000001</v>
      </c>
      <c r="G756" s="4">
        <v>-75.113183000000006</v>
      </c>
      <c r="H756" s="9">
        <f t="shared" si="33"/>
        <v>0.15777777777777777</v>
      </c>
      <c r="I756" s="4" t="str">
        <f t="shared" si="34"/>
        <v>Sin riesgo &lt;85%</v>
      </c>
      <c r="J756" s="1" t="s">
        <v>13</v>
      </c>
      <c r="K756" s="1" t="str">
        <f t="shared" si="35"/>
        <v>Sin riesgo</v>
      </c>
    </row>
    <row r="757" spans="1:11">
      <c r="A757" s="1" t="s">
        <v>265</v>
      </c>
      <c r="B757" s="6" t="s">
        <v>15</v>
      </c>
      <c r="C757" s="3">
        <v>4.97</v>
      </c>
      <c r="D757" s="3">
        <v>4.76</v>
      </c>
      <c r="E757" s="3">
        <v>31.5</v>
      </c>
      <c r="F757" s="4">
        <v>9.7194500000000001</v>
      </c>
      <c r="G757" s="4">
        <v>-75.113183000000006</v>
      </c>
      <c r="H757" s="9">
        <f t="shared" si="33"/>
        <v>0.15777777777777777</v>
      </c>
      <c r="I757" s="4" t="str">
        <f t="shared" si="34"/>
        <v>Sin riesgo &lt;85%</v>
      </c>
      <c r="J757" s="1" t="s">
        <v>13</v>
      </c>
      <c r="K757" s="1" t="str">
        <f t="shared" si="35"/>
        <v>Sin riesgo</v>
      </c>
    </row>
    <row r="758" spans="1:11">
      <c r="A758" s="1" t="s">
        <v>266</v>
      </c>
      <c r="B758" s="6" t="s">
        <v>12</v>
      </c>
      <c r="C758" s="3">
        <v>5.94</v>
      </c>
      <c r="D758" s="3">
        <v>4.2300000000000004</v>
      </c>
      <c r="E758" s="3">
        <v>25</v>
      </c>
      <c r="F758" s="4">
        <v>9.7194500000000001</v>
      </c>
      <c r="G758" s="4">
        <v>-75.113183000000006</v>
      </c>
      <c r="H758" s="9">
        <f t="shared" si="33"/>
        <v>0.23760000000000001</v>
      </c>
      <c r="I758" s="4" t="str">
        <f t="shared" si="34"/>
        <v>Sin riesgo &lt;85%</v>
      </c>
      <c r="J758" s="1" t="s">
        <v>13</v>
      </c>
      <c r="K758" s="1" t="str">
        <f t="shared" si="35"/>
        <v>Sin riesgo</v>
      </c>
    </row>
    <row r="759" spans="1:11">
      <c r="A759" s="1" t="s">
        <v>266</v>
      </c>
      <c r="B759" s="6" t="s">
        <v>14</v>
      </c>
      <c r="C759" s="3">
        <v>9.35</v>
      </c>
      <c r="D759" s="3">
        <v>7.03</v>
      </c>
      <c r="E759" s="3">
        <v>25</v>
      </c>
      <c r="F759" s="4">
        <v>9.7194500000000001</v>
      </c>
      <c r="G759" s="4">
        <v>-75.113183000000006</v>
      </c>
      <c r="H759" s="9">
        <f t="shared" si="33"/>
        <v>0.374</v>
      </c>
      <c r="I759" s="4" t="str">
        <f t="shared" si="34"/>
        <v>Sin riesgo &lt;85%</v>
      </c>
      <c r="J759" s="1" t="s">
        <v>13</v>
      </c>
      <c r="K759" s="1" t="str">
        <f t="shared" si="35"/>
        <v>Sin riesgo</v>
      </c>
    </row>
    <row r="760" spans="1:11">
      <c r="A760" s="1" t="s">
        <v>266</v>
      </c>
      <c r="B760" s="6" t="s">
        <v>15</v>
      </c>
      <c r="C760" s="3">
        <v>9.35</v>
      </c>
      <c r="D760" s="3">
        <v>7.02</v>
      </c>
      <c r="E760" s="3">
        <v>25</v>
      </c>
      <c r="F760" s="4">
        <v>9.7194500000000001</v>
      </c>
      <c r="G760" s="4">
        <v>-75.113183000000006</v>
      </c>
      <c r="H760" s="9">
        <f t="shared" si="33"/>
        <v>0.374</v>
      </c>
      <c r="I760" s="4" t="str">
        <f t="shared" si="34"/>
        <v>Sin riesgo &lt;85%</v>
      </c>
      <c r="J760" s="1" t="s">
        <v>13</v>
      </c>
      <c r="K760" s="1" t="str">
        <f t="shared" si="35"/>
        <v>Sin riesgo</v>
      </c>
    </row>
    <row r="761" spans="1:11">
      <c r="A761" s="1" t="s">
        <v>267</v>
      </c>
      <c r="B761" s="6" t="s">
        <v>12</v>
      </c>
      <c r="C761" s="3">
        <v>1.92</v>
      </c>
      <c r="D761" s="3">
        <v>3.38</v>
      </c>
      <c r="E761" s="3">
        <v>31</v>
      </c>
      <c r="F761" s="4">
        <v>10.1815597597517</v>
      </c>
      <c r="G761" s="4">
        <v>-75.2713905306219</v>
      </c>
      <c r="H761" s="9">
        <f t="shared" si="33"/>
        <v>0.10903225806451612</v>
      </c>
      <c r="I761" s="4" t="str">
        <f t="shared" si="34"/>
        <v>Sin riesgo &lt;85%</v>
      </c>
      <c r="J761" s="1" t="s">
        <v>13</v>
      </c>
      <c r="K761" s="1" t="str">
        <f t="shared" si="35"/>
        <v>Sin riesgo</v>
      </c>
    </row>
    <row r="762" spans="1:11">
      <c r="A762" s="1" t="s">
        <v>267</v>
      </c>
      <c r="B762" s="6" t="s">
        <v>14</v>
      </c>
      <c r="C762" s="3">
        <v>3.82</v>
      </c>
      <c r="D762" s="3">
        <v>6.41</v>
      </c>
      <c r="E762" s="3">
        <v>31</v>
      </c>
      <c r="F762" s="4">
        <v>10.1815597597517</v>
      </c>
      <c r="G762" s="4">
        <v>-75.2713905306219</v>
      </c>
      <c r="H762" s="9">
        <f t="shared" si="33"/>
        <v>0.20677419354838711</v>
      </c>
      <c r="I762" s="4" t="str">
        <f t="shared" si="34"/>
        <v>Sin riesgo &lt;85%</v>
      </c>
      <c r="J762" s="1" t="s">
        <v>13</v>
      </c>
      <c r="K762" s="1" t="str">
        <f t="shared" si="35"/>
        <v>Sin riesgo</v>
      </c>
    </row>
    <row r="763" spans="1:11">
      <c r="A763" s="1" t="s">
        <v>267</v>
      </c>
      <c r="B763" s="6" t="s">
        <v>15</v>
      </c>
      <c r="C763" s="3">
        <v>3.82</v>
      </c>
      <c r="D763" s="3">
        <v>6.41</v>
      </c>
      <c r="E763" s="3">
        <v>31</v>
      </c>
      <c r="F763" s="4">
        <v>10.1815597597517</v>
      </c>
      <c r="G763" s="4">
        <v>-75.2713905306219</v>
      </c>
      <c r="H763" s="9">
        <f t="shared" si="33"/>
        <v>0.20677419354838711</v>
      </c>
      <c r="I763" s="4" t="str">
        <f t="shared" si="34"/>
        <v>Sin riesgo &lt;85%</v>
      </c>
      <c r="J763" s="1" t="s">
        <v>13</v>
      </c>
      <c r="K763" s="1" t="str">
        <f t="shared" si="35"/>
        <v>Sin riesgo</v>
      </c>
    </row>
    <row r="764" spans="1:11">
      <c r="A764" s="1" t="s">
        <v>268</v>
      </c>
      <c r="B764" s="6" t="s">
        <v>12</v>
      </c>
      <c r="C764" s="3">
        <v>12.16</v>
      </c>
      <c r="D764" s="3">
        <v>32.75</v>
      </c>
      <c r="E764" s="3">
        <v>40</v>
      </c>
      <c r="F764" s="4">
        <v>10.402694587018299</v>
      </c>
      <c r="G764" s="4">
        <v>-75.554714230650703</v>
      </c>
      <c r="H764" s="9">
        <f t="shared" si="33"/>
        <v>0.81874999999999998</v>
      </c>
      <c r="I764" s="4" t="str">
        <f t="shared" si="34"/>
        <v>Sin riesgo &lt;85%</v>
      </c>
      <c r="J764" s="1" t="s">
        <v>13</v>
      </c>
      <c r="K764" s="1" t="str">
        <f t="shared" si="35"/>
        <v>Sin riesgo</v>
      </c>
    </row>
    <row r="765" spans="1:11">
      <c r="A765" s="1" t="s">
        <v>268</v>
      </c>
      <c r="B765" s="6" t="s">
        <v>14</v>
      </c>
      <c r="C765" s="3">
        <v>12.22</v>
      </c>
      <c r="D765" s="3">
        <v>32.97</v>
      </c>
      <c r="E765" s="3">
        <v>40</v>
      </c>
      <c r="F765" s="4">
        <v>10.402694587018299</v>
      </c>
      <c r="G765" s="4">
        <v>-75.554714230650703</v>
      </c>
      <c r="H765" s="9">
        <f t="shared" si="33"/>
        <v>0.82424999999999993</v>
      </c>
      <c r="I765" s="4" t="str">
        <f t="shared" si="34"/>
        <v>Sin riesgo &lt;85%</v>
      </c>
      <c r="J765" s="1" t="s">
        <v>13</v>
      </c>
      <c r="K765" s="1" t="str">
        <f t="shared" si="35"/>
        <v>Sin riesgo</v>
      </c>
    </row>
    <row r="766" spans="1:11">
      <c r="A766" s="1" t="s">
        <v>268</v>
      </c>
      <c r="B766" s="6" t="s">
        <v>15</v>
      </c>
      <c r="C766" s="3">
        <v>12.22</v>
      </c>
      <c r="D766" s="3">
        <v>32.97</v>
      </c>
      <c r="E766" s="3">
        <v>40</v>
      </c>
      <c r="F766" s="4">
        <v>10.402694587018299</v>
      </c>
      <c r="G766" s="4">
        <v>-75.554714230650703</v>
      </c>
      <c r="H766" s="9">
        <f t="shared" si="33"/>
        <v>0.82424999999999993</v>
      </c>
      <c r="I766" s="4" t="str">
        <f t="shared" si="34"/>
        <v>Sin riesgo &lt;85%</v>
      </c>
      <c r="J766" s="1" t="s">
        <v>13</v>
      </c>
      <c r="K766" s="1" t="str">
        <f t="shared" si="35"/>
        <v>Sin riesgo</v>
      </c>
    </row>
    <row r="767" spans="1:11">
      <c r="A767" s="1" t="s">
        <v>269</v>
      </c>
      <c r="B767" s="6" t="s">
        <v>12</v>
      </c>
      <c r="C767" s="3">
        <v>8.66</v>
      </c>
      <c r="D767" s="3">
        <v>15.16</v>
      </c>
      <c r="E767" s="3">
        <v>31.5</v>
      </c>
      <c r="F767" s="4">
        <v>10.3205195559533</v>
      </c>
      <c r="G767" s="4">
        <v>-75.479266358719997</v>
      </c>
      <c r="H767" s="9">
        <f t="shared" si="33"/>
        <v>0.48126984126984129</v>
      </c>
      <c r="I767" s="4" t="str">
        <f t="shared" si="34"/>
        <v>Sin riesgo &lt;85%</v>
      </c>
      <c r="J767" s="1" t="s">
        <v>13</v>
      </c>
      <c r="K767" s="1" t="str">
        <f t="shared" si="35"/>
        <v>Sin riesgo</v>
      </c>
    </row>
    <row r="768" spans="1:11">
      <c r="A768" s="1" t="s">
        <v>269</v>
      </c>
      <c r="B768" s="6" t="s">
        <v>14</v>
      </c>
      <c r="C768" s="3">
        <v>8.7200000000000006</v>
      </c>
      <c r="D768" s="3">
        <v>15.32</v>
      </c>
      <c r="E768" s="3">
        <v>31.5</v>
      </c>
      <c r="F768" s="4">
        <v>10.3205195559533</v>
      </c>
      <c r="G768" s="4">
        <v>-75.479266358719997</v>
      </c>
      <c r="H768" s="9">
        <f t="shared" si="33"/>
        <v>0.48634920634920636</v>
      </c>
      <c r="I768" s="4" t="str">
        <f t="shared" si="34"/>
        <v>Sin riesgo &lt;85%</v>
      </c>
      <c r="J768" s="1" t="s">
        <v>13</v>
      </c>
      <c r="K768" s="1" t="str">
        <f t="shared" si="35"/>
        <v>Sin riesgo</v>
      </c>
    </row>
    <row r="769" spans="1:11">
      <c r="A769" s="1" t="s">
        <v>269</v>
      </c>
      <c r="B769" s="6" t="s">
        <v>15</v>
      </c>
      <c r="C769" s="3">
        <v>8.7200000000000006</v>
      </c>
      <c r="D769" s="3">
        <v>15.32</v>
      </c>
      <c r="E769" s="3">
        <v>31.5</v>
      </c>
      <c r="F769" s="4">
        <v>10.3205195559533</v>
      </c>
      <c r="G769" s="4">
        <v>-75.479266358719997</v>
      </c>
      <c r="H769" s="9">
        <f t="shared" si="33"/>
        <v>0.48634920634920636</v>
      </c>
      <c r="I769" s="4" t="str">
        <f t="shared" si="34"/>
        <v>Sin riesgo &lt;85%</v>
      </c>
      <c r="J769" s="1" t="s">
        <v>13</v>
      </c>
      <c r="K769" s="1" t="str">
        <f t="shared" si="35"/>
        <v>Sin riesgo</v>
      </c>
    </row>
    <row r="770" spans="1:11">
      <c r="A770" s="1" t="s">
        <v>270</v>
      </c>
      <c r="B770" s="6" t="s">
        <v>12</v>
      </c>
      <c r="C770" s="3">
        <v>6.74</v>
      </c>
      <c r="D770" s="3">
        <v>8.39</v>
      </c>
      <c r="E770" s="3">
        <v>40</v>
      </c>
      <c r="F770" s="4">
        <v>10.5117168716635</v>
      </c>
      <c r="G770" s="4">
        <v>-75.453128379938505</v>
      </c>
      <c r="H770" s="9">
        <f t="shared" si="33"/>
        <v>0.20975000000000002</v>
      </c>
      <c r="I770" s="4" t="str">
        <f t="shared" si="34"/>
        <v>Sin riesgo &lt;85%</v>
      </c>
      <c r="J770" s="1" t="s">
        <v>13</v>
      </c>
      <c r="K770" s="1" t="str">
        <f t="shared" si="35"/>
        <v>Sin riesgo</v>
      </c>
    </row>
    <row r="771" spans="1:11">
      <c r="A771" s="1" t="s">
        <v>270</v>
      </c>
      <c r="B771" s="6" t="s">
        <v>14</v>
      </c>
      <c r="C771" s="3">
        <v>6.74</v>
      </c>
      <c r="D771" s="3">
        <v>8.39</v>
      </c>
      <c r="E771" s="3">
        <v>40</v>
      </c>
      <c r="F771" s="4">
        <v>10.5117168716635</v>
      </c>
      <c r="G771" s="4">
        <v>-75.453128379938505</v>
      </c>
      <c r="H771" s="9">
        <f t="shared" ref="H771:H834" si="36">IF(C771&gt;D771,C771/E771,D771/E771)</f>
        <v>0.20975000000000002</v>
      </c>
      <c r="I771" s="4" t="str">
        <f t="shared" ref="I771:I834" si="37">IF(H771&gt;100%,"Altamente critico &gt;100%",IF(H771&gt;95%,"Critico &gt;95%",IF(H771&gt;85%,"En riesgo &gt;85%","Sin riesgo &lt;85%")))</f>
        <v>Sin riesgo &lt;85%</v>
      </c>
      <c r="J771" s="1" t="s">
        <v>13</v>
      </c>
      <c r="K771" s="1" t="str">
        <f t="shared" ref="K771:K834" si="38">IF(J771="&gt;5","Sin riesgo",IF(J771&gt;1.5,"Estado de alerta","Estado critico"))</f>
        <v>Sin riesgo</v>
      </c>
    </row>
    <row r="772" spans="1:11">
      <c r="A772" s="1" t="s">
        <v>270</v>
      </c>
      <c r="B772" s="6" t="s">
        <v>15</v>
      </c>
      <c r="C772" s="3">
        <v>6.74</v>
      </c>
      <c r="D772" s="3">
        <v>8.39</v>
      </c>
      <c r="E772" s="3">
        <v>40</v>
      </c>
      <c r="F772" s="4">
        <v>10.5117168716635</v>
      </c>
      <c r="G772" s="4">
        <v>-75.453128379938505</v>
      </c>
      <c r="H772" s="9">
        <f t="shared" si="36"/>
        <v>0.20975000000000002</v>
      </c>
      <c r="I772" s="4" t="str">
        <f t="shared" si="37"/>
        <v>Sin riesgo &lt;85%</v>
      </c>
      <c r="J772" s="1" t="s">
        <v>13</v>
      </c>
      <c r="K772" s="1" t="str">
        <f t="shared" si="38"/>
        <v>Sin riesgo</v>
      </c>
    </row>
    <row r="773" spans="1:11">
      <c r="A773" s="1" t="s">
        <v>271</v>
      </c>
      <c r="B773" s="6" t="s">
        <v>12</v>
      </c>
      <c r="C773" s="3">
        <v>15.56</v>
      </c>
      <c r="D773" s="3">
        <v>23.42</v>
      </c>
      <c r="E773" s="3">
        <v>25</v>
      </c>
      <c r="F773" s="4">
        <v>10.331576142110899</v>
      </c>
      <c r="G773" s="4">
        <v>-75.481399252598095</v>
      </c>
      <c r="H773" s="9">
        <f t="shared" si="36"/>
        <v>0.93680000000000008</v>
      </c>
      <c r="I773" s="4" t="str">
        <f t="shared" si="37"/>
        <v>En riesgo &gt;85%</v>
      </c>
      <c r="J773" s="1" t="s">
        <v>13</v>
      </c>
      <c r="K773" s="1" t="str">
        <f t="shared" si="38"/>
        <v>Sin riesgo</v>
      </c>
    </row>
    <row r="774" spans="1:11">
      <c r="A774" s="1" t="s">
        <v>271</v>
      </c>
      <c r="B774" s="6" t="s">
        <v>14</v>
      </c>
      <c r="C774" s="3">
        <v>15.69</v>
      </c>
      <c r="D774" s="3">
        <v>23.7</v>
      </c>
      <c r="E774" s="3">
        <v>25</v>
      </c>
      <c r="F774" s="4">
        <v>10.331576142110899</v>
      </c>
      <c r="G774" s="4">
        <v>-75.481399252598095</v>
      </c>
      <c r="H774" s="9">
        <f t="shared" si="36"/>
        <v>0.94799999999999995</v>
      </c>
      <c r="I774" s="4" t="str">
        <f t="shared" si="37"/>
        <v>En riesgo &gt;85%</v>
      </c>
      <c r="J774" s="1" t="s">
        <v>13</v>
      </c>
      <c r="K774" s="1" t="str">
        <f t="shared" si="38"/>
        <v>Sin riesgo</v>
      </c>
    </row>
    <row r="775" spans="1:11">
      <c r="A775" s="1" t="s">
        <v>271</v>
      </c>
      <c r="B775" s="6" t="s">
        <v>15</v>
      </c>
      <c r="C775" s="3">
        <v>15.69</v>
      </c>
      <c r="D775" s="3">
        <v>23.7</v>
      </c>
      <c r="E775" s="3">
        <v>25</v>
      </c>
      <c r="F775" s="4">
        <v>10.331576142110899</v>
      </c>
      <c r="G775" s="4">
        <v>-75.481399252598095</v>
      </c>
      <c r="H775" s="9">
        <f t="shared" si="36"/>
        <v>0.94799999999999995</v>
      </c>
      <c r="I775" s="4" t="str">
        <f t="shared" si="37"/>
        <v>En riesgo &gt;85%</v>
      </c>
      <c r="J775" s="1" t="s">
        <v>13</v>
      </c>
      <c r="K775" s="1" t="str">
        <f t="shared" si="38"/>
        <v>Sin riesgo</v>
      </c>
    </row>
    <row r="776" spans="1:11">
      <c r="A776" s="1" t="s">
        <v>272</v>
      </c>
      <c r="B776" s="6" t="s">
        <v>12</v>
      </c>
      <c r="C776" s="3">
        <v>13.71</v>
      </c>
      <c r="D776" s="3">
        <v>11.44</v>
      </c>
      <c r="E776" s="3">
        <v>40</v>
      </c>
      <c r="F776" s="4">
        <v>10.324166999999999</v>
      </c>
      <c r="G776" s="4">
        <v>-75.497399999999999</v>
      </c>
      <c r="H776" s="9">
        <f t="shared" si="36"/>
        <v>0.34275</v>
      </c>
      <c r="I776" s="4" t="str">
        <f t="shared" si="37"/>
        <v>Sin riesgo &lt;85%</v>
      </c>
      <c r="J776" s="1">
        <v>1.08</v>
      </c>
      <c r="K776" s="1" t="str">
        <f t="shared" si="38"/>
        <v>Estado critico</v>
      </c>
    </row>
    <row r="777" spans="1:11">
      <c r="A777" s="1" t="s">
        <v>272</v>
      </c>
      <c r="B777" s="6" t="s">
        <v>14</v>
      </c>
      <c r="C777" s="3">
        <v>21.05</v>
      </c>
      <c r="D777" s="3">
        <v>18.59</v>
      </c>
      <c r="E777" s="3">
        <v>40</v>
      </c>
      <c r="F777" s="4">
        <v>10.324166999999999</v>
      </c>
      <c r="G777" s="4">
        <v>-75.497399999999999</v>
      </c>
      <c r="H777" s="9">
        <f t="shared" si="36"/>
        <v>0.52625</v>
      </c>
      <c r="I777" s="4" t="str">
        <f t="shared" si="37"/>
        <v>Sin riesgo &lt;85%</v>
      </c>
      <c r="J777" s="1">
        <v>1.08</v>
      </c>
      <c r="K777" s="1" t="str">
        <f t="shared" si="38"/>
        <v>Estado critico</v>
      </c>
    </row>
    <row r="778" spans="1:11">
      <c r="A778" s="1" t="s">
        <v>272</v>
      </c>
      <c r="B778" s="6" t="s">
        <v>15</v>
      </c>
      <c r="C778" s="3">
        <v>21.05</v>
      </c>
      <c r="D778" s="3">
        <v>18.59</v>
      </c>
      <c r="E778" s="3">
        <v>40</v>
      </c>
      <c r="F778" s="4">
        <v>10.324166999999999</v>
      </c>
      <c r="G778" s="4">
        <v>-75.497399999999999</v>
      </c>
      <c r="H778" s="9">
        <f t="shared" si="36"/>
        <v>0.52625</v>
      </c>
      <c r="I778" s="4" t="str">
        <f t="shared" si="37"/>
        <v>Sin riesgo &lt;85%</v>
      </c>
      <c r="J778" s="1">
        <v>1.08</v>
      </c>
      <c r="K778" s="1" t="str">
        <f t="shared" si="38"/>
        <v>Estado critico</v>
      </c>
    </row>
    <row r="779" spans="1:11">
      <c r="A779" s="1" t="s">
        <v>273</v>
      </c>
      <c r="B779" s="6" t="s">
        <v>12</v>
      </c>
      <c r="C779" s="3">
        <v>0</v>
      </c>
      <c r="D779" s="3">
        <v>0</v>
      </c>
      <c r="E779" s="3">
        <v>40</v>
      </c>
      <c r="F779" s="4">
        <v>10.286901226496701</v>
      </c>
      <c r="G779" s="4">
        <v>-75.513180944308004</v>
      </c>
      <c r="H779" s="9">
        <f t="shared" si="36"/>
        <v>0</v>
      </c>
      <c r="I779" s="4" t="str">
        <f t="shared" si="37"/>
        <v>Sin riesgo &lt;85%</v>
      </c>
      <c r="J779" s="1" t="s">
        <v>13</v>
      </c>
      <c r="K779" s="1" t="str">
        <f t="shared" si="38"/>
        <v>Sin riesgo</v>
      </c>
    </row>
    <row r="780" spans="1:11">
      <c r="A780" s="1" t="s">
        <v>273</v>
      </c>
      <c r="B780" s="6" t="s">
        <v>14</v>
      </c>
      <c r="C780" s="3">
        <v>25.27</v>
      </c>
      <c r="D780" s="3">
        <v>19.690000000000001</v>
      </c>
      <c r="E780" s="3">
        <v>40</v>
      </c>
      <c r="F780" s="4">
        <v>10.286901226496701</v>
      </c>
      <c r="G780" s="4">
        <v>-75.513180944308004</v>
      </c>
      <c r="H780" s="9">
        <f t="shared" si="36"/>
        <v>0.63175000000000003</v>
      </c>
      <c r="I780" s="4" t="str">
        <f t="shared" si="37"/>
        <v>Sin riesgo &lt;85%</v>
      </c>
      <c r="J780" s="1" t="s">
        <v>13</v>
      </c>
      <c r="K780" s="1" t="str">
        <f t="shared" si="38"/>
        <v>Sin riesgo</v>
      </c>
    </row>
    <row r="781" spans="1:11">
      <c r="A781" s="1" t="s">
        <v>273</v>
      </c>
      <c r="B781" s="6" t="s">
        <v>15</v>
      </c>
      <c r="C781" s="3">
        <v>25.27</v>
      </c>
      <c r="D781" s="3">
        <v>19.690000000000001</v>
      </c>
      <c r="E781" s="3">
        <v>40</v>
      </c>
      <c r="F781" s="4">
        <v>10.286901226496701</v>
      </c>
      <c r="G781" s="4">
        <v>-75.513180944308004</v>
      </c>
      <c r="H781" s="9">
        <f t="shared" si="36"/>
        <v>0.63175000000000003</v>
      </c>
      <c r="I781" s="4" t="str">
        <f t="shared" si="37"/>
        <v>Sin riesgo &lt;85%</v>
      </c>
      <c r="J781" s="1" t="s">
        <v>13</v>
      </c>
      <c r="K781" s="1" t="str">
        <f t="shared" si="38"/>
        <v>Sin riesgo</v>
      </c>
    </row>
    <row r="782" spans="1:11">
      <c r="A782" s="1" t="s">
        <v>274</v>
      </c>
      <c r="B782" s="6" t="s">
        <v>12</v>
      </c>
      <c r="C782" s="3">
        <v>0</v>
      </c>
      <c r="D782" s="3">
        <v>0</v>
      </c>
      <c r="E782" s="3">
        <v>40</v>
      </c>
      <c r="F782" s="4">
        <v>10.286901226496701</v>
      </c>
      <c r="G782" s="4">
        <v>-75.513180944308004</v>
      </c>
      <c r="H782" s="9">
        <f t="shared" si="36"/>
        <v>0</v>
      </c>
      <c r="I782" s="4" t="str">
        <f t="shared" si="37"/>
        <v>Sin riesgo &lt;85%</v>
      </c>
      <c r="J782" s="1" t="s">
        <v>13</v>
      </c>
      <c r="K782" s="1" t="str">
        <f t="shared" si="38"/>
        <v>Sin riesgo</v>
      </c>
    </row>
    <row r="783" spans="1:11">
      <c r="A783" s="1" t="s">
        <v>274</v>
      </c>
      <c r="B783" s="6" t="s">
        <v>14</v>
      </c>
      <c r="C783" s="3">
        <v>17.53</v>
      </c>
      <c r="D783" s="3">
        <v>16.48</v>
      </c>
      <c r="E783" s="3">
        <v>40</v>
      </c>
      <c r="F783" s="4">
        <v>10.286901226496701</v>
      </c>
      <c r="G783" s="4">
        <v>-75.513180944308004</v>
      </c>
      <c r="H783" s="9">
        <f t="shared" si="36"/>
        <v>0.43825000000000003</v>
      </c>
      <c r="I783" s="4" t="str">
        <f t="shared" si="37"/>
        <v>Sin riesgo &lt;85%</v>
      </c>
      <c r="J783" s="1" t="s">
        <v>13</v>
      </c>
      <c r="K783" s="1" t="str">
        <f t="shared" si="38"/>
        <v>Sin riesgo</v>
      </c>
    </row>
    <row r="784" spans="1:11">
      <c r="A784" s="1" t="s">
        <v>274</v>
      </c>
      <c r="B784" s="6" t="s">
        <v>15</v>
      </c>
      <c r="C784" s="3">
        <v>17.53</v>
      </c>
      <c r="D784" s="3">
        <v>16.48</v>
      </c>
      <c r="E784" s="3">
        <v>40</v>
      </c>
      <c r="F784" s="4">
        <v>10.286901226496701</v>
      </c>
      <c r="G784" s="4">
        <v>-75.513180944308004</v>
      </c>
      <c r="H784" s="9">
        <f t="shared" si="36"/>
        <v>0.43825000000000003</v>
      </c>
      <c r="I784" s="4" t="str">
        <f t="shared" si="37"/>
        <v>Sin riesgo &lt;85%</v>
      </c>
      <c r="J784" s="1" t="s">
        <v>13</v>
      </c>
      <c r="K784" s="1" t="str">
        <f t="shared" si="38"/>
        <v>Sin riesgo</v>
      </c>
    </row>
    <row r="785" spans="1:11">
      <c r="A785" s="1" t="s">
        <v>275</v>
      </c>
      <c r="B785" s="6" t="s">
        <v>12</v>
      </c>
      <c r="C785" s="3">
        <v>28.13</v>
      </c>
      <c r="D785" s="3">
        <v>32.340000000000003</v>
      </c>
      <c r="E785" s="3">
        <v>40</v>
      </c>
      <c r="F785" s="4">
        <v>10.3534966345599</v>
      </c>
      <c r="G785" s="4">
        <v>-75.494204753538597</v>
      </c>
      <c r="H785" s="9">
        <f t="shared" si="36"/>
        <v>0.80850000000000011</v>
      </c>
      <c r="I785" s="4" t="str">
        <f t="shared" si="37"/>
        <v>Sin riesgo &lt;85%</v>
      </c>
      <c r="J785" s="1" t="s">
        <v>13</v>
      </c>
      <c r="K785" s="1" t="str">
        <f t="shared" si="38"/>
        <v>Sin riesgo</v>
      </c>
    </row>
    <row r="786" spans="1:11">
      <c r="A786" s="1" t="s">
        <v>275</v>
      </c>
      <c r="B786" s="6" t="s">
        <v>14</v>
      </c>
      <c r="C786" s="3">
        <v>28.37</v>
      </c>
      <c r="D786" s="3">
        <v>32.71</v>
      </c>
      <c r="E786" s="3">
        <v>40</v>
      </c>
      <c r="F786" s="4">
        <v>10.3534966345599</v>
      </c>
      <c r="G786" s="4">
        <v>-75.494204753538597</v>
      </c>
      <c r="H786" s="9">
        <f t="shared" si="36"/>
        <v>0.81774999999999998</v>
      </c>
      <c r="I786" s="4" t="str">
        <f t="shared" si="37"/>
        <v>Sin riesgo &lt;85%</v>
      </c>
      <c r="J786" s="1" t="s">
        <v>13</v>
      </c>
      <c r="K786" s="1" t="str">
        <f t="shared" si="38"/>
        <v>Sin riesgo</v>
      </c>
    </row>
    <row r="787" spans="1:11">
      <c r="A787" s="1" t="s">
        <v>275</v>
      </c>
      <c r="B787" s="6" t="s">
        <v>15</v>
      </c>
      <c r="C787" s="3">
        <v>28.37</v>
      </c>
      <c r="D787" s="3">
        <v>32.71</v>
      </c>
      <c r="E787" s="3">
        <v>40</v>
      </c>
      <c r="F787" s="4">
        <v>10.3534966345599</v>
      </c>
      <c r="G787" s="4">
        <v>-75.494204753538597</v>
      </c>
      <c r="H787" s="9">
        <f t="shared" si="36"/>
        <v>0.81774999999999998</v>
      </c>
      <c r="I787" s="4" t="str">
        <f t="shared" si="37"/>
        <v>Sin riesgo &lt;85%</v>
      </c>
      <c r="J787" s="1" t="s">
        <v>13</v>
      </c>
      <c r="K787" s="1" t="str">
        <f t="shared" si="38"/>
        <v>Sin riesgo</v>
      </c>
    </row>
    <row r="788" spans="1:11">
      <c r="A788" s="1" t="s">
        <v>276</v>
      </c>
      <c r="B788" s="6" t="s">
        <v>12</v>
      </c>
      <c r="C788" s="3">
        <v>3.26</v>
      </c>
      <c r="D788" s="3">
        <v>3.21</v>
      </c>
      <c r="E788" s="3">
        <v>31.5</v>
      </c>
      <c r="F788" s="4">
        <v>9.83264363010694</v>
      </c>
      <c r="G788" s="4">
        <v>-75.114312957642596</v>
      </c>
      <c r="H788" s="9">
        <f t="shared" si="36"/>
        <v>0.10349206349206348</v>
      </c>
      <c r="I788" s="4" t="str">
        <f t="shared" si="37"/>
        <v>Sin riesgo &lt;85%</v>
      </c>
      <c r="J788" s="1" t="s">
        <v>13</v>
      </c>
      <c r="K788" s="1" t="str">
        <f t="shared" si="38"/>
        <v>Sin riesgo</v>
      </c>
    </row>
    <row r="789" spans="1:11">
      <c r="A789" s="1" t="s">
        <v>276</v>
      </c>
      <c r="B789" s="6" t="s">
        <v>14</v>
      </c>
      <c r="C789" s="3">
        <v>6.38</v>
      </c>
      <c r="D789" s="3">
        <v>7.31</v>
      </c>
      <c r="E789" s="3">
        <v>31.5</v>
      </c>
      <c r="F789" s="4">
        <v>9.83264363010694</v>
      </c>
      <c r="G789" s="4">
        <v>-75.114312957642596</v>
      </c>
      <c r="H789" s="9">
        <f t="shared" si="36"/>
        <v>0.23206349206349206</v>
      </c>
      <c r="I789" s="4" t="str">
        <f t="shared" si="37"/>
        <v>Sin riesgo &lt;85%</v>
      </c>
      <c r="J789" s="1" t="s">
        <v>13</v>
      </c>
      <c r="K789" s="1" t="str">
        <f t="shared" si="38"/>
        <v>Sin riesgo</v>
      </c>
    </row>
    <row r="790" spans="1:11">
      <c r="A790" s="1" t="s">
        <v>276</v>
      </c>
      <c r="B790" s="6" t="s">
        <v>15</v>
      </c>
      <c r="C790" s="3">
        <v>6.38</v>
      </c>
      <c r="D790" s="3">
        <v>7.31</v>
      </c>
      <c r="E790" s="3">
        <v>31.5</v>
      </c>
      <c r="F790" s="4">
        <v>9.83264363010694</v>
      </c>
      <c r="G790" s="4">
        <v>-75.114312957642596</v>
      </c>
      <c r="H790" s="9">
        <f t="shared" si="36"/>
        <v>0.23206349206349206</v>
      </c>
      <c r="I790" s="4" t="str">
        <f t="shared" si="37"/>
        <v>Sin riesgo &lt;85%</v>
      </c>
      <c r="J790" s="1" t="s">
        <v>13</v>
      </c>
      <c r="K790" s="1" t="str">
        <f t="shared" si="38"/>
        <v>Sin riesgo</v>
      </c>
    </row>
    <row r="791" spans="1:11">
      <c r="A791" s="1" t="s">
        <v>277</v>
      </c>
      <c r="B791" s="6" t="s">
        <v>12</v>
      </c>
      <c r="C791" s="3">
        <v>6.42</v>
      </c>
      <c r="D791" s="3">
        <v>4.6500000000000004</v>
      </c>
      <c r="E791" s="3">
        <v>31.5</v>
      </c>
      <c r="F791" s="4">
        <v>10.377466999999999</v>
      </c>
      <c r="G791" s="4">
        <v>-75.463432999999995</v>
      </c>
      <c r="H791" s="9">
        <f t="shared" si="36"/>
        <v>0.2038095238095238</v>
      </c>
      <c r="I791" s="4" t="str">
        <f t="shared" si="37"/>
        <v>Sin riesgo &lt;85%</v>
      </c>
      <c r="J791" s="1" t="s">
        <v>13</v>
      </c>
      <c r="K791" s="1" t="str">
        <f t="shared" si="38"/>
        <v>Sin riesgo</v>
      </c>
    </row>
    <row r="792" spans="1:11">
      <c r="A792" s="1" t="s">
        <v>277</v>
      </c>
      <c r="B792" s="6" t="s">
        <v>14</v>
      </c>
      <c r="C792" s="3">
        <v>14.47</v>
      </c>
      <c r="D792" s="3">
        <v>11.48</v>
      </c>
      <c r="E792" s="3">
        <v>31.5</v>
      </c>
      <c r="F792" s="4">
        <v>10.377466999999999</v>
      </c>
      <c r="G792" s="4">
        <v>-75.463432999999995</v>
      </c>
      <c r="H792" s="9">
        <f t="shared" si="36"/>
        <v>0.45936507936507937</v>
      </c>
      <c r="I792" s="4" t="str">
        <f t="shared" si="37"/>
        <v>Sin riesgo &lt;85%</v>
      </c>
      <c r="J792" s="1" t="s">
        <v>13</v>
      </c>
      <c r="K792" s="1" t="str">
        <f t="shared" si="38"/>
        <v>Sin riesgo</v>
      </c>
    </row>
    <row r="793" spans="1:11">
      <c r="A793" s="1" t="s">
        <v>277</v>
      </c>
      <c r="B793" s="6" t="s">
        <v>15</v>
      </c>
      <c r="C793" s="3">
        <v>14.47</v>
      </c>
      <c r="D793" s="3">
        <v>11.48</v>
      </c>
      <c r="E793" s="3">
        <v>31.5</v>
      </c>
      <c r="F793" s="4">
        <v>10.377466999999999</v>
      </c>
      <c r="G793" s="4">
        <v>-75.463432999999995</v>
      </c>
      <c r="H793" s="9">
        <f t="shared" si="36"/>
        <v>0.45936507936507937</v>
      </c>
      <c r="I793" s="4" t="str">
        <f t="shared" si="37"/>
        <v>Sin riesgo &lt;85%</v>
      </c>
      <c r="J793" s="1" t="s">
        <v>13</v>
      </c>
      <c r="K793" s="1" t="str">
        <f t="shared" si="38"/>
        <v>Sin riesgo</v>
      </c>
    </row>
    <row r="794" spans="1:11">
      <c r="A794" s="1" t="s">
        <v>278</v>
      </c>
      <c r="B794" s="6" t="s">
        <v>12</v>
      </c>
      <c r="C794" s="3">
        <v>35.97</v>
      </c>
      <c r="D794" s="3">
        <v>32.33</v>
      </c>
      <c r="E794" s="3">
        <v>31.5</v>
      </c>
      <c r="F794" s="4">
        <v>10.377466999999999</v>
      </c>
      <c r="G794" s="4">
        <v>-75.463432999999995</v>
      </c>
      <c r="H794" s="9">
        <f t="shared" si="36"/>
        <v>1.141904761904762</v>
      </c>
      <c r="I794" s="4" t="str">
        <f t="shared" si="37"/>
        <v>Altamente critico &gt;100%</v>
      </c>
      <c r="J794" s="1" t="s">
        <v>13</v>
      </c>
      <c r="K794" s="1" t="str">
        <f t="shared" si="38"/>
        <v>Sin riesgo</v>
      </c>
    </row>
    <row r="795" spans="1:11">
      <c r="A795" s="1" t="s">
        <v>278</v>
      </c>
      <c r="B795" s="6" t="s">
        <v>14</v>
      </c>
      <c r="C795" s="3">
        <v>36.44</v>
      </c>
      <c r="D795" s="3">
        <v>32.729999999999997</v>
      </c>
      <c r="E795" s="3">
        <v>31.5</v>
      </c>
      <c r="F795" s="4">
        <v>10.377466999999999</v>
      </c>
      <c r="G795" s="4">
        <v>-75.463432999999995</v>
      </c>
      <c r="H795" s="9">
        <f t="shared" si="36"/>
        <v>1.1568253968253968</v>
      </c>
      <c r="I795" s="4" t="str">
        <f t="shared" si="37"/>
        <v>Altamente critico &gt;100%</v>
      </c>
      <c r="J795" s="1" t="s">
        <v>13</v>
      </c>
      <c r="K795" s="1" t="str">
        <f t="shared" si="38"/>
        <v>Sin riesgo</v>
      </c>
    </row>
    <row r="796" spans="1:11">
      <c r="A796" s="1" t="s">
        <v>278</v>
      </c>
      <c r="B796" s="6" t="s">
        <v>15</v>
      </c>
      <c r="C796" s="3">
        <v>36.43</v>
      </c>
      <c r="D796" s="3">
        <v>32.729999999999997</v>
      </c>
      <c r="E796" s="3">
        <v>31.5</v>
      </c>
      <c r="F796" s="4">
        <v>10.377466999999999</v>
      </c>
      <c r="G796" s="4">
        <v>-75.463432999999995</v>
      </c>
      <c r="H796" s="9">
        <f t="shared" si="36"/>
        <v>1.1565079365079365</v>
      </c>
      <c r="I796" s="4" t="str">
        <f t="shared" si="37"/>
        <v>Altamente critico &gt;100%</v>
      </c>
      <c r="J796" s="1" t="s">
        <v>13</v>
      </c>
      <c r="K796" s="1" t="str">
        <f t="shared" si="38"/>
        <v>Sin riesgo</v>
      </c>
    </row>
    <row r="797" spans="1:11">
      <c r="A797" s="1" t="s">
        <v>279</v>
      </c>
      <c r="B797" s="6" t="s">
        <v>12</v>
      </c>
      <c r="C797" s="3">
        <v>30.13</v>
      </c>
      <c r="D797" s="3">
        <v>37.659999999999997</v>
      </c>
      <c r="E797" s="3">
        <v>31.5</v>
      </c>
      <c r="F797" s="4">
        <v>10.377466999999999</v>
      </c>
      <c r="G797" s="4">
        <v>-75.463432999999995</v>
      </c>
      <c r="H797" s="9">
        <f t="shared" si="36"/>
        <v>1.1955555555555555</v>
      </c>
      <c r="I797" s="4" t="str">
        <f t="shared" si="37"/>
        <v>Altamente critico &gt;100%</v>
      </c>
      <c r="J797" s="1" t="s">
        <v>13</v>
      </c>
      <c r="K797" s="1" t="str">
        <f t="shared" si="38"/>
        <v>Sin riesgo</v>
      </c>
    </row>
    <row r="798" spans="1:11">
      <c r="A798" s="1" t="s">
        <v>279</v>
      </c>
      <c r="B798" s="6" t="s">
        <v>14</v>
      </c>
      <c r="C798" s="3">
        <v>31.1</v>
      </c>
      <c r="D798" s="3">
        <v>39.049999999999997</v>
      </c>
      <c r="E798" s="3">
        <v>31.5</v>
      </c>
      <c r="F798" s="4">
        <v>10.377466999999999</v>
      </c>
      <c r="G798" s="4">
        <v>-75.463432999999995</v>
      </c>
      <c r="H798" s="9">
        <f t="shared" si="36"/>
        <v>1.2396825396825395</v>
      </c>
      <c r="I798" s="4" t="str">
        <f t="shared" si="37"/>
        <v>Altamente critico &gt;100%</v>
      </c>
      <c r="J798" s="1" t="s">
        <v>13</v>
      </c>
      <c r="K798" s="1" t="str">
        <f t="shared" si="38"/>
        <v>Sin riesgo</v>
      </c>
    </row>
    <row r="799" spans="1:11">
      <c r="A799" s="1" t="s">
        <v>279</v>
      </c>
      <c r="B799" s="6" t="s">
        <v>15</v>
      </c>
      <c r="C799" s="3">
        <v>31.1</v>
      </c>
      <c r="D799" s="3">
        <v>39.049999999999997</v>
      </c>
      <c r="E799" s="3">
        <v>31.5</v>
      </c>
      <c r="F799" s="4">
        <v>10.377466999999999</v>
      </c>
      <c r="G799" s="4">
        <v>-75.463432999999995</v>
      </c>
      <c r="H799" s="9">
        <f t="shared" si="36"/>
        <v>1.2396825396825395</v>
      </c>
      <c r="I799" s="4" t="str">
        <f t="shared" si="37"/>
        <v>Altamente critico &gt;100%</v>
      </c>
      <c r="J799" s="1" t="s">
        <v>13</v>
      </c>
      <c r="K799" s="1" t="str">
        <f t="shared" si="38"/>
        <v>Sin riesgo</v>
      </c>
    </row>
    <row r="800" spans="1:11">
      <c r="A800" s="1" t="s">
        <v>280</v>
      </c>
      <c r="B800" s="6" t="s">
        <v>12</v>
      </c>
      <c r="C800" s="3">
        <v>4.1900000000000004</v>
      </c>
      <c r="D800" s="3">
        <v>3.8</v>
      </c>
      <c r="E800" s="3">
        <v>40</v>
      </c>
      <c r="F800" s="4">
        <v>10.3347076498393</v>
      </c>
      <c r="G800" s="4">
        <v>-75.413166429369795</v>
      </c>
      <c r="H800" s="9">
        <f t="shared" si="36"/>
        <v>0.10475000000000001</v>
      </c>
      <c r="I800" s="4" t="str">
        <f t="shared" si="37"/>
        <v>Sin riesgo &lt;85%</v>
      </c>
      <c r="J800" s="1" t="s">
        <v>13</v>
      </c>
      <c r="K800" s="1" t="str">
        <f t="shared" si="38"/>
        <v>Sin riesgo</v>
      </c>
    </row>
    <row r="801" spans="1:11">
      <c r="A801" s="1" t="s">
        <v>280</v>
      </c>
      <c r="B801" s="6" t="s">
        <v>14</v>
      </c>
      <c r="C801" s="3">
        <v>12.76</v>
      </c>
      <c r="D801" s="3">
        <v>12.72</v>
      </c>
      <c r="E801" s="3">
        <v>40</v>
      </c>
      <c r="F801" s="4">
        <v>10.3347076498393</v>
      </c>
      <c r="G801" s="4">
        <v>-75.413166429369795</v>
      </c>
      <c r="H801" s="9">
        <f t="shared" si="36"/>
        <v>0.31900000000000001</v>
      </c>
      <c r="I801" s="4" t="str">
        <f t="shared" si="37"/>
        <v>Sin riesgo &lt;85%</v>
      </c>
      <c r="J801" s="1" t="s">
        <v>13</v>
      </c>
      <c r="K801" s="1" t="str">
        <f t="shared" si="38"/>
        <v>Sin riesgo</v>
      </c>
    </row>
    <row r="802" spans="1:11">
      <c r="A802" s="1" t="s">
        <v>280</v>
      </c>
      <c r="B802" s="6" t="s">
        <v>15</v>
      </c>
      <c r="C802" s="3">
        <v>12.76</v>
      </c>
      <c r="D802" s="3">
        <v>12.72</v>
      </c>
      <c r="E802" s="3">
        <v>40</v>
      </c>
      <c r="F802" s="4">
        <v>10.3347076498393</v>
      </c>
      <c r="G802" s="4">
        <v>-75.413166429369795</v>
      </c>
      <c r="H802" s="9">
        <f t="shared" si="36"/>
        <v>0.31900000000000001</v>
      </c>
      <c r="I802" s="4" t="str">
        <f t="shared" si="37"/>
        <v>Sin riesgo &lt;85%</v>
      </c>
      <c r="J802" s="1" t="s">
        <v>13</v>
      </c>
      <c r="K802" s="1" t="str">
        <f t="shared" si="38"/>
        <v>Sin riesgo</v>
      </c>
    </row>
    <row r="803" spans="1:11">
      <c r="A803" s="1" t="s">
        <v>281</v>
      </c>
      <c r="B803" s="6" t="s">
        <v>12</v>
      </c>
      <c r="C803" s="3">
        <v>3.01</v>
      </c>
      <c r="D803" s="3">
        <v>7.37</v>
      </c>
      <c r="E803" s="3">
        <v>31.5</v>
      </c>
      <c r="F803" s="4">
        <v>10.410567543087099</v>
      </c>
      <c r="G803" s="4">
        <v>-75.467578765578295</v>
      </c>
      <c r="H803" s="9">
        <f t="shared" si="36"/>
        <v>0.23396825396825396</v>
      </c>
      <c r="I803" s="4" t="str">
        <f t="shared" si="37"/>
        <v>Sin riesgo &lt;85%</v>
      </c>
      <c r="J803" s="1" t="s">
        <v>13</v>
      </c>
      <c r="K803" s="1" t="str">
        <f t="shared" si="38"/>
        <v>Sin riesgo</v>
      </c>
    </row>
    <row r="804" spans="1:11">
      <c r="A804" s="1" t="s">
        <v>281</v>
      </c>
      <c r="B804" s="6" t="s">
        <v>14</v>
      </c>
      <c r="C804" s="3">
        <v>3.01</v>
      </c>
      <c r="D804" s="3">
        <v>7.37</v>
      </c>
      <c r="E804" s="3">
        <v>31.5</v>
      </c>
      <c r="F804" s="4">
        <v>10.410567543087099</v>
      </c>
      <c r="G804" s="4">
        <v>-75.467578765578295</v>
      </c>
      <c r="H804" s="9">
        <f t="shared" si="36"/>
        <v>0.23396825396825396</v>
      </c>
      <c r="I804" s="4" t="str">
        <f t="shared" si="37"/>
        <v>Sin riesgo &lt;85%</v>
      </c>
      <c r="J804" s="1" t="s">
        <v>13</v>
      </c>
      <c r="K804" s="1" t="str">
        <f t="shared" si="38"/>
        <v>Sin riesgo</v>
      </c>
    </row>
    <row r="805" spans="1:11">
      <c r="A805" s="1" t="s">
        <v>281</v>
      </c>
      <c r="B805" s="6" t="s">
        <v>15</v>
      </c>
      <c r="C805" s="3">
        <v>3.01</v>
      </c>
      <c r="D805" s="3">
        <v>7.37</v>
      </c>
      <c r="E805" s="3">
        <v>31.5</v>
      </c>
      <c r="F805" s="4">
        <v>10.410567543087099</v>
      </c>
      <c r="G805" s="4">
        <v>-75.467578765578295</v>
      </c>
      <c r="H805" s="9">
        <f t="shared" si="36"/>
        <v>0.23396825396825396</v>
      </c>
      <c r="I805" s="4" t="str">
        <f t="shared" si="37"/>
        <v>Sin riesgo &lt;85%</v>
      </c>
      <c r="J805" s="1" t="s">
        <v>13</v>
      </c>
      <c r="K805" s="1" t="str">
        <f t="shared" si="38"/>
        <v>Sin riesgo</v>
      </c>
    </row>
    <row r="806" spans="1:11">
      <c r="A806" s="1" t="s">
        <v>282</v>
      </c>
      <c r="B806" s="6" t="s">
        <v>12</v>
      </c>
      <c r="C806" s="3">
        <v>1.95</v>
      </c>
      <c r="D806" s="3">
        <v>2.34</v>
      </c>
      <c r="E806" s="3">
        <v>31.5</v>
      </c>
      <c r="F806" s="4">
        <v>9.7526060683784106</v>
      </c>
      <c r="G806" s="4">
        <v>-74.826294272356705</v>
      </c>
      <c r="H806" s="9">
        <f t="shared" si="36"/>
        <v>7.4285714285714274E-2</v>
      </c>
      <c r="I806" s="4" t="str">
        <f t="shared" si="37"/>
        <v>Sin riesgo &lt;85%</v>
      </c>
      <c r="J806" s="1" t="s">
        <v>13</v>
      </c>
      <c r="K806" s="1" t="str">
        <f t="shared" si="38"/>
        <v>Sin riesgo</v>
      </c>
    </row>
    <row r="807" spans="1:11">
      <c r="A807" s="1" t="s">
        <v>282</v>
      </c>
      <c r="B807" s="6" t="s">
        <v>14</v>
      </c>
      <c r="C807" s="3">
        <v>3.23</v>
      </c>
      <c r="D807" s="3">
        <v>4.22</v>
      </c>
      <c r="E807" s="3">
        <v>31.5</v>
      </c>
      <c r="F807" s="4">
        <v>9.7526060683784106</v>
      </c>
      <c r="G807" s="4">
        <v>-74.826294272356705</v>
      </c>
      <c r="H807" s="9">
        <f t="shared" si="36"/>
        <v>0.13396825396825396</v>
      </c>
      <c r="I807" s="4" t="str">
        <f t="shared" si="37"/>
        <v>Sin riesgo &lt;85%</v>
      </c>
      <c r="J807" s="1" t="s">
        <v>13</v>
      </c>
      <c r="K807" s="1" t="str">
        <f t="shared" si="38"/>
        <v>Sin riesgo</v>
      </c>
    </row>
    <row r="808" spans="1:11">
      <c r="A808" s="1" t="s">
        <v>282</v>
      </c>
      <c r="B808" s="6" t="s">
        <v>15</v>
      </c>
      <c r="C808" s="3">
        <v>3.23</v>
      </c>
      <c r="D808" s="3">
        <v>4.22</v>
      </c>
      <c r="E808" s="3">
        <v>31.5</v>
      </c>
      <c r="F808" s="4">
        <v>9.7526060683784106</v>
      </c>
      <c r="G808" s="4">
        <v>-74.826294272356705</v>
      </c>
      <c r="H808" s="9">
        <f t="shared" si="36"/>
        <v>0.13396825396825396</v>
      </c>
      <c r="I808" s="4" t="str">
        <f t="shared" si="37"/>
        <v>Sin riesgo &lt;85%</v>
      </c>
      <c r="J808" s="1" t="s">
        <v>13</v>
      </c>
      <c r="K808" s="1" t="str">
        <f t="shared" si="38"/>
        <v>Sin riesgo</v>
      </c>
    </row>
    <row r="809" spans="1:11">
      <c r="A809" s="1" t="s">
        <v>283</v>
      </c>
      <c r="B809" s="6" t="s">
        <v>12</v>
      </c>
      <c r="C809" s="3">
        <v>11.36</v>
      </c>
      <c r="D809" s="3">
        <v>18.489999999999998</v>
      </c>
      <c r="E809" s="3">
        <v>25</v>
      </c>
      <c r="F809" s="4">
        <v>10.409388631441701</v>
      </c>
      <c r="G809" s="4">
        <v>-75.506129034793901</v>
      </c>
      <c r="H809" s="9">
        <f t="shared" si="36"/>
        <v>0.73959999999999992</v>
      </c>
      <c r="I809" s="4" t="str">
        <f t="shared" si="37"/>
        <v>Sin riesgo &lt;85%</v>
      </c>
      <c r="J809" s="1" t="s">
        <v>13</v>
      </c>
      <c r="K809" s="1" t="str">
        <f t="shared" si="38"/>
        <v>Sin riesgo</v>
      </c>
    </row>
    <row r="810" spans="1:11">
      <c r="A810" s="1" t="s">
        <v>283</v>
      </c>
      <c r="B810" s="6" t="s">
        <v>14</v>
      </c>
      <c r="C810" s="3">
        <v>11.48</v>
      </c>
      <c r="D810" s="3">
        <v>18.760000000000002</v>
      </c>
      <c r="E810" s="3">
        <v>25</v>
      </c>
      <c r="F810" s="4">
        <v>10.409388631441701</v>
      </c>
      <c r="G810" s="4">
        <v>-75.506129034793901</v>
      </c>
      <c r="H810" s="9">
        <f t="shared" si="36"/>
        <v>0.75040000000000007</v>
      </c>
      <c r="I810" s="4" t="str">
        <f t="shared" si="37"/>
        <v>Sin riesgo &lt;85%</v>
      </c>
      <c r="J810" s="1" t="s">
        <v>13</v>
      </c>
      <c r="K810" s="1" t="str">
        <f t="shared" si="38"/>
        <v>Sin riesgo</v>
      </c>
    </row>
    <row r="811" spans="1:11">
      <c r="A811" s="1" t="s">
        <v>283</v>
      </c>
      <c r="B811" s="6" t="s">
        <v>15</v>
      </c>
      <c r="C811" s="3">
        <v>11.48</v>
      </c>
      <c r="D811" s="3">
        <v>18.760000000000002</v>
      </c>
      <c r="E811" s="3">
        <v>25</v>
      </c>
      <c r="F811" s="4">
        <v>10.409388631441701</v>
      </c>
      <c r="G811" s="4">
        <v>-75.506129034793901</v>
      </c>
      <c r="H811" s="9">
        <f t="shared" si="36"/>
        <v>0.75040000000000007</v>
      </c>
      <c r="I811" s="4" t="str">
        <f t="shared" si="37"/>
        <v>Sin riesgo &lt;85%</v>
      </c>
      <c r="J811" s="1" t="s">
        <v>13</v>
      </c>
      <c r="K811" s="1" t="str">
        <f t="shared" si="38"/>
        <v>Sin riesgo</v>
      </c>
    </row>
    <row r="812" spans="1:11">
      <c r="A812" s="1" t="s">
        <v>284</v>
      </c>
      <c r="B812" s="6" t="s">
        <v>12</v>
      </c>
      <c r="C812" s="3">
        <v>5.07</v>
      </c>
      <c r="D812" s="3">
        <v>5.35</v>
      </c>
      <c r="E812" s="3">
        <v>40</v>
      </c>
      <c r="F812" s="4">
        <v>4.7493499999999997</v>
      </c>
      <c r="G812" s="4">
        <v>-73.002797000000001</v>
      </c>
      <c r="H812" s="9">
        <f t="shared" si="36"/>
        <v>0.13374999999999998</v>
      </c>
      <c r="I812" s="4" t="str">
        <f t="shared" si="37"/>
        <v>Sin riesgo &lt;85%</v>
      </c>
      <c r="J812" s="1">
        <v>1.4</v>
      </c>
      <c r="K812" s="1" t="str">
        <f t="shared" si="38"/>
        <v>Estado critico</v>
      </c>
    </row>
    <row r="813" spans="1:11">
      <c r="A813" s="1" t="s">
        <v>284</v>
      </c>
      <c r="B813" s="6" t="s">
        <v>14</v>
      </c>
      <c r="C813" s="3">
        <v>7.45</v>
      </c>
      <c r="D813" s="3">
        <v>6.22</v>
      </c>
      <c r="E813" s="3">
        <v>40</v>
      </c>
      <c r="F813" s="4">
        <v>4.7493499999999997</v>
      </c>
      <c r="G813" s="4">
        <v>-73.002797000000001</v>
      </c>
      <c r="H813" s="9">
        <f t="shared" si="36"/>
        <v>0.18625</v>
      </c>
      <c r="I813" s="4" t="str">
        <f t="shared" si="37"/>
        <v>Sin riesgo &lt;85%</v>
      </c>
      <c r="J813" s="1">
        <v>1.4</v>
      </c>
      <c r="K813" s="1" t="str">
        <f t="shared" si="38"/>
        <v>Estado critico</v>
      </c>
    </row>
    <row r="814" spans="1:11">
      <c r="A814" s="1" t="s">
        <v>284</v>
      </c>
      <c r="B814" s="6" t="s">
        <v>15</v>
      </c>
      <c r="C814" s="3">
        <v>7.45</v>
      </c>
      <c r="D814" s="3">
        <v>6.22</v>
      </c>
      <c r="E814" s="3">
        <v>40</v>
      </c>
      <c r="F814" s="4">
        <v>4.7493499999999997</v>
      </c>
      <c r="G814" s="4">
        <v>-73.002797000000001</v>
      </c>
      <c r="H814" s="9">
        <f t="shared" si="36"/>
        <v>0.18625</v>
      </c>
      <c r="I814" s="4" t="str">
        <f t="shared" si="37"/>
        <v>Sin riesgo &lt;85%</v>
      </c>
      <c r="J814" s="1">
        <v>1.4</v>
      </c>
      <c r="K814" s="1" t="str">
        <f t="shared" si="38"/>
        <v>Estado critico</v>
      </c>
    </row>
    <row r="815" spans="1:11">
      <c r="A815" s="1" t="s">
        <v>285</v>
      </c>
      <c r="B815" s="6" t="s">
        <v>12</v>
      </c>
      <c r="C815" s="3">
        <v>4.96</v>
      </c>
      <c r="D815" s="3">
        <v>5.07</v>
      </c>
      <c r="E815" s="3">
        <v>40</v>
      </c>
      <c r="F815" s="4">
        <v>5.1799660000000003</v>
      </c>
      <c r="G815" s="4">
        <v>-72.562533000000002</v>
      </c>
      <c r="H815" s="9">
        <f t="shared" si="36"/>
        <v>0.12675</v>
      </c>
      <c r="I815" s="4" t="str">
        <f t="shared" si="37"/>
        <v>Sin riesgo &lt;85%</v>
      </c>
      <c r="J815" s="1" t="s">
        <v>13</v>
      </c>
      <c r="K815" s="1" t="str">
        <f t="shared" si="38"/>
        <v>Sin riesgo</v>
      </c>
    </row>
    <row r="816" spans="1:11">
      <c r="A816" s="1" t="s">
        <v>285</v>
      </c>
      <c r="B816" s="6" t="s">
        <v>14</v>
      </c>
      <c r="C816" s="3">
        <v>8.17</v>
      </c>
      <c r="D816" s="3">
        <v>8.6300000000000008</v>
      </c>
      <c r="E816" s="3">
        <v>40</v>
      </c>
      <c r="F816" s="4">
        <v>5.1799660000000003</v>
      </c>
      <c r="G816" s="4">
        <v>-72.562533000000002</v>
      </c>
      <c r="H816" s="9">
        <f t="shared" si="36"/>
        <v>0.21575000000000003</v>
      </c>
      <c r="I816" s="4" t="str">
        <f t="shared" si="37"/>
        <v>Sin riesgo &lt;85%</v>
      </c>
      <c r="J816" s="1" t="s">
        <v>13</v>
      </c>
      <c r="K816" s="1" t="str">
        <f t="shared" si="38"/>
        <v>Sin riesgo</v>
      </c>
    </row>
    <row r="817" spans="1:11">
      <c r="A817" s="1" t="s">
        <v>285</v>
      </c>
      <c r="B817" s="6" t="s">
        <v>15</v>
      </c>
      <c r="C817" s="3">
        <v>8.16</v>
      </c>
      <c r="D817" s="3">
        <v>8.6300000000000008</v>
      </c>
      <c r="E817" s="3">
        <v>40</v>
      </c>
      <c r="F817" s="4">
        <v>5.1799660000000003</v>
      </c>
      <c r="G817" s="4">
        <v>-72.562533000000002</v>
      </c>
      <c r="H817" s="9">
        <f t="shared" si="36"/>
        <v>0.21575000000000003</v>
      </c>
      <c r="I817" s="4" t="str">
        <f t="shared" si="37"/>
        <v>Sin riesgo &lt;85%</v>
      </c>
      <c r="J817" s="1" t="s">
        <v>13</v>
      </c>
      <c r="K817" s="1" t="str">
        <f t="shared" si="38"/>
        <v>Sin riesgo</v>
      </c>
    </row>
    <row r="818" spans="1:11">
      <c r="A818" s="1" t="s">
        <v>286</v>
      </c>
      <c r="B818" s="6" t="s">
        <v>12</v>
      </c>
      <c r="C818" s="3">
        <v>0</v>
      </c>
      <c r="D818" s="3">
        <v>0</v>
      </c>
      <c r="E818" s="3">
        <v>40</v>
      </c>
      <c r="F818" s="11"/>
      <c r="G818" s="11"/>
      <c r="H818" s="9">
        <f t="shared" si="36"/>
        <v>0</v>
      </c>
      <c r="I818" s="4" t="str">
        <f t="shared" si="37"/>
        <v>Sin riesgo &lt;85%</v>
      </c>
      <c r="J818" s="1" t="s">
        <v>13</v>
      </c>
      <c r="K818" s="1" t="str">
        <f t="shared" si="38"/>
        <v>Sin riesgo</v>
      </c>
    </row>
    <row r="819" spans="1:11">
      <c r="A819" s="1" t="s">
        <v>286</v>
      </c>
      <c r="B819" s="6" t="s">
        <v>14</v>
      </c>
      <c r="C819" s="3">
        <v>19.7</v>
      </c>
      <c r="D819" s="3">
        <v>15.12</v>
      </c>
      <c r="E819" s="3">
        <v>40</v>
      </c>
      <c r="F819" s="11"/>
      <c r="G819" s="11"/>
      <c r="H819" s="9">
        <f t="shared" si="36"/>
        <v>0.49249999999999999</v>
      </c>
      <c r="I819" s="4" t="str">
        <f t="shared" si="37"/>
        <v>Sin riesgo &lt;85%</v>
      </c>
      <c r="J819" s="1" t="s">
        <v>13</v>
      </c>
      <c r="K819" s="1" t="str">
        <f t="shared" si="38"/>
        <v>Sin riesgo</v>
      </c>
    </row>
    <row r="820" spans="1:11">
      <c r="A820" s="1" t="s">
        <v>286</v>
      </c>
      <c r="B820" s="6" t="s">
        <v>15</v>
      </c>
      <c r="C820" s="3">
        <v>19.7</v>
      </c>
      <c r="D820" s="3">
        <v>15.13</v>
      </c>
      <c r="E820" s="3">
        <v>40</v>
      </c>
      <c r="F820" s="11"/>
      <c r="G820" s="11"/>
      <c r="H820" s="9">
        <f t="shared" si="36"/>
        <v>0.49249999999999999</v>
      </c>
      <c r="I820" s="4" t="str">
        <f t="shared" si="37"/>
        <v>Sin riesgo &lt;85%</v>
      </c>
      <c r="J820" s="1" t="s">
        <v>13</v>
      </c>
      <c r="K820" s="1" t="str">
        <f t="shared" si="38"/>
        <v>Sin riesgo</v>
      </c>
    </row>
    <row r="821" spans="1:11">
      <c r="A821" s="1" t="s">
        <v>287</v>
      </c>
      <c r="B821" s="6" t="s">
        <v>12</v>
      </c>
      <c r="C821" s="3">
        <v>0</v>
      </c>
      <c r="D821" s="3">
        <v>0</v>
      </c>
      <c r="E821" s="3">
        <v>40</v>
      </c>
      <c r="F821" s="11"/>
      <c r="G821" s="11"/>
      <c r="H821" s="9">
        <f t="shared" si="36"/>
        <v>0</v>
      </c>
      <c r="I821" s="4" t="str">
        <f t="shared" si="37"/>
        <v>Sin riesgo &lt;85%</v>
      </c>
      <c r="J821" s="1" t="s">
        <v>13</v>
      </c>
      <c r="K821" s="1" t="str">
        <f t="shared" si="38"/>
        <v>Sin riesgo</v>
      </c>
    </row>
    <row r="822" spans="1:11">
      <c r="A822" s="1" t="s">
        <v>287</v>
      </c>
      <c r="B822" s="6" t="s">
        <v>14</v>
      </c>
      <c r="C822" s="3">
        <v>10.71</v>
      </c>
      <c r="D822" s="3">
        <v>8.4600000000000009</v>
      </c>
      <c r="E822" s="3">
        <v>40</v>
      </c>
      <c r="F822" s="11"/>
      <c r="G822" s="11"/>
      <c r="H822" s="9">
        <f t="shared" si="36"/>
        <v>0.26775000000000004</v>
      </c>
      <c r="I822" s="4" t="str">
        <f t="shared" si="37"/>
        <v>Sin riesgo &lt;85%</v>
      </c>
      <c r="J822" s="1" t="s">
        <v>13</v>
      </c>
      <c r="K822" s="1" t="str">
        <f t="shared" si="38"/>
        <v>Sin riesgo</v>
      </c>
    </row>
    <row r="823" spans="1:11">
      <c r="A823" s="1" t="s">
        <v>287</v>
      </c>
      <c r="B823" s="6" t="s">
        <v>15</v>
      </c>
      <c r="C823" s="3">
        <v>10.71</v>
      </c>
      <c r="D823" s="3">
        <v>8.4700000000000006</v>
      </c>
      <c r="E823" s="3">
        <v>40</v>
      </c>
      <c r="F823" s="11"/>
      <c r="G823" s="11"/>
      <c r="H823" s="9">
        <f t="shared" si="36"/>
        <v>0.26775000000000004</v>
      </c>
      <c r="I823" s="4" t="str">
        <f t="shared" si="37"/>
        <v>Sin riesgo &lt;85%</v>
      </c>
      <c r="J823" s="1" t="s">
        <v>13</v>
      </c>
      <c r="K823" s="1" t="str">
        <f t="shared" si="38"/>
        <v>Sin riesgo</v>
      </c>
    </row>
    <row r="824" spans="1:11">
      <c r="A824" s="1" t="s">
        <v>288</v>
      </c>
      <c r="B824" s="6" t="s">
        <v>12</v>
      </c>
      <c r="C824" s="3">
        <v>5.82</v>
      </c>
      <c r="D824" s="3">
        <v>6.02</v>
      </c>
      <c r="E824" s="3">
        <v>7.96</v>
      </c>
      <c r="F824" s="4">
        <v>5.5982919999999998</v>
      </c>
      <c r="G824" s="4">
        <v>-73.566945000000004</v>
      </c>
      <c r="H824" s="9">
        <f t="shared" si="36"/>
        <v>0.75628140703517588</v>
      </c>
      <c r="I824" s="4" t="str">
        <f t="shared" si="37"/>
        <v>Sin riesgo &lt;85%</v>
      </c>
      <c r="J824" s="1" t="s">
        <v>13</v>
      </c>
      <c r="K824" s="1" t="str">
        <f t="shared" si="38"/>
        <v>Sin riesgo</v>
      </c>
    </row>
    <row r="825" spans="1:11">
      <c r="A825" s="1" t="s">
        <v>288</v>
      </c>
      <c r="B825" s="6" t="s">
        <v>14</v>
      </c>
      <c r="C825" s="3">
        <v>6.04</v>
      </c>
      <c r="D825" s="3">
        <v>6.26</v>
      </c>
      <c r="E825" s="3">
        <v>7.96</v>
      </c>
      <c r="F825" s="4">
        <v>5.5982919999999998</v>
      </c>
      <c r="G825" s="4">
        <v>-73.566945000000004</v>
      </c>
      <c r="H825" s="9">
        <f t="shared" si="36"/>
        <v>0.78643216080402012</v>
      </c>
      <c r="I825" s="4" t="str">
        <f t="shared" si="37"/>
        <v>Sin riesgo &lt;85%</v>
      </c>
      <c r="J825" s="1" t="s">
        <v>13</v>
      </c>
      <c r="K825" s="1" t="str">
        <f t="shared" si="38"/>
        <v>Sin riesgo</v>
      </c>
    </row>
    <row r="826" spans="1:11">
      <c r="A826" s="1" t="s">
        <v>288</v>
      </c>
      <c r="B826" s="6" t="s">
        <v>15</v>
      </c>
      <c r="C826" s="3">
        <v>6.07</v>
      </c>
      <c r="D826" s="3">
        <v>6.3</v>
      </c>
      <c r="E826" s="3">
        <v>7.96</v>
      </c>
      <c r="F826" s="4">
        <v>5.5982919999999998</v>
      </c>
      <c r="G826" s="4">
        <v>-73.566945000000004</v>
      </c>
      <c r="H826" s="9">
        <f t="shared" si="36"/>
        <v>0.79145728643216073</v>
      </c>
      <c r="I826" s="4" t="str">
        <f t="shared" si="37"/>
        <v>Sin riesgo &lt;85%</v>
      </c>
      <c r="J826" s="1" t="s">
        <v>13</v>
      </c>
      <c r="K826" s="1" t="str">
        <f t="shared" si="38"/>
        <v>Sin riesgo</v>
      </c>
    </row>
    <row r="827" spans="1:11">
      <c r="A827" s="1" t="s">
        <v>289</v>
      </c>
      <c r="B827" s="6" t="s">
        <v>12</v>
      </c>
      <c r="C827" s="3">
        <v>5.24</v>
      </c>
      <c r="D827" s="3">
        <v>7.03</v>
      </c>
      <c r="E827" s="3">
        <v>25</v>
      </c>
      <c r="F827" s="4">
        <v>6.4432939999999999</v>
      </c>
      <c r="G827" s="4">
        <v>-75.330532000000005</v>
      </c>
      <c r="H827" s="9">
        <f t="shared" si="36"/>
        <v>0.28120000000000001</v>
      </c>
      <c r="I827" s="4" t="str">
        <f t="shared" si="37"/>
        <v>Sin riesgo &lt;85%</v>
      </c>
      <c r="J827" s="1" t="s">
        <v>13</v>
      </c>
      <c r="K827" s="1" t="str">
        <f t="shared" si="38"/>
        <v>Sin riesgo</v>
      </c>
    </row>
    <row r="828" spans="1:11">
      <c r="A828" s="1" t="s">
        <v>289</v>
      </c>
      <c r="B828" s="6" t="s">
        <v>14</v>
      </c>
      <c r="C828" s="3">
        <v>6.18</v>
      </c>
      <c r="D828" s="3">
        <v>7.69</v>
      </c>
      <c r="E828" s="3">
        <v>25</v>
      </c>
      <c r="F828" s="4">
        <v>6.4432939999999999</v>
      </c>
      <c r="G828" s="4">
        <v>-75.330532000000005</v>
      </c>
      <c r="H828" s="9">
        <f t="shared" si="36"/>
        <v>0.30760000000000004</v>
      </c>
      <c r="I828" s="4" t="str">
        <f t="shared" si="37"/>
        <v>Sin riesgo &lt;85%</v>
      </c>
      <c r="J828" s="1" t="s">
        <v>13</v>
      </c>
      <c r="K828" s="1" t="str">
        <f t="shared" si="38"/>
        <v>Sin riesgo</v>
      </c>
    </row>
    <row r="829" spans="1:11">
      <c r="A829" s="1" t="s">
        <v>289</v>
      </c>
      <c r="B829" s="6" t="s">
        <v>15</v>
      </c>
      <c r="C829" s="3">
        <v>7.38</v>
      </c>
      <c r="D829" s="3">
        <v>8.23</v>
      </c>
      <c r="E829" s="3">
        <v>25</v>
      </c>
      <c r="F829" s="4">
        <v>6.4432939999999999</v>
      </c>
      <c r="G829" s="4">
        <v>-75.330532000000005</v>
      </c>
      <c r="H829" s="9">
        <f t="shared" si="36"/>
        <v>0.32919999999999999</v>
      </c>
      <c r="I829" s="4" t="str">
        <f t="shared" si="37"/>
        <v>Sin riesgo &lt;85%</v>
      </c>
      <c r="J829" s="1" t="s">
        <v>13</v>
      </c>
      <c r="K829" s="1" t="str">
        <f t="shared" si="38"/>
        <v>Sin riesgo</v>
      </c>
    </row>
    <row r="830" spans="1:11">
      <c r="A830" s="1" t="s">
        <v>290</v>
      </c>
      <c r="B830" s="6" t="s">
        <v>12</v>
      </c>
      <c r="C830" s="3">
        <v>3.45</v>
      </c>
      <c r="D830" s="3">
        <v>3.74</v>
      </c>
      <c r="E830" s="3">
        <v>31.5</v>
      </c>
      <c r="F830" s="4">
        <v>6.2838415109732697</v>
      </c>
      <c r="G830" s="4">
        <v>-73.356343431754695</v>
      </c>
      <c r="H830" s="9">
        <f t="shared" si="36"/>
        <v>0.11873015873015874</v>
      </c>
      <c r="I830" s="4" t="str">
        <f t="shared" si="37"/>
        <v>Sin riesgo &lt;85%</v>
      </c>
      <c r="J830" s="1" t="s">
        <v>13</v>
      </c>
      <c r="K830" s="1" t="str">
        <f t="shared" si="38"/>
        <v>Sin riesgo</v>
      </c>
    </row>
    <row r="831" spans="1:11">
      <c r="A831" s="1" t="s">
        <v>290</v>
      </c>
      <c r="B831" s="6" t="s">
        <v>14</v>
      </c>
      <c r="C831" s="3">
        <v>4.21</v>
      </c>
      <c r="D831" s="3">
        <v>4.7300000000000004</v>
      </c>
      <c r="E831" s="3">
        <v>31.5</v>
      </c>
      <c r="F831" s="4">
        <v>6.2838415109732697</v>
      </c>
      <c r="G831" s="4">
        <v>-73.356343431754695</v>
      </c>
      <c r="H831" s="9">
        <f t="shared" si="36"/>
        <v>0.15015873015873019</v>
      </c>
      <c r="I831" s="4" t="str">
        <f t="shared" si="37"/>
        <v>Sin riesgo &lt;85%</v>
      </c>
      <c r="J831" s="1" t="s">
        <v>13</v>
      </c>
      <c r="K831" s="1" t="str">
        <f t="shared" si="38"/>
        <v>Sin riesgo</v>
      </c>
    </row>
    <row r="832" spans="1:11">
      <c r="A832" s="1" t="s">
        <v>290</v>
      </c>
      <c r="B832" s="6" t="s">
        <v>15</v>
      </c>
      <c r="C832" s="3">
        <v>4.22</v>
      </c>
      <c r="D832" s="3">
        <v>4.75</v>
      </c>
      <c r="E832" s="3">
        <v>31.5</v>
      </c>
      <c r="F832" s="4">
        <v>6.2838415109732697</v>
      </c>
      <c r="G832" s="4">
        <v>-73.356343431754695</v>
      </c>
      <c r="H832" s="9">
        <f t="shared" si="36"/>
        <v>0.15079365079365079</v>
      </c>
      <c r="I832" s="4" t="str">
        <f t="shared" si="37"/>
        <v>Sin riesgo &lt;85%</v>
      </c>
      <c r="J832" s="1" t="s">
        <v>13</v>
      </c>
      <c r="K832" s="1" t="str">
        <f t="shared" si="38"/>
        <v>Sin riesgo</v>
      </c>
    </row>
    <row r="833" spans="1:11">
      <c r="A833" s="1" t="s">
        <v>291</v>
      </c>
      <c r="B833" s="6" t="s">
        <v>12</v>
      </c>
      <c r="C833" s="3">
        <v>17.78</v>
      </c>
      <c r="D833" s="3">
        <v>15.76</v>
      </c>
      <c r="E833" s="3">
        <v>15</v>
      </c>
      <c r="F833" s="4">
        <v>6.2331940000000001</v>
      </c>
      <c r="G833" s="4">
        <v>-75.609012000000007</v>
      </c>
      <c r="H833" s="9">
        <f t="shared" si="36"/>
        <v>1.1853333333333333</v>
      </c>
      <c r="I833" s="4" t="str">
        <f t="shared" si="37"/>
        <v>Altamente critico &gt;100%</v>
      </c>
      <c r="J833" s="1" t="s">
        <v>13</v>
      </c>
      <c r="K833" s="1" t="str">
        <f t="shared" si="38"/>
        <v>Sin riesgo</v>
      </c>
    </row>
    <row r="834" spans="1:11">
      <c r="A834" s="1" t="s">
        <v>291</v>
      </c>
      <c r="B834" s="6" t="s">
        <v>14</v>
      </c>
      <c r="C834" s="3">
        <v>19.03</v>
      </c>
      <c r="D834" s="3">
        <v>16.75</v>
      </c>
      <c r="E834" s="3">
        <v>15</v>
      </c>
      <c r="F834" s="4">
        <v>6.2331940000000001</v>
      </c>
      <c r="G834" s="4">
        <v>-75.609012000000007</v>
      </c>
      <c r="H834" s="9">
        <f t="shared" si="36"/>
        <v>1.2686666666666668</v>
      </c>
      <c r="I834" s="4" t="str">
        <f t="shared" si="37"/>
        <v>Altamente critico &gt;100%</v>
      </c>
      <c r="J834" s="1" t="s">
        <v>13</v>
      </c>
      <c r="K834" s="1" t="str">
        <f t="shared" si="38"/>
        <v>Sin riesgo</v>
      </c>
    </row>
    <row r="835" spans="1:11">
      <c r="A835" s="1" t="s">
        <v>291</v>
      </c>
      <c r="B835" s="6" t="s">
        <v>15</v>
      </c>
      <c r="C835" s="3">
        <v>19.04</v>
      </c>
      <c r="D835" s="3">
        <v>16.78</v>
      </c>
      <c r="E835" s="3">
        <v>15</v>
      </c>
      <c r="F835" s="4">
        <v>6.2331940000000001</v>
      </c>
      <c r="G835" s="4">
        <v>-75.609012000000007</v>
      </c>
      <c r="H835" s="9">
        <f t="shared" ref="H835:H898" si="39">IF(C835&gt;D835,C835/E835,D835/E835)</f>
        <v>1.2693333333333332</v>
      </c>
      <c r="I835" s="4" t="str">
        <f t="shared" ref="I835:I898" si="40">IF(H835&gt;100%,"Altamente critico &gt;100%",IF(H835&gt;95%,"Critico &gt;95%",IF(H835&gt;85%,"En riesgo &gt;85%","Sin riesgo &lt;85%")))</f>
        <v>Altamente critico &gt;100%</v>
      </c>
      <c r="J835" s="1" t="s">
        <v>13</v>
      </c>
      <c r="K835" s="1" t="str">
        <f t="shared" ref="K835:K898" si="41">IF(J835="&gt;5","Sin riesgo",IF(J835&gt;1.5,"Estado de alerta","Estado critico"))</f>
        <v>Sin riesgo</v>
      </c>
    </row>
    <row r="836" spans="1:11">
      <c r="A836" s="1" t="s">
        <v>292</v>
      </c>
      <c r="B836" s="6" t="s">
        <v>12</v>
      </c>
      <c r="C836" s="3">
        <v>3.34</v>
      </c>
      <c r="D836" s="3">
        <v>3.51</v>
      </c>
      <c r="E836" s="3">
        <v>7.96</v>
      </c>
      <c r="F836" s="4">
        <v>6.3280139999999996</v>
      </c>
      <c r="G836" s="4">
        <v>-72.586117000000002</v>
      </c>
      <c r="H836" s="9">
        <f t="shared" si="39"/>
        <v>0.44095477386934673</v>
      </c>
      <c r="I836" s="4" t="str">
        <f t="shared" si="40"/>
        <v>Sin riesgo &lt;85%</v>
      </c>
      <c r="J836" s="1" t="s">
        <v>13</v>
      </c>
      <c r="K836" s="1" t="str">
        <f t="shared" si="41"/>
        <v>Sin riesgo</v>
      </c>
    </row>
    <row r="837" spans="1:11">
      <c r="A837" s="1" t="s">
        <v>292</v>
      </c>
      <c r="B837" s="6" t="s">
        <v>14</v>
      </c>
      <c r="C837" s="3">
        <v>3.51</v>
      </c>
      <c r="D837" s="3">
        <v>3.69</v>
      </c>
      <c r="E837" s="3">
        <v>7.96</v>
      </c>
      <c r="F837" s="4">
        <v>6.3280139999999996</v>
      </c>
      <c r="G837" s="4">
        <v>-72.586117000000002</v>
      </c>
      <c r="H837" s="9">
        <f t="shared" si="39"/>
        <v>0.46356783919597988</v>
      </c>
      <c r="I837" s="4" t="str">
        <f t="shared" si="40"/>
        <v>Sin riesgo &lt;85%</v>
      </c>
      <c r="J837" s="1" t="s">
        <v>13</v>
      </c>
      <c r="K837" s="1" t="str">
        <f t="shared" si="41"/>
        <v>Sin riesgo</v>
      </c>
    </row>
    <row r="838" spans="1:11">
      <c r="A838" s="1" t="s">
        <v>292</v>
      </c>
      <c r="B838" s="6" t="s">
        <v>15</v>
      </c>
      <c r="C838" s="3">
        <v>3.5</v>
      </c>
      <c r="D838" s="3">
        <v>3.69</v>
      </c>
      <c r="E838" s="3">
        <v>7.96</v>
      </c>
      <c r="F838" s="4">
        <v>6.3280139999999996</v>
      </c>
      <c r="G838" s="4">
        <v>-72.586117000000002</v>
      </c>
      <c r="H838" s="9">
        <f t="shared" si="39"/>
        <v>0.46356783919597988</v>
      </c>
      <c r="I838" s="4" t="str">
        <f t="shared" si="40"/>
        <v>Sin riesgo &lt;85%</v>
      </c>
      <c r="J838" s="1" t="s">
        <v>13</v>
      </c>
      <c r="K838" s="1" t="str">
        <f t="shared" si="41"/>
        <v>Sin riesgo</v>
      </c>
    </row>
    <row r="839" spans="1:11">
      <c r="A839" s="1" t="s">
        <v>293</v>
      </c>
      <c r="B839" s="6" t="s">
        <v>12</v>
      </c>
      <c r="C839" s="3">
        <v>0</v>
      </c>
      <c r="D839" s="3">
        <v>0</v>
      </c>
      <c r="E839" s="3">
        <v>40</v>
      </c>
      <c r="F839" s="11"/>
      <c r="G839" s="11"/>
      <c r="H839" s="9">
        <f t="shared" si="39"/>
        <v>0</v>
      </c>
      <c r="I839" s="4" t="str">
        <f t="shared" si="40"/>
        <v>Sin riesgo &lt;85%</v>
      </c>
      <c r="J839" s="1" t="s">
        <v>13</v>
      </c>
      <c r="K839" s="1" t="str">
        <f t="shared" si="41"/>
        <v>Sin riesgo</v>
      </c>
    </row>
    <row r="840" spans="1:11">
      <c r="A840" s="1" t="s">
        <v>293</v>
      </c>
      <c r="B840" s="6" t="s">
        <v>14</v>
      </c>
      <c r="C840" s="3">
        <v>15.58</v>
      </c>
      <c r="D840" s="3">
        <v>13.76</v>
      </c>
      <c r="E840" s="3">
        <v>40</v>
      </c>
      <c r="F840" s="11"/>
      <c r="G840" s="11"/>
      <c r="H840" s="9">
        <f t="shared" si="39"/>
        <v>0.38950000000000001</v>
      </c>
      <c r="I840" s="4" t="str">
        <f t="shared" si="40"/>
        <v>Sin riesgo &lt;85%</v>
      </c>
      <c r="J840" s="1" t="s">
        <v>13</v>
      </c>
      <c r="K840" s="1" t="str">
        <f t="shared" si="41"/>
        <v>Sin riesgo</v>
      </c>
    </row>
    <row r="841" spans="1:11">
      <c r="A841" s="1" t="s">
        <v>293</v>
      </c>
      <c r="B841" s="6" t="s">
        <v>15</v>
      </c>
      <c r="C841" s="3">
        <v>15.59</v>
      </c>
      <c r="D841" s="3">
        <v>13.78</v>
      </c>
      <c r="E841" s="3">
        <v>40</v>
      </c>
      <c r="F841" s="11"/>
      <c r="G841" s="11"/>
      <c r="H841" s="9">
        <f t="shared" si="39"/>
        <v>0.38974999999999999</v>
      </c>
      <c r="I841" s="4" t="str">
        <f t="shared" si="40"/>
        <v>Sin riesgo &lt;85%</v>
      </c>
      <c r="J841" s="1" t="s">
        <v>13</v>
      </c>
      <c r="K841" s="1" t="str">
        <f t="shared" si="41"/>
        <v>Sin riesgo</v>
      </c>
    </row>
    <row r="842" spans="1:11">
      <c r="A842" s="1" t="s">
        <v>294</v>
      </c>
      <c r="B842" s="6" t="s">
        <v>12</v>
      </c>
      <c r="C842" s="3">
        <v>0</v>
      </c>
      <c r="D842" s="3">
        <v>0</v>
      </c>
      <c r="E842" s="3">
        <v>40</v>
      </c>
      <c r="F842" s="11"/>
      <c r="G842" s="11"/>
      <c r="H842" s="9">
        <f t="shared" si="39"/>
        <v>0</v>
      </c>
      <c r="I842" s="4" t="str">
        <f t="shared" si="40"/>
        <v>Sin riesgo &lt;85%</v>
      </c>
      <c r="J842" s="1" t="s">
        <v>13</v>
      </c>
      <c r="K842" s="1" t="str">
        <f t="shared" si="41"/>
        <v>Sin riesgo</v>
      </c>
    </row>
    <row r="843" spans="1:11">
      <c r="A843" s="1" t="s">
        <v>294</v>
      </c>
      <c r="B843" s="6" t="s">
        <v>14</v>
      </c>
      <c r="C843" s="3">
        <v>10.86</v>
      </c>
      <c r="D843" s="3">
        <v>12.4</v>
      </c>
      <c r="E843" s="3">
        <v>40</v>
      </c>
      <c r="F843" s="11"/>
      <c r="G843" s="11"/>
      <c r="H843" s="9">
        <f t="shared" si="39"/>
        <v>0.31</v>
      </c>
      <c r="I843" s="4" t="str">
        <f t="shared" si="40"/>
        <v>Sin riesgo &lt;85%</v>
      </c>
      <c r="J843" s="1" t="s">
        <v>13</v>
      </c>
      <c r="K843" s="1" t="str">
        <f t="shared" si="41"/>
        <v>Sin riesgo</v>
      </c>
    </row>
    <row r="844" spans="1:11">
      <c r="A844" s="1" t="s">
        <v>294</v>
      </c>
      <c r="B844" s="6" t="s">
        <v>15</v>
      </c>
      <c r="C844" s="3">
        <v>10.86</v>
      </c>
      <c r="D844" s="3">
        <v>12.42</v>
      </c>
      <c r="E844" s="3">
        <v>40</v>
      </c>
      <c r="F844" s="11"/>
      <c r="G844" s="11"/>
      <c r="H844" s="9">
        <f t="shared" si="39"/>
        <v>0.3105</v>
      </c>
      <c r="I844" s="4" t="str">
        <f t="shared" si="40"/>
        <v>Sin riesgo &lt;85%</v>
      </c>
      <c r="J844" s="1" t="s">
        <v>13</v>
      </c>
      <c r="K844" s="1" t="str">
        <f t="shared" si="41"/>
        <v>Sin riesgo</v>
      </c>
    </row>
    <row r="845" spans="1:11">
      <c r="A845" s="1" t="s">
        <v>295</v>
      </c>
      <c r="B845" s="6" t="s">
        <v>12</v>
      </c>
      <c r="C845" s="3">
        <v>11.23</v>
      </c>
      <c r="D845" s="3">
        <v>11.56</v>
      </c>
      <c r="E845" s="3">
        <v>25</v>
      </c>
      <c r="F845" s="4">
        <v>5.76277303493071</v>
      </c>
      <c r="G845" s="4">
        <v>-72.890207134829893</v>
      </c>
      <c r="H845" s="9">
        <f t="shared" si="39"/>
        <v>0.46240000000000003</v>
      </c>
      <c r="I845" s="4" t="str">
        <f t="shared" si="40"/>
        <v>Sin riesgo &lt;85%</v>
      </c>
      <c r="J845" s="1" t="s">
        <v>13</v>
      </c>
      <c r="K845" s="1" t="str">
        <f t="shared" si="41"/>
        <v>Sin riesgo</v>
      </c>
    </row>
    <row r="846" spans="1:11">
      <c r="A846" s="1" t="s">
        <v>295</v>
      </c>
      <c r="B846" s="6" t="s">
        <v>14</v>
      </c>
      <c r="C846" s="3">
        <v>11.89</v>
      </c>
      <c r="D846" s="3">
        <v>12.23</v>
      </c>
      <c r="E846" s="3">
        <v>25</v>
      </c>
      <c r="F846" s="4">
        <v>5.76277303493071</v>
      </c>
      <c r="G846" s="4">
        <v>-72.890207134829893</v>
      </c>
      <c r="H846" s="9">
        <f t="shared" si="39"/>
        <v>0.48920000000000002</v>
      </c>
      <c r="I846" s="4" t="str">
        <f t="shared" si="40"/>
        <v>Sin riesgo &lt;85%</v>
      </c>
      <c r="J846" s="1" t="s">
        <v>13</v>
      </c>
      <c r="K846" s="1" t="str">
        <f t="shared" si="41"/>
        <v>Sin riesgo</v>
      </c>
    </row>
    <row r="847" spans="1:11">
      <c r="A847" s="1" t="s">
        <v>295</v>
      </c>
      <c r="B847" s="6" t="s">
        <v>15</v>
      </c>
      <c r="C847" s="3">
        <v>11.89</v>
      </c>
      <c r="D847" s="3">
        <v>12.24</v>
      </c>
      <c r="E847" s="3">
        <v>25</v>
      </c>
      <c r="F847" s="4">
        <v>5.76277303493071</v>
      </c>
      <c r="G847" s="4">
        <v>-72.890207134829893</v>
      </c>
      <c r="H847" s="9">
        <f t="shared" si="39"/>
        <v>0.48960000000000004</v>
      </c>
      <c r="I847" s="4" t="str">
        <f t="shared" si="40"/>
        <v>Sin riesgo &lt;85%</v>
      </c>
      <c r="J847" s="1" t="s">
        <v>13</v>
      </c>
      <c r="K847" s="1" t="str">
        <f t="shared" si="41"/>
        <v>Sin riesgo</v>
      </c>
    </row>
    <row r="848" spans="1:11">
      <c r="A848" s="1" t="s">
        <v>296</v>
      </c>
      <c r="B848" s="6" t="s">
        <v>12</v>
      </c>
      <c r="C848" s="3">
        <v>4.38</v>
      </c>
      <c r="D848" s="3">
        <v>5.21</v>
      </c>
      <c r="E848" s="3">
        <v>10</v>
      </c>
      <c r="F848" s="4">
        <v>5.6269590000000003</v>
      </c>
      <c r="G848" s="4">
        <v>-73.798856000000001</v>
      </c>
      <c r="H848" s="9">
        <f t="shared" si="39"/>
        <v>0.52100000000000002</v>
      </c>
      <c r="I848" s="4" t="str">
        <f t="shared" si="40"/>
        <v>Sin riesgo &lt;85%</v>
      </c>
      <c r="J848" s="1" t="s">
        <v>13</v>
      </c>
      <c r="K848" s="1" t="str">
        <f t="shared" si="41"/>
        <v>Sin riesgo</v>
      </c>
    </row>
    <row r="849" spans="1:11">
      <c r="A849" s="1" t="s">
        <v>296</v>
      </c>
      <c r="B849" s="6" t="s">
        <v>14</v>
      </c>
      <c r="C849" s="3">
        <v>4.57</v>
      </c>
      <c r="D849" s="3">
        <v>5.43</v>
      </c>
      <c r="E849" s="3">
        <v>10</v>
      </c>
      <c r="F849" s="4">
        <v>5.6269590000000003</v>
      </c>
      <c r="G849" s="4">
        <v>-73.798856000000001</v>
      </c>
      <c r="H849" s="9">
        <f t="shared" si="39"/>
        <v>0.54299999999999993</v>
      </c>
      <c r="I849" s="4" t="str">
        <f t="shared" si="40"/>
        <v>Sin riesgo &lt;85%</v>
      </c>
      <c r="J849" s="1" t="s">
        <v>13</v>
      </c>
      <c r="K849" s="1" t="str">
        <f t="shared" si="41"/>
        <v>Sin riesgo</v>
      </c>
    </row>
    <row r="850" spans="1:11">
      <c r="A850" s="1" t="s">
        <v>296</v>
      </c>
      <c r="B850" s="6" t="s">
        <v>15</v>
      </c>
      <c r="C850" s="3">
        <v>4.63</v>
      </c>
      <c r="D850" s="3">
        <v>5.49</v>
      </c>
      <c r="E850" s="3">
        <v>10</v>
      </c>
      <c r="F850" s="4">
        <v>5.6269590000000003</v>
      </c>
      <c r="G850" s="4">
        <v>-73.798856000000001</v>
      </c>
      <c r="H850" s="9">
        <f t="shared" si="39"/>
        <v>0.54900000000000004</v>
      </c>
      <c r="I850" s="4" t="str">
        <f t="shared" si="40"/>
        <v>Sin riesgo &lt;85%</v>
      </c>
      <c r="J850" s="1" t="s">
        <v>13</v>
      </c>
      <c r="K850" s="1" t="str">
        <f t="shared" si="41"/>
        <v>Sin riesgo</v>
      </c>
    </row>
    <row r="851" spans="1:11">
      <c r="A851" s="1" t="s">
        <v>297</v>
      </c>
      <c r="B851" s="6" t="s">
        <v>12</v>
      </c>
      <c r="C851" s="3">
        <v>1.41</v>
      </c>
      <c r="D851" s="3">
        <v>2.17</v>
      </c>
      <c r="E851" s="3">
        <v>25</v>
      </c>
      <c r="F851" s="4">
        <v>6.3332420999999997</v>
      </c>
      <c r="G851" s="4">
        <v>-73.954037999999997</v>
      </c>
      <c r="H851" s="9">
        <f t="shared" si="39"/>
        <v>8.6800000000000002E-2</v>
      </c>
      <c r="I851" s="4" t="str">
        <f t="shared" si="40"/>
        <v>Sin riesgo &lt;85%</v>
      </c>
      <c r="J851" s="1" t="s">
        <v>13</v>
      </c>
      <c r="K851" s="1" t="str">
        <f t="shared" si="41"/>
        <v>Sin riesgo</v>
      </c>
    </row>
    <row r="852" spans="1:11">
      <c r="A852" s="1" t="s">
        <v>297</v>
      </c>
      <c r="B852" s="6" t="s">
        <v>14</v>
      </c>
      <c r="C852" s="3">
        <v>2.41</v>
      </c>
      <c r="D852" s="3">
        <v>2.31</v>
      </c>
      <c r="E852" s="3">
        <v>25</v>
      </c>
      <c r="F852" s="4">
        <v>6.3332420999999997</v>
      </c>
      <c r="G852" s="4">
        <v>-73.954037999999997</v>
      </c>
      <c r="H852" s="9">
        <f t="shared" si="39"/>
        <v>9.64E-2</v>
      </c>
      <c r="I852" s="4" t="str">
        <f t="shared" si="40"/>
        <v>Sin riesgo &lt;85%</v>
      </c>
      <c r="J852" s="1" t="s">
        <v>13</v>
      </c>
      <c r="K852" s="1" t="str">
        <f t="shared" si="41"/>
        <v>Sin riesgo</v>
      </c>
    </row>
    <row r="853" spans="1:11">
      <c r="A853" s="1" t="s">
        <v>297</v>
      </c>
      <c r="B853" s="6" t="s">
        <v>15</v>
      </c>
      <c r="C853" s="3">
        <v>2.44</v>
      </c>
      <c r="D853" s="3">
        <v>2.33</v>
      </c>
      <c r="E853" s="3">
        <v>25</v>
      </c>
      <c r="F853" s="4">
        <v>6.3332420999999997</v>
      </c>
      <c r="G853" s="4">
        <v>-73.954037999999997</v>
      </c>
      <c r="H853" s="9">
        <f t="shared" si="39"/>
        <v>9.7599999999999992E-2</v>
      </c>
      <c r="I853" s="4" t="str">
        <f t="shared" si="40"/>
        <v>Sin riesgo &lt;85%</v>
      </c>
      <c r="J853" s="1" t="s">
        <v>13</v>
      </c>
      <c r="K853" s="1" t="str">
        <f t="shared" si="41"/>
        <v>Sin riesgo</v>
      </c>
    </row>
    <row r="854" spans="1:11">
      <c r="A854" s="1" t="s">
        <v>298</v>
      </c>
      <c r="B854" s="6" t="s">
        <v>12</v>
      </c>
      <c r="C854" s="3">
        <v>8.34</v>
      </c>
      <c r="D854" s="3">
        <v>9.83</v>
      </c>
      <c r="E854" s="3">
        <v>15.09</v>
      </c>
      <c r="F854" s="4">
        <v>4.9639138799999998</v>
      </c>
      <c r="G854" s="4">
        <v>-73.954752409999998</v>
      </c>
      <c r="H854" s="9">
        <f t="shared" si="39"/>
        <v>0.65142478462557984</v>
      </c>
      <c r="I854" s="4" t="str">
        <f t="shared" si="40"/>
        <v>Sin riesgo &lt;85%</v>
      </c>
      <c r="J854" s="1" t="s">
        <v>13</v>
      </c>
      <c r="K854" s="1" t="str">
        <f t="shared" si="41"/>
        <v>Sin riesgo</v>
      </c>
    </row>
    <row r="855" spans="1:11">
      <c r="A855" s="1" t="s">
        <v>298</v>
      </c>
      <c r="B855" s="6" t="s">
        <v>14</v>
      </c>
      <c r="C855" s="3">
        <v>8.58</v>
      </c>
      <c r="D855" s="3">
        <v>10.25</v>
      </c>
      <c r="E855" s="3">
        <v>15.09</v>
      </c>
      <c r="F855" s="4">
        <v>4.9639138799999998</v>
      </c>
      <c r="G855" s="4">
        <v>-73.954752409999998</v>
      </c>
      <c r="H855" s="9">
        <f t="shared" si="39"/>
        <v>0.67925778661365144</v>
      </c>
      <c r="I855" s="4" t="str">
        <f t="shared" si="40"/>
        <v>Sin riesgo &lt;85%</v>
      </c>
      <c r="J855" s="1" t="s">
        <v>13</v>
      </c>
      <c r="K855" s="1" t="str">
        <f t="shared" si="41"/>
        <v>Sin riesgo</v>
      </c>
    </row>
    <row r="856" spans="1:11">
      <c r="A856" s="1" t="s">
        <v>298</v>
      </c>
      <c r="B856" s="6" t="s">
        <v>15</v>
      </c>
      <c r="C856" s="3">
        <v>8.5299999999999994</v>
      </c>
      <c r="D856" s="3">
        <v>10.27</v>
      </c>
      <c r="E856" s="3">
        <v>15.09</v>
      </c>
      <c r="F856" s="4">
        <v>4.9639138799999998</v>
      </c>
      <c r="G856" s="4">
        <v>-73.954752409999998</v>
      </c>
      <c r="H856" s="9">
        <f t="shared" si="39"/>
        <v>0.68058316766070248</v>
      </c>
      <c r="I856" s="4" t="str">
        <f t="shared" si="40"/>
        <v>Sin riesgo &lt;85%</v>
      </c>
      <c r="J856" s="1" t="s">
        <v>13</v>
      </c>
      <c r="K856" s="1" t="str">
        <f t="shared" si="41"/>
        <v>Sin riesgo</v>
      </c>
    </row>
    <row r="857" spans="1:11">
      <c r="A857" s="1" t="s">
        <v>299</v>
      </c>
      <c r="B857" s="6" t="s">
        <v>12</v>
      </c>
      <c r="C857" s="3">
        <v>8.9499999999999993</v>
      </c>
      <c r="D857" s="3">
        <v>10.56</v>
      </c>
      <c r="E857" s="3">
        <v>15</v>
      </c>
      <c r="F857" s="4">
        <v>5.803468667762</v>
      </c>
      <c r="G857" s="4">
        <v>-73.038535982576207</v>
      </c>
      <c r="H857" s="9">
        <f t="shared" si="39"/>
        <v>0.70400000000000007</v>
      </c>
      <c r="I857" s="4" t="str">
        <f t="shared" si="40"/>
        <v>Sin riesgo &lt;85%</v>
      </c>
      <c r="J857" s="1" t="s">
        <v>13</v>
      </c>
      <c r="K857" s="1" t="str">
        <f t="shared" si="41"/>
        <v>Sin riesgo</v>
      </c>
    </row>
    <row r="858" spans="1:11">
      <c r="A858" s="1" t="s">
        <v>299</v>
      </c>
      <c r="B858" s="6" t="s">
        <v>14</v>
      </c>
      <c r="C858" s="3">
        <v>12.13</v>
      </c>
      <c r="D858" s="3">
        <v>11.24</v>
      </c>
      <c r="E858" s="3">
        <v>15</v>
      </c>
      <c r="F858" s="4">
        <v>5.803468667762</v>
      </c>
      <c r="G858" s="4">
        <v>-73.038535982576207</v>
      </c>
      <c r="H858" s="9">
        <f t="shared" si="39"/>
        <v>0.80866666666666676</v>
      </c>
      <c r="I858" s="4" t="str">
        <f t="shared" si="40"/>
        <v>Sin riesgo &lt;85%</v>
      </c>
      <c r="J858" s="1" t="s">
        <v>13</v>
      </c>
      <c r="K858" s="1" t="str">
        <f t="shared" si="41"/>
        <v>Sin riesgo</v>
      </c>
    </row>
    <row r="859" spans="1:11">
      <c r="A859" s="1" t="s">
        <v>299</v>
      </c>
      <c r="B859" s="6" t="s">
        <v>15</v>
      </c>
      <c r="C859" s="3">
        <v>12.13</v>
      </c>
      <c r="D859" s="3">
        <v>11.26</v>
      </c>
      <c r="E859" s="3">
        <v>15</v>
      </c>
      <c r="F859" s="4">
        <v>5.803468667762</v>
      </c>
      <c r="G859" s="4">
        <v>-73.038535982576207</v>
      </c>
      <c r="H859" s="9">
        <f t="shared" si="39"/>
        <v>0.80866666666666676</v>
      </c>
      <c r="I859" s="4" t="str">
        <f t="shared" si="40"/>
        <v>Sin riesgo &lt;85%</v>
      </c>
      <c r="J859" s="1" t="s">
        <v>13</v>
      </c>
      <c r="K859" s="1" t="str">
        <f t="shared" si="41"/>
        <v>Sin riesgo</v>
      </c>
    </row>
    <row r="860" spans="1:11">
      <c r="A860" s="1" t="s">
        <v>300</v>
      </c>
      <c r="B860" s="6" t="s">
        <v>12</v>
      </c>
      <c r="C860" s="3">
        <v>5.41</v>
      </c>
      <c r="D860" s="3">
        <v>6.49</v>
      </c>
      <c r="E860" s="3">
        <v>7.96</v>
      </c>
      <c r="F860" s="4">
        <v>5.9730100000000004</v>
      </c>
      <c r="G860" s="4">
        <v>-72.754108000000002</v>
      </c>
      <c r="H860" s="9">
        <f t="shared" si="39"/>
        <v>0.81532663316582921</v>
      </c>
      <c r="I860" s="4" t="str">
        <f t="shared" si="40"/>
        <v>Sin riesgo &lt;85%</v>
      </c>
      <c r="J860" s="1" t="s">
        <v>13</v>
      </c>
      <c r="K860" s="1" t="str">
        <f t="shared" si="41"/>
        <v>Sin riesgo</v>
      </c>
    </row>
    <row r="861" spans="1:11">
      <c r="A861" s="1" t="s">
        <v>300</v>
      </c>
      <c r="B861" s="6" t="s">
        <v>14</v>
      </c>
      <c r="C861" s="3">
        <v>5.7</v>
      </c>
      <c r="D861" s="3">
        <v>6.85</v>
      </c>
      <c r="E861" s="3">
        <v>7.96</v>
      </c>
      <c r="F861" s="4">
        <v>5.9730100000000004</v>
      </c>
      <c r="G861" s="4">
        <v>-72.754108000000002</v>
      </c>
      <c r="H861" s="9">
        <f t="shared" si="39"/>
        <v>0.8605527638190954</v>
      </c>
      <c r="I861" s="4" t="str">
        <f t="shared" si="40"/>
        <v>En riesgo &gt;85%</v>
      </c>
      <c r="J861" s="1" t="s">
        <v>13</v>
      </c>
      <c r="K861" s="1" t="str">
        <f t="shared" si="41"/>
        <v>Sin riesgo</v>
      </c>
    </row>
    <row r="862" spans="1:11">
      <c r="A862" s="1" t="s">
        <v>300</v>
      </c>
      <c r="B862" s="6" t="s">
        <v>15</v>
      </c>
      <c r="C862" s="3">
        <v>5.7</v>
      </c>
      <c r="D862" s="3">
        <v>6.84</v>
      </c>
      <c r="E862" s="3">
        <v>7.96</v>
      </c>
      <c r="F862" s="4">
        <v>5.9730100000000004</v>
      </c>
      <c r="G862" s="4">
        <v>-72.754108000000002</v>
      </c>
      <c r="H862" s="9">
        <f t="shared" si="39"/>
        <v>0.85929648241206025</v>
      </c>
      <c r="I862" s="4" t="str">
        <f t="shared" si="40"/>
        <v>En riesgo &gt;85%</v>
      </c>
      <c r="J862" s="1" t="s">
        <v>13</v>
      </c>
      <c r="K862" s="1" t="str">
        <f t="shared" si="41"/>
        <v>Sin riesgo</v>
      </c>
    </row>
    <row r="863" spans="1:11">
      <c r="A863" s="1" t="s">
        <v>301</v>
      </c>
      <c r="B863" s="6" t="s">
        <v>12</v>
      </c>
      <c r="C863" s="3">
        <v>16.43</v>
      </c>
      <c r="D863" s="3">
        <v>14.87</v>
      </c>
      <c r="E863" s="3">
        <v>15</v>
      </c>
      <c r="F863" s="4">
        <v>5.7603997620977001</v>
      </c>
      <c r="G863" s="4">
        <v>-72.931905581504196</v>
      </c>
      <c r="H863" s="9">
        <f t="shared" si="39"/>
        <v>1.0953333333333333</v>
      </c>
      <c r="I863" s="4" t="str">
        <f t="shared" si="40"/>
        <v>Altamente critico &gt;100%</v>
      </c>
      <c r="J863" s="1" t="s">
        <v>13</v>
      </c>
      <c r="K863" s="1" t="str">
        <f t="shared" si="41"/>
        <v>Sin riesgo</v>
      </c>
    </row>
    <row r="864" spans="1:11">
      <c r="A864" s="1" t="s">
        <v>301</v>
      </c>
      <c r="B864" s="6" t="s">
        <v>14</v>
      </c>
      <c r="C864" s="3">
        <v>17.52</v>
      </c>
      <c r="D864" s="3">
        <v>15.77</v>
      </c>
      <c r="E864" s="3">
        <v>15</v>
      </c>
      <c r="F864" s="4">
        <v>5.7603997620977001</v>
      </c>
      <c r="G864" s="4">
        <v>-72.931905581504196</v>
      </c>
      <c r="H864" s="9">
        <f t="shared" si="39"/>
        <v>1.1679999999999999</v>
      </c>
      <c r="I864" s="4" t="str">
        <f t="shared" si="40"/>
        <v>Altamente critico &gt;100%</v>
      </c>
      <c r="J864" s="1" t="s">
        <v>13</v>
      </c>
      <c r="K864" s="1" t="str">
        <f t="shared" si="41"/>
        <v>Sin riesgo</v>
      </c>
    </row>
    <row r="865" spans="1:11">
      <c r="A865" s="1" t="s">
        <v>301</v>
      </c>
      <c r="B865" s="6" t="s">
        <v>15</v>
      </c>
      <c r="C865" s="3">
        <v>17.53</v>
      </c>
      <c r="D865" s="3">
        <v>15.8</v>
      </c>
      <c r="E865" s="3">
        <v>15</v>
      </c>
      <c r="F865" s="4">
        <v>5.7603997620977001</v>
      </c>
      <c r="G865" s="4">
        <v>-72.931905581504196</v>
      </c>
      <c r="H865" s="9">
        <f t="shared" si="39"/>
        <v>1.1686666666666667</v>
      </c>
      <c r="I865" s="4" t="str">
        <f t="shared" si="40"/>
        <v>Altamente critico &gt;100%</v>
      </c>
      <c r="J865" s="1" t="s">
        <v>13</v>
      </c>
      <c r="K865" s="1" t="str">
        <f t="shared" si="41"/>
        <v>Sin riesgo</v>
      </c>
    </row>
    <row r="866" spans="1:11">
      <c r="A866" s="1" t="s">
        <v>302</v>
      </c>
      <c r="B866" s="6" t="s">
        <v>12</v>
      </c>
      <c r="C866" s="3">
        <v>3.75</v>
      </c>
      <c r="D866" s="3">
        <v>5.63</v>
      </c>
      <c r="E866" s="3">
        <v>8.4499999999999993</v>
      </c>
      <c r="F866" s="4">
        <v>5.0127560000000004</v>
      </c>
      <c r="G866" s="4">
        <v>-73.465956000000006</v>
      </c>
      <c r="H866" s="9">
        <f t="shared" si="39"/>
        <v>0.66627218934911248</v>
      </c>
      <c r="I866" s="4" t="str">
        <f t="shared" si="40"/>
        <v>Sin riesgo &lt;85%</v>
      </c>
      <c r="J866" s="1" t="s">
        <v>13</v>
      </c>
      <c r="K866" s="1" t="str">
        <f t="shared" si="41"/>
        <v>Sin riesgo</v>
      </c>
    </row>
    <row r="867" spans="1:11">
      <c r="A867" s="1" t="s">
        <v>302</v>
      </c>
      <c r="B867" s="6" t="s">
        <v>14</v>
      </c>
      <c r="C867" s="3">
        <v>3.89</v>
      </c>
      <c r="D867" s="3">
        <v>5.84</v>
      </c>
      <c r="E867" s="3">
        <v>8.4499999999999993</v>
      </c>
      <c r="F867" s="4">
        <v>5.0127560000000004</v>
      </c>
      <c r="G867" s="4">
        <v>-73.465956000000006</v>
      </c>
      <c r="H867" s="9">
        <f t="shared" si="39"/>
        <v>0.69112426035502961</v>
      </c>
      <c r="I867" s="4" t="str">
        <f t="shared" si="40"/>
        <v>Sin riesgo &lt;85%</v>
      </c>
      <c r="J867" s="1" t="s">
        <v>13</v>
      </c>
      <c r="K867" s="1" t="str">
        <f t="shared" si="41"/>
        <v>Sin riesgo</v>
      </c>
    </row>
    <row r="868" spans="1:11">
      <c r="A868" s="1" t="s">
        <v>302</v>
      </c>
      <c r="B868" s="6" t="s">
        <v>15</v>
      </c>
      <c r="C868" s="3">
        <v>3.88</v>
      </c>
      <c r="D868" s="3">
        <v>5.84</v>
      </c>
      <c r="E868" s="3">
        <v>8.4499999999999993</v>
      </c>
      <c r="F868" s="4">
        <v>5.0127560000000004</v>
      </c>
      <c r="G868" s="4">
        <v>-73.465956000000006</v>
      </c>
      <c r="H868" s="9">
        <f t="shared" si="39"/>
        <v>0.69112426035502961</v>
      </c>
      <c r="I868" s="4" t="str">
        <f t="shared" si="40"/>
        <v>Sin riesgo &lt;85%</v>
      </c>
      <c r="J868" s="1" t="s">
        <v>13</v>
      </c>
      <c r="K868" s="1" t="str">
        <f t="shared" si="41"/>
        <v>Sin riesgo</v>
      </c>
    </row>
    <row r="869" spans="1:11">
      <c r="A869" s="1" t="s">
        <v>303</v>
      </c>
      <c r="B869" s="6" t="s">
        <v>12</v>
      </c>
      <c r="C869" s="3">
        <v>8.07</v>
      </c>
      <c r="D869" s="3">
        <v>7.07</v>
      </c>
      <c r="E869" s="3">
        <v>16</v>
      </c>
      <c r="F869" s="4">
        <v>5.4520999999999997</v>
      </c>
      <c r="G869" s="4">
        <v>-72.454700000000003</v>
      </c>
      <c r="H869" s="9">
        <f t="shared" si="39"/>
        <v>0.50437500000000002</v>
      </c>
      <c r="I869" s="4" t="str">
        <f t="shared" si="40"/>
        <v>Sin riesgo &lt;85%</v>
      </c>
      <c r="J869" s="1" t="s">
        <v>13</v>
      </c>
      <c r="K869" s="1" t="str">
        <f t="shared" si="41"/>
        <v>Sin riesgo</v>
      </c>
    </row>
    <row r="870" spans="1:11">
      <c r="A870" s="1" t="s">
        <v>303</v>
      </c>
      <c r="B870" s="6" t="s">
        <v>14</v>
      </c>
      <c r="C870" s="3">
        <v>10.59</v>
      </c>
      <c r="D870" s="3">
        <v>9.99</v>
      </c>
      <c r="E870" s="3">
        <v>16</v>
      </c>
      <c r="F870" s="4">
        <v>5.4520999999999997</v>
      </c>
      <c r="G870" s="4">
        <v>-72.454700000000003</v>
      </c>
      <c r="H870" s="9">
        <f t="shared" si="39"/>
        <v>0.66187499999999999</v>
      </c>
      <c r="I870" s="4" t="str">
        <f t="shared" si="40"/>
        <v>Sin riesgo &lt;85%</v>
      </c>
      <c r="J870" s="1" t="s">
        <v>13</v>
      </c>
      <c r="K870" s="1" t="str">
        <f t="shared" si="41"/>
        <v>Sin riesgo</v>
      </c>
    </row>
    <row r="871" spans="1:11">
      <c r="A871" s="1" t="s">
        <v>303</v>
      </c>
      <c r="B871" s="6" t="s">
        <v>15</v>
      </c>
      <c r="C871" s="3">
        <v>10.58</v>
      </c>
      <c r="D871" s="3">
        <v>9.99</v>
      </c>
      <c r="E871" s="3">
        <v>16</v>
      </c>
      <c r="F871" s="4">
        <v>5.4520999999999997</v>
      </c>
      <c r="G871" s="4">
        <v>-72.454700000000003</v>
      </c>
      <c r="H871" s="9">
        <f t="shared" si="39"/>
        <v>0.66125</v>
      </c>
      <c r="I871" s="4" t="str">
        <f t="shared" si="40"/>
        <v>Sin riesgo &lt;85%</v>
      </c>
      <c r="J871" s="1" t="s">
        <v>13</v>
      </c>
      <c r="K871" s="1" t="str">
        <f t="shared" si="41"/>
        <v>Sin riesgo</v>
      </c>
    </row>
    <row r="872" spans="1:11">
      <c r="A872" s="1" t="s">
        <v>304</v>
      </c>
      <c r="B872" s="6" t="s">
        <v>12</v>
      </c>
      <c r="C872" s="3">
        <v>8.1300000000000008</v>
      </c>
      <c r="D872" s="3">
        <v>9.36</v>
      </c>
      <c r="E872" s="3">
        <v>21.04</v>
      </c>
      <c r="F872" s="4">
        <v>5.3617809999999997</v>
      </c>
      <c r="G872" s="4">
        <v>-73.374797999999998</v>
      </c>
      <c r="H872" s="9">
        <f t="shared" si="39"/>
        <v>0.44486692015209123</v>
      </c>
      <c r="I872" s="4" t="str">
        <f t="shared" si="40"/>
        <v>Sin riesgo &lt;85%</v>
      </c>
      <c r="J872" s="1" t="s">
        <v>13</v>
      </c>
      <c r="K872" s="1" t="str">
        <f t="shared" si="41"/>
        <v>Sin riesgo</v>
      </c>
    </row>
    <row r="873" spans="1:11">
      <c r="A873" s="1" t="s">
        <v>304</v>
      </c>
      <c r="B873" s="6" t="s">
        <v>14</v>
      </c>
      <c r="C873" s="3">
        <v>8.41</v>
      </c>
      <c r="D873" s="3">
        <v>9.75</v>
      </c>
      <c r="E873" s="3">
        <v>21.04</v>
      </c>
      <c r="F873" s="4">
        <v>5.3617809999999997</v>
      </c>
      <c r="G873" s="4">
        <v>-73.374797999999998</v>
      </c>
      <c r="H873" s="9">
        <f t="shared" si="39"/>
        <v>0.46340304182509506</v>
      </c>
      <c r="I873" s="4" t="str">
        <f t="shared" si="40"/>
        <v>Sin riesgo &lt;85%</v>
      </c>
      <c r="J873" s="1" t="s">
        <v>13</v>
      </c>
      <c r="K873" s="1" t="str">
        <f t="shared" si="41"/>
        <v>Sin riesgo</v>
      </c>
    </row>
    <row r="874" spans="1:11">
      <c r="A874" s="1" t="s">
        <v>304</v>
      </c>
      <c r="B874" s="6" t="s">
        <v>15</v>
      </c>
      <c r="C874" s="3">
        <v>8.4</v>
      </c>
      <c r="D874" s="3">
        <v>9.7899999999999991</v>
      </c>
      <c r="E874" s="3">
        <v>21.04</v>
      </c>
      <c r="F874" s="4">
        <v>5.3617809999999997</v>
      </c>
      <c r="G874" s="4">
        <v>-73.374797999999998</v>
      </c>
      <c r="H874" s="9">
        <f t="shared" si="39"/>
        <v>0.46530418250950567</v>
      </c>
      <c r="I874" s="4" t="str">
        <f t="shared" si="40"/>
        <v>Sin riesgo &lt;85%</v>
      </c>
      <c r="J874" s="1" t="s">
        <v>13</v>
      </c>
      <c r="K874" s="1" t="str">
        <f t="shared" si="41"/>
        <v>Sin riesgo</v>
      </c>
    </row>
    <row r="875" spans="1:11">
      <c r="A875" s="1" t="s">
        <v>305</v>
      </c>
      <c r="B875" s="6" t="s">
        <v>12</v>
      </c>
      <c r="C875" s="3">
        <v>4.03</v>
      </c>
      <c r="D875" s="3">
        <v>4.38</v>
      </c>
      <c r="E875" s="3">
        <v>31.5</v>
      </c>
      <c r="F875" s="4">
        <v>6.2520788954371804</v>
      </c>
      <c r="G875" s="4">
        <v>-73.303194280134804</v>
      </c>
      <c r="H875" s="9">
        <f t="shared" si="39"/>
        <v>0.13904761904761903</v>
      </c>
      <c r="I875" s="4" t="str">
        <f t="shared" si="40"/>
        <v>Sin riesgo &lt;85%</v>
      </c>
      <c r="J875" s="1" t="s">
        <v>13</v>
      </c>
      <c r="K875" s="1" t="str">
        <f t="shared" si="41"/>
        <v>Sin riesgo</v>
      </c>
    </row>
    <row r="876" spans="1:11">
      <c r="A876" s="1" t="s">
        <v>305</v>
      </c>
      <c r="B876" s="6" t="s">
        <v>14</v>
      </c>
      <c r="C876" s="3">
        <v>5.27</v>
      </c>
      <c r="D876" s="3">
        <v>5.91</v>
      </c>
      <c r="E876" s="3">
        <v>31.5</v>
      </c>
      <c r="F876" s="4">
        <v>6.2520788954371804</v>
      </c>
      <c r="G876" s="4">
        <v>-73.303194280134804</v>
      </c>
      <c r="H876" s="9">
        <f t="shared" si="39"/>
        <v>0.18761904761904763</v>
      </c>
      <c r="I876" s="4" t="str">
        <f t="shared" si="40"/>
        <v>Sin riesgo &lt;85%</v>
      </c>
      <c r="J876" s="1" t="s">
        <v>13</v>
      </c>
      <c r="K876" s="1" t="str">
        <f t="shared" si="41"/>
        <v>Sin riesgo</v>
      </c>
    </row>
    <row r="877" spans="1:11">
      <c r="A877" s="1" t="s">
        <v>305</v>
      </c>
      <c r="B877" s="6" t="s">
        <v>15</v>
      </c>
      <c r="C877" s="3">
        <v>5.29</v>
      </c>
      <c r="D877" s="3">
        <v>5.94</v>
      </c>
      <c r="E877" s="3">
        <v>31.5</v>
      </c>
      <c r="F877" s="4">
        <v>6.2520788954371804</v>
      </c>
      <c r="G877" s="4">
        <v>-73.303194280134804</v>
      </c>
      <c r="H877" s="9">
        <f t="shared" si="39"/>
        <v>0.18857142857142858</v>
      </c>
      <c r="I877" s="4" t="str">
        <f t="shared" si="40"/>
        <v>Sin riesgo &lt;85%</v>
      </c>
      <c r="J877" s="1" t="s">
        <v>13</v>
      </c>
      <c r="K877" s="1" t="str">
        <f t="shared" si="41"/>
        <v>Sin riesgo</v>
      </c>
    </row>
    <row r="878" spans="1:11">
      <c r="A878" s="1" t="s">
        <v>306</v>
      </c>
      <c r="B878" s="6" t="s">
        <v>12</v>
      </c>
      <c r="C878" s="3">
        <v>3.28</v>
      </c>
      <c r="D878" s="3">
        <v>3.47</v>
      </c>
      <c r="E878" s="3">
        <v>31.5</v>
      </c>
      <c r="F878" s="4">
        <v>6.2520788954371804</v>
      </c>
      <c r="G878" s="4">
        <v>-73.303194280134804</v>
      </c>
      <c r="H878" s="9">
        <f t="shared" si="39"/>
        <v>0.11015873015873016</v>
      </c>
      <c r="I878" s="4" t="str">
        <f t="shared" si="40"/>
        <v>Sin riesgo &lt;85%</v>
      </c>
      <c r="J878" s="1" t="s">
        <v>13</v>
      </c>
      <c r="K878" s="1" t="str">
        <f t="shared" si="41"/>
        <v>Sin riesgo</v>
      </c>
    </row>
    <row r="879" spans="1:11">
      <c r="A879" s="1" t="s">
        <v>306</v>
      </c>
      <c r="B879" s="6" t="s">
        <v>14</v>
      </c>
      <c r="C879" s="3">
        <v>3.94</v>
      </c>
      <c r="D879" s="3">
        <v>4.32</v>
      </c>
      <c r="E879" s="3">
        <v>31.5</v>
      </c>
      <c r="F879" s="4">
        <v>6.2520788954371804</v>
      </c>
      <c r="G879" s="4">
        <v>-73.303194280134804</v>
      </c>
      <c r="H879" s="9">
        <f t="shared" si="39"/>
        <v>0.13714285714285715</v>
      </c>
      <c r="I879" s="4" t="str">
        <f t="shared" si="40"/>
        <v>Sin riesgo &lt;85%</v>
      </c>
      <c r="J879" s="1" t="s">
        <v>13</v>
      </c>
      <c r="K879" s="1" t="str">
        <f t="shared" si="41"/>
        <v>Sin riesgo</v>
      </c>
    </row>
    <row r="880" spans="1:11">
      <c r="A880" s="1" t="s">
        <v>306</v>
      </c>
      <c r="B880" s="6" t="s">
        <v>15</v>
      </c>
      <c r="C880" s="3">
        <v>3.94</v>
      </c>
      <c r="D880" s="3">
        <v>4.33</v>
      </c>
      <c r="E880" s="3">
        <v>31.5</v>
      </c>
      <c r="F880" s="4">
        <v>6.2520788954371804</v>
      </c>
      <c r="G880" s="4">
        <v>-73.303194280134804</v>
      </c>
      <c r="H880" s="9">
        <f t="shared" si="39"/>
        <v>0.13746031746031745</v>
      </c>
      <c r="I880" s="4" t="str">
        <f t="shared" si="40"/>
        <v>Sin riesgo &lt;85%</v>
      </c>
      <c r="J880" s="1" t="s">
        <v>13</v>
      </c>
      <c r="K880" s="1" t="str">
        <f t="shared" si="41"/>
        <v>Sin riesgo</v>
      </c>
    </row>
    <row r="881" spans="1:11">
      <c r="A881" s="1" t="s">
        <v>307</v>
      </c>
      <c r="B881" s="6" t="s">
        <v>12</v>
      </c>
      <c r="C881" s="3">
        <v>44.73</v>
      </c>
      <c r="D881" s="3">
        <v>25.6</v>
      </c>
      <c r="E881" s="3">
        <v>20</v>
      </c>
      <c r="F881" s="4">
        <v>5.7686729999999997</v>
      </c>
      <c r="G881" s="4">
        <v>-73.145875000000004</v>
      </c>
      <c r="H881" s="9">
        <f t="shared" si="39"/>
        <v>2.2364999999999999</v>
      </c>
      <c r="I881" s="4" t="str">
        <f t="shared" si="40"/>
        <v>Altamente critico &gt;100%</v>
      </c>
      <c r="J881" s="1" t="s">
        <v>13</v>
      </c>
      <c r="K881" s="1" t="str">
        <f t="shared" si="41"/>
        <v>Sin riesgo</v>
      </c>
    </row>
    <row r="882" spans="1:11">
      <c r="A882" s="1" t="s">
        <v>307</v>
      </c>
      <c r="B882" s="6" t="s">
        <v>14</v>
      </c>
      <c r="C882" s="3">
        <v>40.85</v>
      </c>
      <c r="D882" s="3">
        <v>27.09</v>
      </c>
      <c r="E882" s="3">
        <v>20</v>
      </c>
      <c r="F882" s="4">
        <v>5.7686729999999997</v>
      </c>
      <c r="G882" s="4">
        <v>-73.145875000000004</v>
      </c>
      <c r="H882" s="9">
        <f t="shared" si="39"/>
        <v>2.0425</v>
      </c>
      <c r="I882" s="4" t="str">
        <f t="shared" si="40"/>
        <v>Altamente critico &gt;100%</v>
      </c>
      <c r="J882" s="1" t="s">
        <v>13</v>
      </c>
      <c r="K882" s="1" t="str">
        <f t="shared" si="41"/>
        <v>Sin riesgo</v>
      </c>
    </row>
    <row r="883" spans="1:11">
      <c r="A883" s="1" t="s">
        <v>307</v>
      </c>
      <c r="B883" s="6" t="s">
        <v>15</v>
      </c>
      <c r="C883" s="3">
        <v>39.700000000000003</v>
      </c>
      <c r="D883" s="3">
        <v>27.36</v>
      </c>
      <c r="E883" s="3">
        <v>20</v>
      </c>
      <c r="F883" s="4">
        <v>5.7686729999999997</v>
      </c>
      <c r="G883" s="4">
        <v>-73.145875000000004</v>
      </c>
      <c r="H883" s="9">
        <f t="shared" si="39"/>
        <v>1.9850000000000001</v>
      </c>
      <c r="I883" s="4" t="str">
        <f t="shared" si="40"/>
        <v>Altamente critico &gt;100%</v>
      </c>
      <c r="J883" s="1" t="s">
        <v>13</v>
      </c>
      <c r="K883" s="1" t="str">
        <f t="shared" si="41"/>
        <v>Sin riesgo</v>
      </c>
    </row>
    <row r="884" spans="1:11">
      <c r="A884" s="1" t="s">
        <v>308</v>
      </c>
      <c r="B884" s="6" t="s">
        <v>12</v>
      </c>
      <c r="C884" s="3">
        <v>28.59</v>
      </c>
      <c r="D884" s="3">
        <v>15.2</v>
      </c>
      <c r="E884" s="3">
        <v>20</v>
      </c>
      <c r="F884" s="4">
        <v>5.7686729999999997</v>
      </c>
      <c r="G884" s="4">
        <v>-73.145875000000004</v>
      </c>
      <c r="H884" s="9">
        <f t="shared" si="39"/>
        <v>1.4295</v>
      </c>
      <c r="I884" s="4" t="str">
        <f t="shared" si="40"/>
        <v>Altamente critico &gt;100%</v>
      </c>
      <c r="J884" s="1" t="s">
        <v>13</v>
      </c>
      <c r="K884" s="1" t="str">
        <f t="shared" si="41"/>
        <v>Sin riesgo</v>
      </c>
    </row>
    <row r="885" spans="1:11">
      <c r="A885" s="1" t="s">
        <v>308</v>
      </c>
      <c r="B885" s="6" t="s">
        <v>14</v>
      </c>
      <c r="C885" s="3">
        <v>29.29</v>
      </c>
      <c r="D885" s="3">
        <v>16.489999999999998</v>
      </c>
      <c r="E885" s="3">
        <v>20</v>
      </c>
      <c r="F885" s="4">
        <v>5.7686729999999997</v>
      </c>
      <c r="G885" s="4">
        <v>-73.145875000000004</v>
      </c>
      <c r="H885" s="9">
        <f t="shared" si="39"/>
        <v>1.4644999999999999</v>
      </c>
      <c r="I885" s="4" t="str">
        <f t="shared" si="40"/>
        <v>Altamente critico &gt;100%</v>
      </c>
      <c r="J885" s="1" t="s">
        <v>13</v>
      </c>
      <c r="K885" s="1" t="str">
        <f t="shared" si="41"/>
        <v>Sin riesgo</v>
      </c>
    </row>
    <row r="886" spans="1:11">
      <c r="A886" s="1" t="s">
        <v>308</v>
      </c>
      <c r="B886" s="6" t="s">
        <v>15</v>
      </c>
      <c r="C886" s="3">
        <v>28.61</v>
      </c>
      <c r="D886" s="3">
        <v>16.579999999999998</v>
      </c>
      <c r="E886" s="3">
        <v>20</v>
      </c>
      <c r="F886" s="4">
        <v>5.7686729999999997</v>
      </c>
      <c r="G886" s="4">
        <v>-73.145875000000004</v>
      </c>
      <c r="H886" s="9">
        <f t="shared" si="39"/>
        <v>1.4304999999999999</v>
      </c>
      <c r="I886" s="4" t="str">
        <f t="shared" si="40"/>
        <v>Altamente critico &gt;100%</v>
      </c>
      <c r="J886" s="1" t="s">
        <v>13</v>
      </c>
      <c r="K886" s="1" t="str">
        <f t="shared" si="41"/>
        <v>Sin riesgo</v>
      </c>
    </row>
    <row r="887" spans="1:11">
      <c r="A887" s="1" t="s">
        <v>309</v>
      </c>
      <c r="B887" s="6" t="s">
        <v>12</v>
      </c>
      <c r="C887" s="3">
        <v>1.28</v>
      </c>
      <c r="D887" s="3">
        <v>1.47</v>
      </c>
      <c r="E887" s="3">
        <v>20</v>
      </c>
      <c r="F887" s="4">
        <v>5.874771</v>
      </c>
      <c r="G887" s="4">
        <v>-71.900165000000001</v>
      </c>
      <c r="H887" s="9">
        <f t="shared" si="39"/>
        <v>7.3499999999999996E-2</v>
      </c>
      <c r="I887" s="4" t="str">
        <f t="shared" si="40"/>
        <v>Sin riesgo &lt;85%</v>
      </c>
      <c r="J887" s="1" t="s">
        <v>13</v>
      </c>
      <c r="K887" s="1" t="str">
        <f t="shared" si="41"/>
        <v>Sin riesgo</v>
      </c>
    </row>
    <row r="888" spans="1:11">
      <c r="A888" s="1" t="s">
        <v>309</v>
      </c>
      <c r="B888" s="6" t="s">
        <v>14</v>
      </c>
      <c r="C888" s="3">
        <v>1.43</v>
      </c>
      <c r="D888" s="3">
        <v>1.68</v>
      </c>
      <c r="E888" s="3">
        <v>20</v>
      </c>
      <c r="F888" s="4">
        <v>5.874771</v>
      </c>
      <c r="G888" s="4">
        <v>-71.900165000000001</v>
      </c>
      <c r="H888" s="9">
        <f t="shared" si="39"/>
        <v>8.3999999999999991E-2</v>
      </c>
      <c r="I888" s="4" t="str">
        <f t="shared" si="40"/>
        <v>Sin riesgo &lt;85%</v>
      </c>
      <c r="J888" s="1" t="s">
        <v>13</v>
      </c>
      <c r="K888" s="1" t="str">
        <f t="shared" si="41"/>
        <v>Sin riesgo</v>
      </c>
    </row>
    <row r="889" spans="1:11">
      <c r="A889" s="1" t="s">
        <v>309</v>
      </c>
      <c r="B889" s="6" t="s">
        <v>15</v>
      </c>
      <c r="C889" s="3">
        <v>1.43</v>
      </c>
      <c r="D889" s="3">
        <v>1.68</v>
      </c>
      <c r="E889" s="3">
        <v>20</v>
      </c>
      <c r="F889" s="4">
        <v>5.874771</v>
      </c>
      <c r="G889" s="4">
        <v>-71.900165000000001</v>
      </c>
      <c r="H889" s="9">
        <f t="shared" si="39"/>
        <v>8.3999999999999991E-2</v>
      </c>
      <c r="I889" s="4" t="str">
        <f t="shared" si="40"/>
        <v>Sin riesgo &lt;85%</v>
      </c>
      <c r="J889" s="1" t="s">
        <v>13</v>
      </c>
      <c r="K889" s="1" t="str">
        <f t="shared" si="41"/>
        <v>Sin riesgo</v>
      </c>
    </row>
    <row r="890" spans="1:11">
      <c r="A890" s="1" t="s">
        <v>310</v>
      </c>
      <c r="B890" s="6" t="s">
        <v>12</v>
      </c>
      <c r="C890" s="3">
        <v>15.49</v>
      </c>
      <c r="D890" s="3">
        <v>14.48</v>
      </c>
      <c r="E890" s="3">
        <v>15</v>
      </c>
      <c r="F890" s="4">
        <v>5.7419442307622504</v>
      </c>
      <c r="G890" s="4">
        <v>-72.915422796895101</v>
      </c>
      <c r="H890" s="9">
        <f t="shared" si="39"/>
        <v>1.0326666666666666</v>
      </c>
      <c r="I890" s="4" t="str">
        <f t="shared" si="40"/>
        <v>Altamente critico &gt;100%</v>
      </c>
      <c r="J890" s="1" t="s">
        <v>13</v>
      </c>
      <c r="K890" s="1" t="str">
        <f t="shared" si="41"/>
        <v>Sin riesgo</v>
      </c>
    </row>
    <row r="891" spans="1:11">
      <c r="A891" s="1" t="s">
        <v>310</v>
      </c>
      <c r="B891" s="6" t="s">
        <v>14</v>
      </c>
      <c r="C891" s="3">
        <v>16.5</v>
      </c>
      <c r="D891" s="3">
        <v>15.37</v>
      </c>
      <c r="E891" s="3">
        <v>15</v>
      </c>
      <c r="F891" s="4">
        <v>5.7419442307622504</v>
      </c>
      <c r="G891" s="4">
        <v>-72.915422796895101</v>
      </c>
      <c r="H891" s="9">
        <f t="shared" si="39"/>
        <v>1.1000000000000001</v>
      </c>
      <c r="I891" s="4" t="str">
        <f t="shared" si="40"/>
        <v>Altamente critico &gt;100%</v>
      </c>
      <c r="J891" s="1" t="s">
        <v>13</v>
      </c>
      <c r="K891" s="1" t="str">
        <f t="shared" si="41"/>
        <v>Sin riesgo</v>
      </c>
    </row>
    <row r="892" spans="1:11">
      <c r="A892" s="1" t="s">
        <v>310</v>
      </c>
      <c r="B892" s="6" t="s">
        <v>15</v>
      </c>
      <c r="C892" s="3">
        <v>16.510000000000002</v>
      </c>
      <c r="D892" s="3">
        <v>15.39</v>
      </c>
      <c r="E892" s="3">
        <v>15</v>
      </c>
      <c r="F892" s="4">
        <v>5.7419442307622504</v>
      </c>
      <c r="G892" s="4">
        <v>-72.915422796895101</v>
      </c>
      <c r="H892" s="9">
        <f t="shared" si="39"/>
        <v>1.1006666666666667</v>
      </c>
      <c r="I892" s="4" t="str">
        <f t="shared" si="40"/>
        <v>Altamente critico &gt;100%</v>
      </c>
      <c r="J892" s="1" t="s">
        <v>13</v>
      </c>
      <c r="K892" s="1" t="str">
        <f t="shared" si="41"/>
        <v>Sin riesgo</v>
      </c>
    </row>
    <row r="893" spans="1:11">
      <c r="A893" s="1" t="s">
        <v>311</v>
      </c>
      <c r="B893" s="6" t="s">
        <v>12</v>
      </c>
      <c r="C893" s="3">
        <v>20.04</v>
      </c>
      <c r="D893" s="3">
        <v>16.989999999999998</v>
      </c>
      <c r="E893" s="3">
        <v>20</v>
      </c>
      <c r="F893" s="4">
        <v>3.4474269999999998</v>
      </c>
      <c r="G893" s="4">
        <v>-76.542624000000004</v>
      </c>
      <c r="H893" s="9">
        <f t="shared" si="39"/>
        <v>1.002</v>
      </c>
      <c r="I893" s="4" t="str">
        <f t="shared" si="40"/>
        <v>Altamente critico &gt;100%</v>
      </c>
      <c r="J893" s="1" t="s">
        <v>13</v>
      </c>
      <c r="K893" s="1" t="str">
        <f t="shared" si="41"/>
        <v>Sin riesgo</v>
      </c>
    </row>
    <row r="894" spans="1:11">
      <c r="A894" s="1" t="s">
        <v>311</v>
      </c>
      <c r="B894" s="6" t="s">
        <v>14</v>
      </c>
      <c r="C894" s="3">
        <v>21.48</v>
      </c>
      <c r="D894" s="3">
        <v>18.059999999999999</v>
      </c>
      <c r="E894" s="3">
        <v>20</v>
      </c>
      <c r="F894" s="4">
        <v>3.4474269999999998</v>
      </c>
      <c r="G894" s="4">
        <v>-76.542624000000004</v>
      </c>
      <c r="H894" s="9">
        <f t="shared" si="39"/>
        <v>1.0740000000000001</v>
      </c>
      <c r="I894" s="4" t="str">
        <f t="shared" si="40"/>
        <v>Altamente critico &gt;100%</v>
      </c>
      <c r="J894" s="1" t="s">
        <v>13</v>
      </c>
      <c r="K894" s="1" t="str">
        <f t="shared" si="41"/>
        <v>Sin riesgo</v>
      </c>
    </row>
    <row r="895" spans="1:11">
      <c r="A895" s="1" t="s">
        <v>311</v>
      </c>
      <c r="B895" s="6" t="s">
        <v>15</v>
      </c>
      <c r="C895" s="3">
        <v>21.5</v>
      </c>
      <c r="D895" s="3">
        <v>18.100000000000001</v>
      </c>
      <c r="E895" s="3">
        <v>20</v>
      </c>
      <c r="F895" s="4">
        <v>3.4474269999999998</v>
      </c>
      <c r="G895" s="4">
        <v>-76.542624000000004</v>
      </c>
      <c r="H895" s="9">
        <f t="shared" si="39"/>
        <v>1.075</v>
      </c>
      <c r="I895" s="4" t="str">
        <f t="shared" si="40"/>
        <v>Altamente critico &gt;100%</v>
      </c>
      <c r="J895" s="1" t="s">
        <v>13</v>
      </c>
      <c r="K895" s="1" t="str">
        <f t="shared" si="41"/>
        <v>Sin riesgo</v>
      </c>
    </row>
    <row r="896" spans="1:11">
      <c r="A896" s="1" t="s">
        <v>312</v>
      </c>
      <c r="B896" s="6" t="s">
        <v>12</v>
      </c>
      <c r="C896" s="3">
        <v>11.35</v>
      </c>
      <c r="D896" s="3">
        <v>11.18</v>
      </c>
      <c r="E896" s="3">
        <v>40</v>
      </c>
      <c r="F896" s="4">
        <v>3.4474269999999998</v>
      </c>
      <c r="G896" s="4">
        <v>-76.542624000000004</v>
      </c>
      <c r="H896" s="9">
        <f t="shared" si="39"/>
        <v>0.28375</v>
      </c>
      <c r="I896" s="4" t="str">
        <f t="shared" si="40"/>
        <v>Sin riesgo &lt;85%</v>
      </c>
      <c r="J896" s="1" t="s">
        <v>13</v>
      </c>
      <c r="K896" s="1" t="str">
        <f t="shared" si="41"/>
        <v>Sin riesgo</v>
      </c>
    </row>
    <row r="897" spans="1:11">
      <c r="A897" s="1" t="s">
        <v>312</v>
      </c>
      <c r="B897" s="6" t="s">
        <v>14</v>
      </c>
      <c r="C897" s="3">
        <v>13.81</v>
      </c>
      <c r="D897" s="3">
        <v>13.22</v>
      </c>
      <c r="E897" s="3">
        <v>40</v>
      </c>
      <c r="F897" s="4">
        <v>3.4474269999999998</v>
      </c>
      <c r="G897" s="4">
        <v>-76.542624000000004</v>
      </c>
      <c r="H897" s="9">
        <f t="shared" si="39"/>
        <v>0.34525</v>
      </c>
      <c r="I897" s="4" t="str">
        <f t="shared" si="40"/>
        <v>Sin riesgo &lt;85%</v>
      </c>
      <c r="J897" s="1" t="s">
        <v>13</v>
      </c>
      <c r="K897" s="1" t="str">
        <f t="shared" si="41"/>
        <v>Sin riesgo</v>
      </c>
    </row>
    <row r="898" spans="1:11">
      <c r="A898" s="1" t="s">
        <v>312</v>
      </c>
      <c r="B898" s="6" t="s">
        <v>15</v>
      </c>
      <c r="C898" s="3">
        <v>13.82</v>
      </c>
      <c r="D898" s="3">
        <v>13.26</v>
      </c>
      <c r="E898" s="3">
        <v>40</v>
      </c>
      <c r="F898" s="4">
        <v>3.4474269999999998</v>
      </c>
      <c r="G898" s="4">
        <v>-76.542624000000004</v>
      </c>
      <c r="H898" s="9">
        <f t="shared" si="39"/>
        <v>0.34550000000000003</v>
      </c>
      <c r="I898" s="4" t="str">
        <f t="shared" si="40"/>
        <v>Sin riesgo &lt;85%</v>
      </c>
      <c r="J898" s="1" t="s">
        <v>13</v>
      </c>
      <c r="K898" s="1" t="str">
        <f t="shared" si="41"/>
        <v>Sin riesgo</v>
      </c>
    </row>
    <row r="899" spans="1:11">
      <c r="A899" s="1" t="s">
        <v>313</v>
      </c>
      <c r="B899" s="6" t="s">
        <v>12</v>
      </c>
      <c r="C899" s="3">
        <v>1.02</v>
      </c>
      <c r="D899" s="3">
        <v>1.29</v>
      </c>
      <c r="E899" s="3">
        <v>31.5</v>
      </c>
      <c r="F899" s="4">
        <v>3.4851580000000002</v>
      </c>
      <c r="G899" s="4">
        <v>-76.48706</v>
      </c>
      <c r="H899" s="9">
        <f t="shared" ref="H899:H962" si="42">IF(C899&gt;D899,C899/E899,D899/E899)</f>
        <v>4.0952380952380955E-2</v>
      </c>
      <c r="I899" s="4" t="str">
        <f t="shared" ref="I899:I962" si="43">IF(H899&gt;100%,"Altamente critico &gt;100%",IF(H899&gt;95%,"Critico &gt;95%",IF(H899&gt;85%,"En riesgo &gt;85%","Sin riesgo &lt;85%")))</f>
        <v>Sin riesgo &lt;85%</v>
      </c>
      <c r="J899" s="1" t="s">
        <v>13</v>
      </c>
      <c r="K899" s="1" t="str">
        <f t="shared" ref="K899:K962" si="44">IF(J899="&gt;5","Sin riesgo",IF(J899&gt;1.5,"Estado de alerta","Estado critico"))</f>
        <v>Sin riesgo</v>
      </c>
    </row>
    <row r="900" spans="1:11">
      <c r="A900" s="1" t="s">
        <v>313</v>
      </c>
      <c r="B900" s="6" t="s">
        <v>14</v>
      </c>
      <c r="C900" s="3">
        <v>1.1399999999999999</v>
      </c>
      <c r="D900" s="3">
        <v>1.47</v>
      </c>
      <c r="E900" s="3">
        <v>31.5</v>
      </c>
      <c r="F900" s="4">
        <v>3.4851580000000002</v>
      </c>
      <c r="G900" s="4">
        <v>-76.48706</v>
      </c>
      <c r="H900" s="9">
        <f t="shared" si="42"/>
        <v>4.6666666666666669E-2</v>
      </c>
      <c r="I900" s="4" t="str">
        <f t="shared" si="43"/>
        <v>Sin riesgo &lt;85%</v>
      </c>
      <c r="J900" s="1" t="s">
        <v>13</v>
      </c>
      <c r="K900" s="1" t="str">
        <f t="shared" si="44"/>
        <v>Sin riesgo</v>
      </c>
    </row>
    <row r="901" spans="1:11">
      <c r="A901" s="1" t="s">
        <v>313</v>
      </c>
      <c r="B901" s="6" t="s">
        <v>15</v>
      </c>
      <c r="C901" s="3">
        <v>1.1299999999999999</v>
      </c>
      <c r="D901" s="3">
        <v>1.47</v>
      </c>
      <c r="E901" s="3">
        <v>31.5</v>
      </c>
      <c r="F901" s="4">
        <v>3.4851580000000002</v>
      </c>
      <c r="G901" s="4">
        <v>-76.48706</v>
      </c>
      <c r="H901" s="9">
        <f t="shared" si="42"/>
        <v>4.6666666666666669E-2</v>
      </c>
      <c r="I901" s="4" t="str">
        <f t="shared" si="43"/>
        <v>Sin riesgo &lt;85%</v>
      </c>
      <c r="J901" s="1" t="s">
        <v>13</v>
      </c>
      <c r="K901" s="1" t="str">
        <f t="shared" si="44"/>
        <v>Sin riesgo</v>
      </c>
    </row>
    <row r="902" spans="1:11">
      <c r="A902" s="1" t="s">
        <v>314</v>
      </c>
      <c r="B902" s="6" t="s">
        <v>12</v>
      </c>
      <c r="C902" s="3">
        <v>1.57</v>
      </c>
      <c r="D902" s="3">
        <v>2.2799999999999998</v>
      </c>
      <c r="E902" s="3">
        <v>25</v>
      </c>
      <c r="F902" s="4">
        <v>5.6608710000000002</v>
      </c>
      <c r="G902" s="4">
        <v>-74.170603999999997</v>
      </c>
      <c r="H902" s="9">
        <f t="shared" si="42"/>
        <v>9.1199999999999989E-2</v>
      </c>
      <c r="I902" s="4" t="str">
        <f t="shared" si="43"/>
        <v>Sin riesgo &lt;85%</v>
      </c>
      <c r="J902" s="1" t="s">
        <v>13</v>
      </c>
      <c r="K902" s="1" t="str">
        <f t="shared" si="44"/>
        <v>Sin riesgo</v>
      </c>
    </row>
    <row r="903" spans="1:11">
      <c r="A903" s="1" t="s">
        <v>314</v>
      </c>
      <c r="B903" s="6" t="s">
        <v>14</v>
      </c>
      <c r="C903" s="3">
        <v>1.62</v>
      </c>
      <c r="D903" s="3">
        <v>2.36</v>
      </c>
      <c r="E903" s="3">
        <v>25</v>
      </c>
      <c r="F903" s="4">
        <v>5.6608710000000002</v>
      </c>
      <c r="G903" s="4">
        <v>-74.170603999999997</v>
      </c>
      <c r="H903" s="9">
        <f t="shared" si="42"/>
        <v>9.4399999999999998E-2</v>
      </c>
      <c r="I903" s="4" t="str">
        <f t="shared" si="43"/>
        <v>Sin riesgo &lt;85%</v>
      </c>
      <c r="J903" s="1" t="s">
        <v>13</v>
      </c>
      <c r="K903" s="1" t="str">
        <f t="shared" si="44"/>
        <v>Sin riesgo</v>
      </c>
    </row>
    <row r="904" spans="1:11">
      <c r="A904" s="1" t="s">
        <v>314</v>
      </c>
      <c r="B904" s="6" t="s">
        <v>15</v>
      </c>
      <c r="C904" s="3">
        <v>1.62</v>
      </c>
      <c r="D904" s="3">
        <v>2.36</v>
      </c>
      <c r="E904" s="3">
        <v>25</v>
      </c>
      <c r="F904" s="4">
        <v>5.6608710000000002</v>
      </c>
      <c r="G904" s="4">
        <v>-74.170603999999997</v>
      </c>
      <c r="H904" s="9">
        <f t="shared" si="42"/>
        <v>9.4399999999999998E-2</v>
      </c>
      <c r="I904" s="4" t="str">
        <f t="shared" si="43"/>
        <v>Sin riesgo &lt;85%</v>
      </c>
      <c r="J904" s="1" t="s">
        <v>13</v>
      </c>
      <c r="K904" s="1" t="str">
        <f t="shared" si="44"/>
        <v>Sin riesgo</v>
      </c>
    </row>
    <row r="905" spans="1:11">
      <c r="A905" s="1" t="s">
        <v>315</v>
      </c>
      <c r="B905" s="6" t="s">
        <v>12</v>
      </c>
      <c r="C905" s="3">
        <v>0.44</v>
      </c>
      <c r="D905" s="3">
        <v>0.67</v>
      </c>
      <c r="E905" s="3">
        <v>31.5</v>
      </c>
      <c r="F905" s="4">
        <v>5.1493678715042703</v>
      </c>
      <c r="G905" s="4">
        <v>-70.840612604112906</v>
      </c>
      <c r="H905" s="9">
        <f t="shared" si="42"/>
        <v>2.1269841269841272E-2</v>
      </c>
      <c r="I905" s="4" t="str">
        <f t="shared" si="43"/>
        <v>Sin riesgo &lt;85%</v>
      </c>
      <c r="J905" s="1" t="s">
        <v>13</v>
      </c>
      <c r="K905" s="1" t="str">
        <f t="shared" si="44"/>
        <v>Sin riesgo</v>
      </c>
    </row>
    <row r="906" spans="1:11">
      <c r="A906" s="1" t="s">
        <v>315</v>
      </c>
      <c r="B906" s="6" t="s">
        <v>14</v>
      </c>
      <c r="C906" s="3">
        <v>0.49</v>
      </c>
      <c r="D906" s="3">
        <v>0.74</v>
      </c>
      <c r="E906" s="3">
        <v>31.5</v>
      </c>
      <c r="F906" s="4">
        <v>5.1493678715042703</v>
      </c>
      <c r="G906" s="4">
        <v>-70.840612604112906</v>
      </c>
      <c r="H906" s="9">
        <f t="shared" si="42"/>
        <v>2.3492063492063491E-2</v>
      </c>
      <c r="I906" s="4" t="str">
        <f t="shared" si="43"/>
        <v>Sin riesgo &lt;85%</v>
      </c>
      <c r="J906" s="1" t="s">
        <v>13</v>
      </c>
      <c r="K906" s="1" t="str">
        <f t="shared" si="44"/>
        <v>Sin riesgo</v>
      </c>
    </row>
    <row r="907" spans="1:11">
      <c r="A907" s="1" t="s">
        <v>315</v>
      </c>
      <c r="B907" s="6" t="s">
        <v>15</v>
      </c>
      <c r="C907" s="3">
        <v>0.49</v>
      </c>
      <c r="D907" s="3">
        <v>0.74</v>
      </c>
      <c r="E907" s="3">
        <v>31.5</v>
      </c>
      <c r="F907" s="4">
        <v>5.1493678715042703</v>
      </c>
      <c r="G907" s="4">
        <v>-70.840612604112906</v>
      </c>
      <c r="H907" s="9">
        <f t="shared" si="42"/>
        <v>2.3492063492063491E-2</v>
      </c>
      <c r="I907" s="4" t="str">
        <f t="shared" si="43"/>
        <v>Sin riesgo &lt;85%</v>
      </c>
      <c r="J907" s="1" t="s">
        <v>13</v>
      </c>
      <c r="K907" s="1" t="str">
        <f t="shared" si="44"/>
        <v>Sin riesgo</v>
      </c>
    </row>
    <row r="908" spans="1:11">
      <c r="A908" s="1" t="s">
        <v>316</v>
      </c>
      <c r="B908" s="6" t="s">
        <v>12</v>
      </c>
      <c r="C908" s="3">
        <v>16.04</v>
      </c>
      <c r="D908" s="3">
        <v>14.93</v>
      </c>
      <c r="E908" s="3">
        <v>15</v>
      </c>
      <c r="F908" s="4">
        <v>5.7470826219305602</v>
      </c>
      <c r="G908" s="4">
        <v>-72.911322885835702</v>
      </c>
      <c r="H908" s="9">
        <f t="shared" si="42"/>
        <v>1.0693333333333332</v>
      </c>
      <c r="I908" s="4" t="str">
        <f t="shared" si="43"/>
        <v>Altamente critico &gt;100%</v>
      </c>
      <c r="J908" s="1" t="s">
        <v>13</v>
      </c>
      <c r="K908" s="1" t="str">
        <f t="shared" si="44"/>
        <v>Sin riesgo</v>
      </c>
    </row>
    <row r="909" spans="1:11">
      <c r="A909" s="1" t="s">
        <v>316</v>
      </c>
      <c r="B909" s="6" t="s">
        <v>14</v>
      </c>
      <c r="C909" s="3">
        <v>17.11</v>
      </c>
      <c r="D909" s="3">
        <v>15.85</v>
      </c>
      <c r="E909" s="3">
        <v>15</v>
      </c>
      <c r="F909" s="4">
        <v>5.7470826219305602</v>
      </c>
      <c r="G909" s="4">
        <v>-72.911322885835702</v>
      </c>
      <c r="H909" s="9">
        <f t="shared" si="42"/>
        <v>1.1406666666666667</v>
      </c>
      <c r="I909" s="4" t="str">
        <f t="shared" si="43"/>
        <v>Altamente critico &gt;100%</v>
      </c>
      <c r="J909" s="1" t="s">
        <v>13</v>
      </c>
      <c r="K909" s="1" t="str">
        <f t="shared" si="44"/>
        <v>Sin riesgo</v>
      </c>
    </row>
    <row r="910" spans="1:11">
      <c r="A910" s="1" t="s">
        <v>316</v>
      </c>
      <c r="B910" s="6" t="s">
        <v>15</v>
      </c>
      <c r="C910" s="3">
        <v>17.12</v>
      </c>
      <c r="D910" s="3">
        <v>15.87</v>
      </c>
      <c r="E910" s="3">
        <v>15</v>
      </c>
      <c r="F910" s="4">
        <v>5.7470826219305602</v>
      </c>
      <c r="G910" s="4">
        <v>-72.911322885835702</v>
      </c>
      <c r="H910" s="9">
        <f t="shared" si="42"/>
        <v>1.1413333333333333</v>
      </c>
      <c r="I910" s="4" t="str">
        <f t="shared" si="43"/>
        <v>Altamente critico &gt;100%</v>
      </c>
      <c r="J910" s="1" t="s">
        <v>13</v>
      </c>
      <c r="K910" s="1" t="str">
        <f t="shared" si="44"/>
        <v>Sin riesgo</v>
      </c>
    </row>
    <row r="911" spans="1:11">
      <c r="A911" s="1" t="s">
        <v>317</v>
      </c>
      <c r="B911" s="6" t="s">
        <v>12</v>
      </c>
      <c r="C911" s="3">
        <v>22.84</v>
      </c>
      <c r="D911" s="3">
        <v>21.82</v>
      </c>
      <c r="E911" s="3">
        <v>20</v>
      </c>
      <c r="F911" s="4">
        <v>5.7362820000000001</v>
      </c>
      <c r="G911" s="4">
        <v>-73.128310999999997</v>
      </c>
      <c r="H911" s="9">
        <f t="shared" si="42"/>
        <v>1.1419999999999999</v>
      </c>
      <c r="I911" s="4" t="str">
        <f t="shared" si="43"/>
        <v>Altamente critico &gt;100%</v>
      </c>
      <c r="J911" s="1" t="s">
        <v>13</v>
      </c>
      <c r="K911" s="1" t="str">
        <f t="shared" si="44"/>
        <v>Sin riesgo</v>
      </c>
    </row>
    <row r="912" spans="1:11">
      <c r="A912" s="1" t="s">
        <v>317</v>
      </c>
      <c r="B912" s="6" t="s">
        <v>14</v>
      </c>
      <c r="C912" s="3">
        <v>24.4</v>
      </c>
      <c r="D912" s="3">
        <v>23.12</v>
      </c>
      <c r="E912" s="3">
        <v>20</v>
      </c>
      <c r="F912" s="4">
        <v>5.7362820000000001</v>
      </c>
      <c r="G912" s="4">
        <v>-73.128310999999997</v>
      </c>
      <c r="H912" s="9">
        <f t="shared" si="42"/>
        <v>1.22</v>
      </c>
      <c r="I912" s="4" t="str">
        <f t="shared" si="43"/>
        <v>Altamente critico &gt;100%</v>
      </c>
      <c r="J912" s="1" t="s">
        <v>13</v>
      </c>
      <c r="K912" s="1" t="str">
        <f t="shared" si="44"/>
        <v>Sin riesgo</v>
      </c>
    </row>
    <row r="913" spans="1:11">
      <c r="A913" s="1" t="s">
        <v>317</v>
      </c>
      <c r="B913" s="6" t="s">
        <v>15</v>
      </c>
      <c r="C913" s="3">
        <v>24.45</v>
      </c>
      <c r="D913" s="3">
        <v>23.26</v>
      </c>
      <c r="E913" s="3">
        <v>20</v>
      </c>
      <c r="F913" s="4">
        <v>5.7362820000000001</v>
      </c>
      <c r="G913" s="4">
        <v>-73.128310999999997</v>
      </c>
      <c r="H913" s="9">
        <f t="shared" si="42"/>
        <v>1.2224999999999999</v>
      </c>
      <c r="I913" s="4" t="str">
        <f t="shared" si="43"/>
        <v>Altamente critico &gt;100%</v>
      </c>
      <c r="J913" s="1" t="s">
        <v>13</v>
      </c>
      <c r="K913" s="1" t="str">
        <f t="shared" si="44"/>
        <v>Sin riesgo</v>
      </c>
    </row>
    <row r="914" spans="1:11">
      <c r="A914" s="1" t="s">
        <v>318</v>
      </c>
      <c r="B914" s="6" t="s">
        <v>12</v>
      </c>
      <c r="C914" s="3">
        <v>23.3</v>
      </c>
      <c r="D914" s="3">
        <v>15.81</v>
      </c>
      <c r="E914" s="3">
        <v>40</v>
      </c>
      <c r="F914" s="4">
        <v>5.7362820000000001</v>
      </c>
      <c r="G914" s="4">
        <v>-73.128310999999997</v>
      </c>
      <c r="H914" s="9">
        <f t="shared" si="42"/>
        <v>0.58250000000000002</v>
      </c>
      <c r="I914" s="4" t="str">
        <f t="shared" si="43"/>
        <v>Sin riesgo &lt;85%</v>
      </c>
      <c r="J914" s="1" t="s">
        <v>13</v>
      </c>
      <c r="K914" s="1" t="str">
        <f t="shared" si="44"/>
        <v>Sin riesgo</v>
      </c>
    </row>
    <row r="915" spans="1:11">
      <c r="A915" s="1" t="s">
        <v>318</v>
      </c>
      <c r="B915" s="6" t="s">
        <v>14</v>
      </c>
      <c r="C915" s="3">
        <v>25.2</v>
      </c>
      <c r="D915" s="3">
        <v>17.28</v>
      </c>
      <c r="E915" s="3">
        <v>40</v>
      </c>
      <c r="F915" s="4">
        <v>5.7362820000000001</v>
      </c>
      <c r="G915" s="4">
        <v>-73.128310999999997</v>
      </c>
      <c r="H915" s="9">
        <f t="shared" si="42"/>
        <v>0.63</v>
      </c>
      <c r="I915" s="4" t="str">
        <f t="shared" si="43"/>
        <v>Sin riesgo &lt;85%</v>
      </c>
      <c r="J915" s="1" t="s">
        <v>13</v>
      </c>
      <c r="K915" s="1" t="str">
        <f t="shared" si="44"/>
        <v>Sin riesgo</v>
      </c>
    </row>
    <row r="916" spans="1:11">
      <c r="A916" s="1" t="s">
        <v>318</v>
      </c>
      <c r="B916" s="6" t="s">
        <v>15</v>
      </c>
      <c r="C916" s="3">
        <v>25.13</v>
      </c>
      <c r="D916" s="3">
        <v>17.37</v>
      </c>
      <c r="E916" s="3">
        <v>40</v>
      </c>
      <c r="F916" s="4">
        <v>5.7362820000000001</v>
      </c>
      <c r="G916" s="4">
        <v>-73.128310999999997</v>
      </c>
      <c r="H916" s="9">
        <f t="shared" si="42"/>
        <v>0.62824999999999998</v>
      </c>
      <c r="I916" s="4" t="str">
        <f t="shared" si="43"/>
        <v>Sin riesgo &lt;85%</v>
      </c>
      <c r="J916" s="1" t="s">
        <v>13</v>
      </c>
      <c r="K916" s="1" t="str">
        <f t="shared" si="44"/>
        <v>Sin riesgo</v>
      </c>
    </row>
    <row r="917" spans="1:11">
      <c r="A917" s="1" t="s">
        <v>319</v>
      </c>
      <c r="B917" s="6" t="s">
        <v>12</v>
      </c>
      <c r="C917" s="3">
        <v>1.57</v>
      </c>
      <c r="D917" s="3">
        <v>2.41</v>
      </c>
      <c r="E917" s="3">
        <v>5</v>
      </c>
      <c r="F917" s="4">
        <v>6.6410939999999998</v>
      </c>
      <c r="G917" s="4">
        <v>-75.444456000000002</v>
      </c>
      <c r="H917" s="9">
        <f t="shared" si="42"/>
        <v>0.48200000000000004</v>
      </c>
      <c r="I917" s="4" t="str">
        <f t="shared" si="43"/>
        <v>Sin riesgo &lt;85%</v>
      </c>
      <c r="J917" s="1" t="s">
        <v>13</v>
      </c>
      <c r="K917" s="1" t="str">
        <f t="shared" si="44"/>
        <v>Sin riesgo</v>
      </c>
    </row>
    <row r="918" spans="1:11">
      <c r="A918" s="1" t="s">
        <v>319</v>
      </c>
      <c r="B918" s="6" t="s">
        <v>14</v>
      </c>
      <c r="C918" s="3">
        <v>2.14</v>
      </c>
      <c r="D918" s="3">
        <v>2.5499999999999998</v>
      </c>
      <c r="E918" s="3">
        <v>5</v>
      </c>
      <c r="F918" s="4">
        <v>6.6410939999999998</v>
      </c>
      <c r="G918" s="4">
        <v>-75.444456000000002</v>
      </c>
      <c r="H918" s="9">
        <f t="shared" si="42"/>
        <v>0.51</v>
      </c>
      <c r="I918" s="4" t="str">
        <f t="shared" si="43"/>
        <v>Sin riesgo &lt;85%</v>
      </c>
      <c r="J918" s="1" t="s">
        <v>13</v>
      </c>
      <c r="K918" s="1" t="str">
        <f t="shared" si="44"/>
        <v>Sin riesgo</v>
      </c>
    </row>
    <row r="919" spans="1:11">
      <c r="A919" s="1" t="s">
        <v>319</v>
      </c>
      <c r="B919" s="6" t="s">
        <v>15</v>
      </c>
      <c r="C919" s="3">
        <v>2.1800000000000002</v>
      </c>
      <c r="D919" s="3">
        <v>2.59</v>
      </c>
      <c r="E919" s="3">
        <v>5</v>
      </c>
      <c r="F919" s="4">
        <v>6.6410939999999998</v>
      </c>
      <c r="G919" s="4">
        <v>-75.444456000000002</v>
      </c>
      <c r="H919" s="9">
        <f t="shared" si="42"/>
        <v>0.51800000000000002</v>
      </c>
      <c r="I919" s="4" t="str">
        <f t="shared" si="43"/>
        <v>Sin riesgo &lt;85%</v>
      </c>
      <c r="J919" s="1" t="s">
        <v>13</v>
      </c>
      <c r="K919" s="1" t="str">
        <f t="shared" si="44"/>
        <v>Sin riesgo</v>
      </c>
    </row>
    <row r="920" spans="1:11">
      <c r="A920" s="1" t="s">
        <v>320</v>
      </c>
      <c r="B920" s="6" t="s">
        <v>12</v>
      </c>
      <c r="C920" s="3">
        <v>4.16</v>
      </c>
      <c r="D920" s="3">
        <v>4.99</v>
      </c>
      <c r="E920" s="3">
        <v>31.5</v>
      </c>
      <c r="F920" s="4">
        <v>6.1147419999999997</v>
      </c>
      <c r="G920" s="4">
        <v>-73.468879999999999</v>
      </c>
      <c r="H920" s="9">
        <f t="shared" si="42"/>
        <v>0.15841269841269842</v>
      </c>
      <c r="I920" s="4" t="str">
        <f t="shared" si="43"/>
        <v>Sin riesgo &lt;85%</v>
      </c>
      <c r="J920" s="1" t="s">
        <v>13</v>
      </c>
      <c r="K920" s="1" t="str">
        <f t="shared" si="44"/>
        <v>Sin riesgo</v>
      </c>
    </row>
    <row r="921" spans="1:11">
      <c r="A921" s="1" t="s">
        <v>320</v>
      </c>
      <c r="B921" s="6" t="s">
        <v>14</v>
      </c>
      <c r="C921" s="3">
        <v>5.35</v>
      </c>
      <c r="D921" s="3">
        <v>6.02</v>
      </c>
      <c r="E921" s="3">
        <v>31.5</v>
      </c>
      <c r="F921" s="4">
        <v>6.1147419999999997</v>
      </c>
      <c r="G921" s="4">
        <v>-73.468879999999999</v>
      </c>
      <c r="H921" s="9">
        <f t="shared" si="42"/>
        <v>0.19111111111111109</v>
      </c>
      <c r="I921" s="4" t="str">
        <f t="shared" si="43"/>
        <v>Sin riesgo &lt;85%</v>
      </c>
      <c r="J921" s="1" t="s">
        <v>13</v>
      </c>
      <c r="K921" s="1" t="str">
        <f t="shared" si="44"/>
        <v>Sin riesgo</v>
      </c>
    </row>
    <row r="922" spans="1:11">
      <c r="A922" s="1" t="s">
        <v>320</v>
      </c>
      <c r="B922" s="6" t="s">
        <v>15</v>
      </c>
      <c r="C922" s="3">
        <v>5.49</v>
      </c>
      <c r="D922" s="3">
        <v>6.15</v>
      </c>
      <c r="E922" s="3">
        <v>31.5</v>
      </c>
      <c r="F922" s="4">
        <v>6.1147419999999997</v>
      </c>
      <c r="G922" s="4">
        <v>-73.468879999999999</v>
      </c>
      <c r="H922" s="9">
        <f t="shared" si="42"/>
        <v>0.19523809523809524</v>
      </c>
      <c r="I922" s="4" t="str">
        <f t="shared" si="43"/>
        <v>Sin riesgo &lt;85%</v>
      </c>
      <c r="J922" s="1" t="s">
        <v>13</v>
      </c>
      <c r="K922" s="1" t="str">
        <f t="shared" si="44"/>
        <v>Sin riesgo</v>
      </c>
    </row>
    <row r="923" spans="1:11">
      <c r="A923" s="1" t="s">
        <v>321</v>
      </c>
      <c r="B923" s="6" t="s">
        <v>12</v>
      </c>
      <c r="C923" s="3">
        <v>20.97</v>
      </c>
      <c r="D923" s="3">
        <v>17.29</v>
      </c>
      <c r="E923" s="3">
        <v>25</v>
      </c>
      <c r="F923" s="4">
        <v>5.5724819999999999</v>
      </c>
      <c r="G923" s="4">
        <v>-73.325250999999994</v>
      </c>
      <c r="H923" s="9">
        <f t="shared" si="42"/>
        <v>0.83879999999999999</v>
      </c>
      <c r="I923" s="4" t="str">
        <f t="shared" si="43"/>
        <v>Sin riesgo &lt;85%</v>
      </c>
      <c r="J923" s="1" t="s">
        <v>13</v>
      </c>
      <c r="K923" s="1" t="str">
        <f t="shared" si="44"/>
        <v>Sin riesgo</v>
      </c>
    </row>
    <row r="924" spans="1:11">
      <c r="A924" s="1" t="s">
        <v>321</v>
      </c>
      <c r="B924" s="6" t="s">
        <v>14</v>
      </c>
      <c r="C924" s="3">
        <v>22.56</v>
      </c>
      <c r="D924" s="3">
        <v>18.399999999999999</v>
      </c>
      <c r="E924" s="3">
        <v>25</v>
      </c>
      <c r="F924" s="4">
        <v>5.5724819999999999</v>
      </c>
      <c r="G924" s="4">
        <v>-73.325250999999994</v>
      </c>
      <c r="H924" s="9">
        <f t="shared" si="42"/>
        <v>0.90239999999999998</v>
      </c>
      <c r="I924" s="4" t="str">
        <f t="shared" si="43"/>
        <v>En riesgo &gt;85%</v>
      </c>
      <c r="J924" s="1" t="s">
        <v>13</v>
      </c>
      <c r="K924" s="1" t="str">
        <f t="shared" si="44"/>
        <v>Sin riesgo</v>
      </c>
    </row>
    <row r="925" spans="1:11">
      <c r="A925" s="1" t="s">
        <v>321</v>
      </c>
      <c r="B925" s="6" t="s">
        <v>15</v>
      </c>
      <c r="C925" s="3">
        <v>22.59</v>
      </c>
      <c r="D925" s="3">
        <v>18.45</v>
      </c>
      <c r="E925" s="3">
        <v>25</v>
      </c>
      <c r="F925" s="4">
        <v>5.5724819999999999</v>
      </c>
      <c r="G925" s="4">
        <v>-73.325250999999994</v>
      </c>
      <c r="H925" s="9">
        <f t="shared" si="42"/>
        <v>0.90359999999999996</v>
      </c>
      <c r="I925" s="4" t="str">
        <f t="shared" si="43"/>
        <v>En riesgo &gt;85%</v>
      </c>
      <c r="J925" s="1" t="s">
        <v>13</v>
      </c>
      <c r="K925" s="1" t="str">
        <f t="shared" si="44"/>
        <v>Sin riesgo</v>
      </c>
    </row>
    <row r="926" spans="1:11">
      <c r="A926" s="1" t="s">
        <v>322</v>
      </c>
      <c r="B926" s="6" t="s">
        <v>12</v>
      </c>
      <c r="C926" s="3">
        <v>13.77</v>
      </c>
      <c r="D926" s="3">
        <v>8.09</v>
      </c>
      <c r="E926" s="3">
        <v>25</v>
      </c>
      <c r="F926" s="4">
        <v>5.4440310975620596</v>
      </c>
      <c r="G926" s="4">
        <v>-72.454199400166004</v>
      </c>
      <c r="H926" s="9">
        <f t="shared" si="42"/>
        <v>0.55079999999999996</v>
      </c>
      <c r="I926" s="4" t="str">
        <f t="shared" si="43"/>
        <v>Sin riesgo &lt;85%</v>
      </c>
      <c r="J926" s="1" t="s">
        <v>13</v>
      </c>
      <c r="K926" s="1" t="str">
        <f t="shared" si="44"/>
        <v>Sin riesgo</v>
      </c>
    </row>
    <row r="927" spans="1:11">
      <c r="A927" s="1" t="s">
        <v>322</v>
      </c>
      <c r="B927" s="6" t="s">
        <v>14</v>
      </c>
      <c r="C927" s="3">
        <v>18.440000000000001</v>
      </c>
      <c r="D927" s="3">
        <v>11.6</v>
      </c>
      <c r="E927" s="3">
        <v>25</v>
      </c>
      <c r="F927" s="4">
        <v>5.4440310975620596</v>
      </c>
      <c r="G927" s="4">
        <v>-72.454199400166004</v>
      </c>
      <c r="H927" s="9">
        <f t="shared" si="42"/>
        <v>0.73760000000000003</v>
      </c>
      <c r="I927" s="4" t="str">
        <f t="shared" si="43"/>
        <v>Sin riesgo &lt;85%</v>
      </c>
      <c r="J927" s="1" t="s">
        <v>13</v>
      </c>
      <c r="K927" s="1" t="str">
        <f t="shared" si="44"/>
        <v>Sin riesgo</v>
      </c>
    </row>
    <row r="928" spans="1:11">
      <c r="A928" s="1" t="s">
        <v>322</v>
      </c>
      <c r="B928" s="6" t="s">
        <v>15</v>
      </c>
      <c r="C928" s="3">
        <v>18.43</v>
      </c>
      <c r="D928" s="3">
        <v>11.6</v>
      </c>
      <c r="E928" s="3">
        <v>25</v>
      </c>
      <c r="F928" s="4">
        <v>5.4440310975620596</v>
      </c>
      <c r="G928" s="4">
        <v>-72.454199400166004</v>
      </c>
      <c r="H928" s="9">
        <f t="shared" si="42"/>
        <v>0.73719999999999997</v>
      </c>
      <c r="I928" s="4" t="str">
        <f t="shared" si="43"/>
        <v>Sin riesgo &lt;85%</v>
      </c>
      <c r="J928" s="1" t="s">
        <v>13</v>
      </c>
      <c r="K928" s="1" t="str">
        <f t="shared" si="44"/>
        <v>Sin riesgo</v>
      </c>
    </row>
    <row r="929" spans="1:11">
      <c r="A929" s="1" t="s">
        <v>323</v>
      </c>
      <c r="B929" s="6" t="s">
        <v>12</v>
      </c>
      <c r="C929" s="3">
        <v>4.32</v>
      </c>
      <c r="D929" s="3">
        <v>6.3</v>
      </c>
      <c r="E929" s="3">
        <v>15</v>
      </c>
      <c r="F929" s="4">
        <v>5.5213679999999998</v>
      </c>
      <c r="G929" s="4">
        <v>-72.795272999999995</v>
      </c>
      <c r="H929" s="9">
        <f t="shared" si="42"/>
        <v>0.42</v>
      </c>
      <c r="I929" s="4" t="str">
        <f t="shared" si="43"/>
        <v>Sin riesgo &lt;85%</v>
      </c>
      <c r="J929" s="1" t="s">
        <v>13</v>
      </c>
      <c r="K929" s="1" t="str">
        <f t="shared" si="44"/>
        <v>Sin riesgo</v>
      </c>
    </row>
    <row r="930" spans="1:11">
      <c r="A930" s="1" t="s">
        <v>323</v>
      </c>
      <c r="B930" s="6" t="s">
        <v>14</v>
      </c>
      <c r="C930" s="3">
        <v>4.6900000000000004</v>
      </c>
      <c r="D930" s="3">
        <v>6.91</v>
      </c>
      <c r="E930" s="3">
        <v>15</v>
      </c>
      <c r="F930" s="4">
        <v>5.5213679999999998</v>
      </c>
      <c r="G930" s="4">
        <v>-72.795272999999995</v>
      </c>
      <c r="H930" s="9">
        <f t="shared" si="42"/>
        <v>0.46066666666666667</v>
      </c>
      <c r="I930" s="4" t="str">
        <f t="shared" si="43"/>
        <v>Sin riesgo &lt;85%</v>
      </c>
      <c r="J930" s="1" t="s">
        <v>13</v>
      </c>
      <c r="K930" s="1" t="str">
        <f t="shared" si="44"/>
        <v>Sin riesgo</v>
      </c>
    </row>
    <row r="931" spans="1:11">
      <c r="A931" s="1" t="s">
        <v>323</v>
      </c>
      <c r="B931" s="6" t="s">
        <v>15</v>
      </c>
      <c r="C931" s="3">
        <v>4.68</v>
      </c>
      <c r="D931" s="3">
        <v>6.91</v>
      </c>
      <c r="E931" s="3">
        <v>15</v>
      </c>
      <c r="F931" s="4">
        <v>5.5213679999999998</v>
      </c>
      <c r="G931" s="4">
        <v>-72.795272999999995</v>
      </c>
      <c r="H931" s="9">
        <f t="shared" si="42"/>
        <v>0.46066666666666667</v>
      </c>
      <c r="I931" s="4" t="str">
        <f t="shared" si="43"/>
        <v>Sin riesgo &lt;85%</v>
      </c>
      <c r="J931" s="1" t="s">
        <v>13</v>
      </c>
      <c r="K931" s="1" t="str">
        <f t="shared" si="44"/>
        <v>Sin riesgo</v>
      </c>
    </row>
    <row r="932" spans="1:11">
      <c r="A932" s="1" t="s">
        <v>324</v>
      </c>
      <c r="B932" s="6" t="s">
        <v>12</v>
      </c>
      <c r="C932" s="3">
        <v>7.87</v>
      </c>
      <c r="D932" s="3">
        <v>9.19</v>
      </c>
      <c r="E932" s="3">
        <v>15</v>
      </c>
      <c r="F932" s="4">
        <v>5.5745078476347496</v>
      </c>
      <c r="G932" s="4">
        <v>-73.324310740129405</v>
      </c>
      <c r="H932" s="9">
        <f t="shared" si="42"/>
        <v>0.61266666666666658</v>
      </c>
      <c r="I932" s="4" t="str">
        <f t="shared" si="43"/>
        <v>Sin riesgo &lt;85%</v>
      </c>
      <c r="J932" s="1" t="s">
        <v>13</v>
      </c>
      <c r="K932" s="1" t="str">
        <f t="shared" si="44"/>
        <v>Sin riesgo</v>
      </c>
    </row>
    <row r="933" spans="1:11">
      <c r="A933" s="1" t="s">
        <v>324</v>
      </c>
      <c r="B933" s="6" t="s">
        <v>14</v>
      </c>
      <c r="C933" s="3">
        <v>8.14</v>
      </c>
      <c r="D933" s="3">
        <v>9.57</v>
      </c>
      <c r="E933" s="3">
        <v>15</v>
      </c>
      <c r="F933" s="4">
        <v>5.5745078476347496</v>
      </c>
      <c r="G933" s="4">
        <v>-73.324310740129405</v>
      </c>
      <c r="H933" s="9">
        <f t="shared" si="42"/>
        <v>0.63800000000000001</v>
      </c>
      <c r="I933" s="4" t="str">
        <f t="shared" si="43"/>
        <v>Sin riesgo &lt;85%</v>
      </c>
      <c r="J933" s="1" t="s">
        <v>13</v>
      </c>
      <c r="K933" s="1" t="str">
        <f t="shared" si="44"/>
        <v>Sin riesgo</v>
      </c>
    </row>
    <row r="934" spans="1:11">
      <c r="A934" s="1" t="s">
        <v>324</v>
      </c>
      <c r="B934" s="6" t="s">
        <v>15</v>
      </c>
      <c r="C934" s="3">
        <v>8.1300000000000008</v>
      </c>
      <c r="D934" s="3">
        <v>9.61</v>
      </c>
      <c r="E934" s="3">
        <v>15</v>
      </c>
      <c r="F934" s="4">
        <v>5.5745078476347496</v>
      </c>
      <c r="G934" s="4">
        <v>-73.324310740129405</v>
      </c>
      <c r="H934" s="9">
        <f t="shared" si="42"/>
        <v>0.64066666666666661</v>
      </c>
      <c r="I934" s="4" t="str">
        <f t="shared" si="43"/>
        <v>Sin riesgo &lt;85%</v>
      </c>
      <c r="J934" s="1" t="s">
        <v>13</v>
      </c>
      <c r="K934" s="1" t="str">
        <f t="shared" si="44"/>
        <v>Sin riesgo</v>
      </c>
    </row>
    <row r="935" spans="1:11">
      <c r="A935" s="1" t="s">
        <v>325</v>
      </c>
      <c r="B935" s="6" t="s">
        <v>12</v>
      </c>
      <c r="C935" s="3">
        <v>11.32</v>
      </c>
      <c r="D935" s="3">
        <v>8.9700000000000006</v>
      </c>
      <c r="E935" s="3">
        <v>25</v>
      </c>
      <c r="F935" s="4">
        <v>4.8273469999999996</v>
      </c>
      <c r="G935" s="4">
        <v>-73.161507999999998</v>
      </c>
      <c r="H935" s="9">
        <f t="shared" si="42"/>
        <v>0.45280000000000004</v>
      </c>
      <c r="I935" s="4" t="str">
        <f t="shared" si="43"/>
        <v>Sin riesgo &lt;85%</v>
      </c>
      <c r="J935" s="1" t="s">
        <v>13</v>
      </c>
      <c r="K935" s="1" t="str">
        <f t="shared" si="44"/>
        <v>Sin riesgo</v>
      </c>
    </row>
    <row r="936" spans="1:11">
      <c r="A936" s="1" t="s">
        <v>325</v>
      </c>
      <c r="B936" s="6" t="s">
        <v>14</v>
      </c>
      <c r="C936" s="3">
        <v>18.75</v>
      </c>
      <c r="D936" s="3">
        <v>14.84</v>
      </c>
      <c r="E936" s="3">
        <v>25</v>
      </c>
      <c r="F936" s="4">
        <v>4.8273469999999996</v>
      </c>
      <c r="G936" s="4">
        <v>-73.161507999999998</v>
      </c>
      <c r="H936" s="9">
        <f t="shared" si="42"/>
        <v>0.75</v>
      </c>
      <c r="I936" s="4" t="str">
        <f t="shared" si="43"/>
        <v>Sin riesgo &lt;85%</v>
      </c>
      <c r="J936" s="1" t="s">
        <v>13</v>
      </c>
      <c r="K936" s="1" t="str">
        <f t="shared" si="44"/>
        <v>Sin riesgo</v>
      </c>
    </row>
    <row r="937" spans="1:11">
      <c r="A937" s="1" t="s">
        <v>325</v>
      </c>
      <c r="B937" s="6" t="s">
        <v>15</v>
      </c>
      <c r="C937" s="3">
        <v>18.739999999999998</v>
      </c>
      <c r="D937" s="3">
        <v>14.84</v>
      </c>
      <c r="E937" s="3">
        <v>25</v>
      </c>
      <c r="F937" s="4">
        <v>4.8273469999999996</v>
      </c>
      <c r="G937" s="4">
        <v>-73.161507999999998</v>
      </c>
      <c r="H937" s="9">
        <f t="shared" si="42"/>
        <v>0.74959999999999993</v>
      </c>
      <c r="I937" s="4" t="str">
        <f t="shared" si="43"/>
        <v>Sin riesgo &lt;85%</v>
      </c>
      <c r="J937" s="1" t="s">
        <v>13</v>
      </c>
      <c r="K937" s="1" t="str">
        <f t="shared" si="44"/>
        <v>Sin riesgo</v>
      </c>
    </row>
    <row r="938" spans="1:11">
      <c r="A938" s="1" t="s">
        <v>326</v>
      </c>
      <c r="B938" s="6" t="s">
        <v>12</v>
      </c>
      <c r="C938" s="3">
        <v>3.6</v>
      </c>
      <c r="D938" s="3">
        <v>2.69</v>
      </c>
      <c r="E938" s="3">
        <v>31.5</v>
      </c>
      <c r="F938" s="4">
        <v>5.5198710387312504</v>
      </c>
      <c r="G938" s="4">
        <v>-72.203970985618795</v>
      </c>
      <c r="H938" s="9">
        <f t="shared" si="42"/>
        <v>0.11428571428571428</v>
      </c>
      <c r="I938" s="4" t="str">
        <f t="shared" si="43"/>
        <v>Sin riesgo &lt;85%</v>
      </c>
      <c r="J938" s="1" t="s">
        <v>13</v>
      </c>
      <c r="K938" s="1" t="str">
        <f t="shared" si="44"/>
        <v>Sin riesgo</v>
      </c>
    </row>
    <row r="939" spans="1:11">
      <c r="A939" s="1" t="s">
        <v>326</v>
      </c>
      <c r="B939" s="6" t="s">
        <v>14</v>
      </c>
      <c r="C939" s="3">
        <v>4.2</v>
      </c>
      <c r="D939" s="3">
        <v>3.22</v>
      </c>
      <c r="E939" s="3">
        <v>31.5</v>
      </c>
      <c r="F939" s="4">
        <v>5.5198710387312504</v>
      </c>
      <c r="G939" s="4">
        <v>-72.203970985618795</v>
      </c>
      <c r="H939" s="9">
        <f t="shared" si="42"/>
        <v>0.13333333333333333</v>
      </c>
      <c r="I939" s="4" t="str">
        <f t="shared" si="43"/>
        <v>Sin riesgo &lt;85%</v>
      </c>
      <c r="J939" s="1" t="s">
        <v>13</v>
      </c>
      <c r="K939" s="1" t="str">
        <f t="shared" si="44"/>
        <v>Sin riesgo</v>
      </c>
    </row>
    <row r="940" spans="1:11">
      <c r="A940" s="1" t="s">
        <v>326</v>
      </c>
      <c r="B940" s="6" t="s">
        <v>15</v>
      </c>
      <c r="C940" s="3">
        <v>4.1900000000000004</v>
      </c>
      <c r="D940" s="3">
        <v>3.22</v>
      </c>
      <c r="E940" s="3">
        <v>31.5</v>
      </c>
      <c r="F940" s="4">
        <v>5.5198710387312504</v>
      </c>
      <c r="G940" s="4">
        <v>-72.203970985618795</v>
      </c>
      <c r="H940" s="9">
        <f t="shared" si="42"/>
        <v>0.13301587301587303</v>
      </c>
      <c r="I940" s="4" t="str">
        <f t="shared" si="43"/>
        <v>Sin riesgo &lt;85%</v>
      </c>
      <c r="J940" s="1" t="s">
        <v>13</v>
      </c>
      <c r="K940" s="1" t="str">
        <f t="shared" si="44"/>
        <v>Sin riesgo</v>
      </c>
    </row>
    <row r="941" spans="1:11">
      <c r="A941" s="1" t="s">
        <v>327</v>
      </c>
      <c r="B941" s="6" t="s">
        <v>12</v>
      </c>
      <c r="C941" s="3">
        <v>13.92</v>
      </c>
      <c r="D941" s="3">
        <v>13.36</v>
      </c>
      <c r="E941" s="3">
        <v>31.5</v>
      </c>
      <c r="F941" s="4">
        <v>4.5556349999999997</v>
      </c>
      <c r="G941" s="4">
        <v>-75.670787000000004</v>
      </c>
      <c r="H941" s="9">
        <f t="shared" si="42"/>
        <v>0.44190476190476191</v>
      </c>
      <c r="I941" s="4" t="str">
        <f t="shared" si="43"/>
        <v>Sin riesgo &lt;85%</v>
      </c>
      <c r="J941" s="1" t="s">
        <v>13</v>
      </c>
      <c r="K941" s="1" t="str">
        <f t="shared" si="44"/>
        <v>Sin riesgo</v>
      </c>
    </row>
    <row r="942" spans="1:11">
      <c r="A942" s="1" t="s">
        <v>327</v>
      </c>
      <c r="B942" s="6" t="s">
        <v>14</v>
      </c>
      <c r="C942" s="3">
        <v>14.06</v>
      </c>
      <c r="D942" s="3">
        <v>13.49</v>
      </c>
      <c r="E942" s="3">
        <v>31.5</v>
      </c>
      <c r="F942" s="4">
        <v>4.5556349999999997</v>
      </c>
      <c r="G942" s="4">
        <v>-75.670787000000004</v>
      </c>
      <c r="H942" s="9">
        <f t="shared" si="42"/>
        <v>0.44634920634920638</v>
      </c>
      <c r="I942" s="4" t="str">
        <f t="shared" si="43"/>
        <v>Sin riesgo &lt;85%</v>
      </c>
      <c r="J942" s="1" t="s">
        <v>13</v>
      </c>
      <c r="K942" s="1" t="str">
        <f t="shared" si="44"/>
        <v>Sin riesgo</v>
      </c>
    </row>
    <row r="943" spans="1:11">
      <c r="A943" s="1" t="s">
        <v>327</v>
      </c>
      <c r="B943" s="6" t="s">
        <v>15</v>
      </c>
      <c r="C943" s="3">
        <v>14.06</v>
      </c>
      <c r="D943" s="3">
        <v>13.49</v>
      </c>
      <c r="E943" s="3">
        <v>31.5</v>
      </c>
      <c r="F943" s="4">
        <v>4.5556349999999997</v>
      </c>
      <c r="G943" s="4">
        <v>-75.670787000000004</v>
      </c>
      <c r="H943" s="9">
        <f t="shared" si="42"/>
        <v>0.44634920634920638</v>
      </c>
      <c r="I943" s="4" t="str">
        <f t="shared" si="43"/>
        <v>Sin riesgo &lt;85%</v>
      </c>
      <c r="J943" s="1" t="s">
        <v>13</v>
      </c>
      <c r="K943" s="1" t="str">
        <f t="shared" si="44"/>
        <v>Sin riesgo</v>
      </c>
    </row>
    <row r="944" spans="1:11">
      <c r="A944" s="1" t="s">
        <v>328</v>
      </c>
      <c r="B944" s="6" t="s">
        <v>12</v>
      </c>
      <c r="C944" s="3">
        <v>8.7200000000000006</v>
      </c>
      <c r="D944" s="3">
        <v>11.23</v>
      </c>
      <c r="E944" s="3">
        <v>31.5</v>
      </c>
      <c r="F944" s="4">
        <v>4.5556349999999997</v>
      </c>
      <c r="G944" s="4">
        <v>-75.670787000000004</v>
      </c>
      <c r="H944" s="9">
        <f t="shared" si="42"/>
        <v>0.3565079365079365</v>
      </c>
      <c r="I944" s="4" t="str">
        <f t="shared" si="43"/>
        <v>Sin riesgo &lt;85%</v>
      </c>
      <c r="J944" s="1" t="s">
        <v>13</v>
      </c>
      <c r="K944" s="1" t="str">
        <f t="shared" si="44"/>
        <v>Sin riesgo</v>
      </c>
    </row>
    <row r="945" spans="1:11">
      <c r="A945" s="1" t="s">
        <v>328</v>
      </c>
      <c r="B945" s="6" t="s">
        <v>14</v>
      </c>
      <c r="C945" s="3">
        <v>8.81</v>
      </c>
      <c r="D945" s="3">
        <v>11.33</v>
      </c>
      <c r="E945" s="3">
        <v>31.5</v>
      </c>
      <c r="F945" s="4">
        <v>4.5556349999999997</v>
      </c>
      <c r="G945" s="4">
        <v>-75.670787000000004</v>
      </c>
      <c r="H945" s="9">
        <f t="shared" si="42"/>
        <v>0.35968253968253966</v>
      </c>
      <c r="I945" s="4" t="str">
        <f t="shared" si="43"/>
        <v>Sin riesgo &lt;85%</v>
      </c>
      <c r="J945" s="1" t="s">
        <v>13</v>
      </c>
      <c r="K945" s="1" t="str">
        <f t="shared" si="44"/>
        <v>Sin riesgo</v>
      </c>
    </row>
    <row r="946" spans="1:11">
      <c r="A946" s="1" t="s">
        <v>328</v>
      </c>
      <c r="B946" s="6" t="s">
        <v>15</v>
      </c>
      <c r="C946" s="3">
        <v>8.81</v>
      </c>
      <c r="D946" s="3">
        <v>11.33</v>
      </c>
      <c r="E946" s="3">
        <v>31.5</v>
      </c>
      <c r="F946" s="4">
        <v>4.5556349999999997</v>
      </c>
      <c r="G946" s="4">
        <v>-75.670787000000004</v>
      </c>
      <c r="H946" s="9">
        <f t="shared" si="42"/>
        <v>0.35968253968253966</v>
      </c>
      <c r="I946" s="4" t="str">
        <f t="shared" si="43"/>
        <v>Sin riesgo &lt;85%</v>
      </c>
      <c r="J946" s="1" t="s">
        <v>13</v>
      </c>
      <c r="K946" s="1" t="str">
        <f t="shared" si="44"/>
        <v>Sin riesgo</v>
      </c>
    </row>
    <row r="947" spans="1:11">
      <c r="A947" s="1" t="s">
        <v>329</v>
      </c>
      <c r="B947" s="6" t="s">
        <v>12</v>
      </c>
      <c r="C947" s="3">
        <v>9.07</v>
      </c>
      <c r="D947" s="3">
        <v>10.15</v>
      </c>
      <c r="E947" s="3">
        <v>31.5</v>
      </c>
      <c r="F947" s="11"/>
      <c r="G947" s="11"/>
      <c r="H947" s="9">
        <f t="shared" si="42"/>
        <v>0.32222222222222224</v>
      </c>
      <c r="I947" s="4" t="str">
        <f t="shared" si="43"/>
        <v>Sin riesgo &lt;85%</v>
      </c>
      <c r="J947" s="1" t="s">
        <v>13</v>
      </c>
      <c r="K947" s="1" t="str">
        <f t="shared" si="44"/>
        <v>Sin riesgo</v>
      </c>
    </row>
    <row r="948" spans="1:11">
      <c r="A948" s="1" t="s">
        <v>329</v>
      </c>
      <c r="B948" s="6" t="s">
        <v>14</v>
      </c>
      <c r="C948" s="3">
        <v>9.15</v>
      </c>
      <c r="D948" s="3">
        <v>10.24</v>
      </c>
      <c r="E948" s="3">
        <v>31.5</v>
      </c>
      <c r="F948" s="11"/>
      <c r="G948" s="11"/>
      <c r="H948" s="9">
        <f t="shared" si="42"/>
        <v>0.32507936507936508</v>
      </c>
      <c r="I948" s="4" t="str">
        <f t="shared" si="43"/>
        <v>Sin riesgo &lt;85%</v>
      </c>
      <c r="J948" s="1" t="s">
        <v>13</v>
      </c>
      <c r="K948" s="1" t="str">
        <f t="shared" si="44"/>
        <v>Sin riesgo</v>
      </c>
    </row>
    <row r="949" spans="1:11">
      <c r="A949" s="1" t="s">
        <v>329</v>
      </c>
      <c r="B949" s="6" t="s">
        <v>15</v>
      </c>
      <c r="C949" s="3">
        <v>9.15</v>
      </c>
      <c r="D949" s="3">
        <v>10.24</v>
      </c>
      <c r="E949" s="3">
        <v>31.5</v>
      </c>
      <c r="F949" s="11"/>
      <c r="G949" s="11"/>
      <c r="H949" s="9">
        <f t="shared" si="42"/>
        <v>0.32507936507936508</v>
      </c>
      <c r="I949" s="4" t="str">
        <f t="shared" si="43"/>
        <v>Sin riesgo &lt;85%</v>
      </c>
      <c r="J949" s="1" t="s">
        <v>13</v>
      </c>
      <c r="K949" s="1" t="str">
        <f t="shared" si="44"/>
        <v>Sin riesgo</v>
      </c>
    </row>
    <row r="950" spans="1:11">
      <c r="A950" s="1" t="s">
        <v>330</v>
      </c>
      <c r="B950" s="6" t="s">
        <v>12</v>
      </c>
      <c r="C950" s="3">
        <v>14.13</v>
      </c>
      <c r="D950" s="3">
        <v>13.45</v>
      </c>
      <c r="E950" s="3">
        <v>31.5</v>
      </c>
      <c r="F950" s="4">
        <v>5.4436678897953996</v>
      </c>
      <c r="G950" s="4">
        <v>-74.672175319404204</v>
      </c>
      <c r="H950" s="9">
        <f t="shared" si="42"/>
        <v>0.44857142857142862</v>
      </c>
      <c r="I950" s="4" t="str">
        <f t="shared" si="43"/>
        <v>Sin riesgo &lt;85%</v>
      </c>
      <c r="J950" s="1" t="s">
        <v>13</v>
      </c>
      <c r="K950" s="1" t="str">
        <f t="shared" si="44"/>
        <v>Sin riesgo</v>
      </c>
    </row>
    <row r="951" spans="1:11">
      <c r="A951" s="1" t="s">
        <v>330</v>
      </c>
      <c r="B951" s="6" t="s">
        <v>14</v>
      </c>
      <c r="C951" s="3">
        <v>14.29</v>
      </c>
      <c r="D951" s="3">
        <v>13.59</v>
      </c>
      <c r="E951" s="3">
        <v>31.5</v>
      </c>
      <c r="F951" s="4">
        <v>5.4436678897953996</v>
      </c>
      <c r="G951" s="4">
        <v>-74.672175319404204</v>
      </c>
      <c r="H951" s="9">
        <f t="shared" si="42"/>
        <v>0.45365079365079364</v>
      </c>
      <c r="I951" s="4" t="str">
        <f t="shared" si="43"/>
        <v>Sin riesgo &lt;85%</v>
      </c>
      <c r="J951" s="1" t="s">
        <v>13</v>
      </c>
      <c r="K951" s="1" t="str">
        <f t="shared" si="44"/>
        <v>Sin riesgo</v>
      </c>
    </row>
    <row r="952" spans="1:11">
      <c r="A952" s="1" t="s">
        <v>330</v>
      </c>
      <c r="B952" s="6" t="s">
        <v>15</v>
      </c>
      <c r="C952" s="3">
        <v>15.53</v>
      </c>
      <c r="D952" s="3">
        <v>14.98</v>
      </c>
      <c r="E952" s="3">
        <v>31.5</v>
      </c>
      <c r="F952" s="4">
        <v>5.4436678897953996</v>
      </c>
      <c r="G952" s="4">
        <v>-74.672175319404204</v>
      </c>
      <c r="H952" s="9">
        <f t="shared" si="42"/>
        <v>0.49301587301587302</v>
      </c>
      <c r="I952" s="4" t="str">
        <f t="shared" si="43"/>
        <v>Sin riesgo &lt;85%</v>
      </c>
      <c r="J952" s="1" t="s">
        <v>13</v>
      </c>
      <c r="K952" s="1" t="str">
        <f t="shared" si="44"/>
        <v>Sin riesgo</v>
      </c>
    </row>
    <row r="953" spans="1:11">
      <c r="A953" s="1" t="s">
        <v>331</v>
      </c>
      <c r="B953" s="6" t="s">
        <v>12</v>
      </c>
      <c r="C953" s="3">
        <v>13.83</v>
      </c>
      <c r="D953" s="3">
        <v>14.79</v>
      </c>
      <c r="E953" s="3">
        <v>31.5</v>
      </c>
      <c r="F953" s="4">
        <v>4.8202958413480399</v>
      </c>
      <c r="G953" s="4">
        <v>-75.711582697362999</v>
      </c>
      <c r="H953" s="9">
        <f t="shared" si="42"/>
        <v>0.46952380952380951</v>
      </c>
      <c r="I953" s="4" t="str">
        <f t="shared" si="43"/>
        <v>Sin riesgo &lt;85%</v>
      </c>
      <c r="J953" s="1" t="s">
        <v>13</v>
      </c>
      <c r="K953" s="1" t="str">
        <f t="shared" si="44"/>
        <v>Sin riesgo</v>
      </c>
    </row>
    <row r="954" spans="1:11">
      <c r="A954" s="1" t="s">
        <v>331</v>
      </c>
      <c r="B954" s="6" t="s">
        <v>14</v>
      </c>
      <c r="C954" s="3">
        <v>13.96</v>
      </c>
      <c r="D954" s="3">
        <v>14.94</v>
      </c>
      <c r="E954" s="3">
        <v>31.5</v>
      </c>
      <c r="F954" s="4">
        <v>4.8202958413480399</v>
      </c>
      <c r="G954" s="4">
        <v>-75.711582697362999</v>
      </c>
      <c r="H954" s="9">
        <f t="shared" si="42"/>
        <v>0.47428571428571425</v>
      </c>
      <c r="I954" s="4" t="str">
        <f t="shared" si="43"/>
        <v>Sin riesgo &lt;85%</v>
      </c>
      <c r="J954" s="1" t="s">
        <v>13</v>
      </c>
      <c r="K954" s="1" t="str">
        <f t="shared" si="44"/>
        <v>Sin riesgo</v>
      </c>
    </row>
    <row r="955" spans="1:11">
      <c r="A955" s="1" t="s">
        <v>331</v>
      </c>
      <c r="B955" s="6" t="s">
        <v>15</v>
      </c>
      <c r="C955" s="3">
        <v>13.96</v>
      </c>
      <c r="D955" s="3">
        <v>14.94</v>
      </c>
      <c r="E955" s="3">
        <v>31.5</v>
      </c>
      <c r="F955" s="4">
        <v>4.8202958413480399</v>
      </c>
      <c r="G955" s="4">
        <v>-75.711582697362999</v>
      </c>
      <c r="H955" s="9">
        <f t="shared" si="42"/>
        <v>0.47428571428571425</v>
      </c>
      <c r="I955" s="4" t="str">
        <f t="shared" si="43"/>
        <v>Sin riesgo &lt;85%</v>
      </c>
      <c r="J955" s="1" t="s">
        <v>13</v>
      </c>
      <c r="K955" s="1" t="str">
        <f t="shared" si="44"/>
        <v>Sin riesgo</v>
      </c>
    </row>
    <row r="956" spans="1:11">
      <c r="A956" s="1" t="s">
        <v>332</v>
      </c>
      <c r="B956" s="6" t="s">
        <v>12</v>
      </c>
      <c r="C956" s="3">
        <v>17.96</v>
      </c>
      <c r="D956" s="3">
        <v>15.96</v>
      </c>
      <c r="E956" s="3">
        <v>31.5</v>
      </c>
      <c r="F956" s="4">
        <v>5.0208473725980403</v>
      </c>
      <c r="G956" s="4">
        <v>-75.456802213639804</v>
      </c>
      <c r="H956" s="9">
        <f t="shared" si="42"/>
        <v>0.5701587301587302</v>
      </c>
      <c r="I956" s="4" t="str">
        <f t="shared" si="43"/>
        <v>Sin riesgo &lt;85%</v>
      </c>
      <c r="J956" s="1" t="s">
        <v>13</v>
      </c>
      <c r="K956" s="1" t="str">
        <f t="shared" si="44"/>
        <v>Sin riesgo</v>
      </c>
    </row>
    <row r="957" spans="1:11">
      <c r="A957" s="1" t="s">
        <v>332</v>
      </c>
      <c r="B957" s="6" t="s">
        <v>14</v>
      </c>
      <c r="C957" s="3">
        <v>18.12</v>
      </c>
      <c r="D957" s="3">
        <v>16.100000000000001</v>
      </c>
      <c r="E957" s="3">
        <v>31.5</v>
      </c>
      <c r="F957" s="4">
        <v>5.0208473725980403</v>
      </c>
      <c r="G957" s="4">
        <v>-75.456802213639804</v>
      </c>
      <c r="H957" s="9">
        <f t="shared" si="42"/>
        <v>0.57523809523809522</v>
      </c>
      <c r="I957" s="4" t="str">
        <f t="shared" si="43"/>
        <v>Sin riesgo &lt;85%</v>
      </c>
      <c r="J957" s="1" t="s">
        <v>13</v>
      </c>
      <c r="K957" s="1" t="str">
        <f t="shared" si="44"/>
        <v>Sin riesgo</v>
      </c>
    </row>
    <row r="958" spans="1:11">
      <c r="A958" s="1" t="s">
        <v>332</v>
      </c>
      <c r="B958" s="6" t="s">
        <v>15</v>
      </c>
      <c r="C958" s="3">
        <v>18.13</v>
      </c>
      <c r="D958" s="3">
        <v>16.11</v>
      </c>
      <c r="E958" s="3">
        <v>31.5</v>
      </c>
      <c r="F958" s="4">
        <v>5.0208473725980403</v>
      </c>
      <c r="G958" s="4">
        <v>-75.456802213639804</v>
      </c>
      <c r="H958" s="9">
        <f t="shared" si="42"/>
        <v>0.57555555555555549</v>
      </c>
      <c r="I958" s="4" t="str">
        <f t="shared" si="43"/>
        <v>Sin riesgo &lt;85%</v>
      </c>
      <c r="J958" s="1" t="s">
        <v>13</v>
      </c>
      <c r="K958" s="1" t="str">
        <f t="shared" si="44"/>
        <v>Sin riesgo</v>
      </c>
    </row>
    <row r="959" spans="1:11">
      <c r="A959" s="1" t="s">
        <v>333</v>
      </c>
      <c r="B959" s="6" t="s">
        <v>12</v>
      </c>
      <c r="C959" s="3">
        <v>16.940000000000001</v>
      </c>
      <c r="D959" s="3">
        <v>18.41</v>
      </c>
      <c r="E959" s="3">
        <v>20</v>
      </c>
      <c r="F959" s="4">
        <v>5.0208473725980403</v>
      </c>
      <c r="G959" s="4">
        <v>-75.456802213639804</v>
      </c>
      <c r="H959" s="9">
        <f t="shared" si="42"/>
        <v>0.92049999999999998</v>
      </c>
      <c r="I959" s="4" t="str">
        <f t="shared" si="43"/>
        <v>En riesgo &gt;85%</v>
      </c>
      <c r="J959" s="1" t="s">
        <v>13</v>
      </c>
      <c r="K959" s="1" t="str">
        <f t="shared" si="44"/>
        <v>Sin riesgo</v>
      </c>
    </row>
    <row r="960" spans="1:11">
      <c r="A960" s="1" t="s">
        <v>333</v>
      </c>
      <c r="B960" s="6" t="s">
        <v>14</v>
      </c>
      <c r="C960" s="3">
        <v>17.11</v>
      </c>
      <c r="D960" s="3">
        <v>18.579999999999998</v>
      </c>
      <c r="E960" s="3">
        <v>20</v>
      </c>
      <c r="F960" s="4">
        <v>5.0208473725980403</v>
      </c>
      <c r="G960" s="4">
        <v>-75.456802213639804</v>
      </c>
      <c r="H960" s="9">
        <f t="shared" si="42"/>
        <v>0.92899999999999994</v>
      </c>
      <c r="I960" s="4" t="str">
        <f t="shared" si="43"/>
        <v>En riesgo &gt;85%</v>
      </c>
      <c r="J960" s="1" t="s">
        <v>13</v>
      </c>
      <c r="K960" s="1" t="str">
        <f t="shared" si="44"/>
        <v>Sin riesgo</v>
      </c>
    </row>
    <row r="961" spans="1:11">
      <c r="A961" s="1" t="s">
        <v>333</v>
      </c>
      <c r="B961" s="6" t="s">
        <v>15</v>
      </c>
      <c r="C961" s="3">
        <v>17.11</v>
      </c>
      <c r="D961" s="3">
        <v>18.579999999999998</v>
      </c>
      <c r="E961" s="3">
        <v>20</v>
      </c>
      <c r="F961" s="4">
        <v>5.0208473725980403</v>
      </c>
      <c r="G961" s="4">
        <v>-75.456802213639804</v>
      </c>
      <c r="H961" s="9">
        <f t="shared" si="42"/>
        <v>0.92899999999999994</v>
      </c>
      <c r="I961" s="4" t="str">
        <f t="shared" si="43"/>
        <v>En riesgo &gt;85%</v>
      </c>
      <c r="J961" s="1" t="s">
        <v>13</v>
      </c>
      <c r="K961" s="1" t="str">
        <f t="shared" si="44"/>
        <v>Sin riesgo</v>
      </c>
    </row>
    <row r="962" spans="1:11">
      <c r="A962" s="1" t="s">
        <v>334</v>
      </c>
      <c r="B962" s="6" t="s">
        <v>12</v>
      </c>
      <c r="C962" s="3">
        <v>30.09</v>
      </c>
      <c r="D962" s="3">
        <v>27.85</v>
      </c>
      <c r="E962" s="3">
        <v>31.5</v>
      </c>
      <c r="F962" s="4">
        <v>5.0325993307609904</v>
      </c>
      <c r="G962" s="4">
        <v>-75.736473131160594</v>
      </c>
      <c r="H962" s="9">
        <f t="shared" si="42"/>
        <v>0.95523809523809522</v>
      </c>
      <c r="I962" s="4" t="str">
        <f t="shared" si="43"/>
        <v>Critico &gt;95%</v>
      </c>
      <c r="J962" s="1" t="s">
        <v>13</v>
      </c>
      <c r="K962" s="1" t="str">
        <f t="shared" si="44"/>
        <v>Sin riesgo</v>
      </c>
    </row>
    <row r="963" spans="1:11">
      <c r="A963" s="1" t="s">
        <v>334</v>
      </c>
      <c r="B963" s="6" t="s">
        <v>14</v>
      </c>
      <c r="C963" s="3">
        <v>30.51</v>
      </c>
      <c r="D963" s="3">
        <v>28.05</v>
      </c>
      <c r="E963" s="3">
        <v>31.5</v>
      </c>
      <c r="F963" s="4">
        <v>5.0325993307609904</v>
      </c>
      <c r="G963" s="4">
        <v>-75.736473131160594</v>
      </c>
      <c r="H963" s="9">
        <f t="shared" ref="H963:H1026" si="45">IF(C963&gt;D963,C963/E963,D963/E963)</f>
        <v>0.96857142857142864</v>
      </c>
      <c r="I963" s="4" t="str">
        <f t="shared" ref="I963:I1026" si="46">IF(H963&gt;100%,"Altamente critico &gt;100%",IF(H963&gt;95%,"Critico &gt;95%",IF(H963&gt;85%,"En riesgo &gt;85%","Sin riesgo &lt;85%")))</f>
        <v>Critico &gt;95%</v>
      </c>
      <c r="J963" s="1" t="s">
        <v>13</v>
      </c>
      <c r="K963" s="1" t="str">
        <f t="shared" ref="K963:K1026" si="47">IF(J963="&gt;5","Sin riesgo",IF(J963&gt;1.5,"Estado de alerta","Estado critico"))</f>
        <v>Sin riesgo</v>
      </c>
    </row>
    <row r="964" spans="1:11">
      <c r="A964" s="1" t="s">
        <v>334</v>
      </c>
      <c r="B964" s="6" t="s">
        <v>15</v>
      </c>
      <c r="C964" s="3">
        <v>30.51</v>
      </c>
      <c r="D964" s="3">
        <v>28.05</v>
      </c>
      <c r="E964" s="3">
        <v>31.5</v>
      </c>
      <c r="F964" s="4">
        <v>5.0325993307609904</v>
      </c>
      <c r="G964" s="4">
        <v>-75.736473131160594</v>
      </c>
      <c r="H964" s="9">
        <f t="shared" si="45"/>
        <v>0.96857142857142864</v>
      </c>
      <c r="I964" s="4" t="str">
        <f t="shared" si="46"/>
        <v>Critico &gt;95%</v>
      </c>
      <c r="J964" s="1" t="s">
        <v>13</v>
      </c>
      <c r="K964" s="1" t="str">
        <f t="shared" si="47"/>
        <v>Sin riesgo</v>
      </c>
    </row>
    <row r="965" spans="1:11">
      <c r="A965" s="1" t="s">
        <v>335</v>
      </c>
      <c r="B965" s="6" t="s">
        <v>12</v>
      </c>
      <c r="C965" s="3">
        <v>30.76</v>
      </c>
      <c r="D965" s="3">
        <v>26.41</v>
      </c>
      <c r="E965" s="3">
        <v>31.5</v>
      </c>
      <c r="F965" s="4">
        <v>5.0325993307609904</v>
      </c>
      <c r="G965" s="4">
        <v>-75.736473131160594</v>
      </c>
      <c r="H965" s="9">
        <f t="shared" si="45"/>
        <v>0.97650793650793655</v>
      </c>
      <c r="I965" s="4" t="str">
        <f t="shared" si="46"/>
        <v>Critico &gt;95%</v>
      </c>
      <c r="J965" s="1" t="s">
        <v>13</v>
      </c>
      <c r="K965" s="1" t="str">
        <f t="shared" si="47"/>
        <v>Sin riesgo</v>
      </c>
    </row>
    <row r="966" spans="1:11">
      <c r="A966" s="1" t="s">
        <v>335</v>
      </c>
      <c r="B966" s="6" t="s">
        <v>14</v>
      </c>
      <c r="C966" s="3">
        <v>31.49</v>
      </c>
      <c r="D966" s="3">
        <v>27.13</v>
      </c>
      <c r="E966" s="3">
        <v>31.5</v>
      </c>
      <c r="F966" s="4">
        <v>5.0325993307609904</v>
      </c>
      <c r="G966" s="4">
        <v>-75.736473131160594</v>
      </c>
      <c r="H966" s="9">
        <f t="shared" si="45"/>
        <v>0.99968253968253962</v>
      </c>
      <c r="I966" s="4" t="str">
        <f t="shared" si="46"/>
        <v>Critico &gt;95%</v>
      </c>
      <c r="J966" s="1" t="s">
        <v>13</v>
      </c>
      <c r="K966" s="1" t="str">
        <f t="shared" si="47"/>
        <v>Sin riesgo</v>
      </c>
    </row>
    <row r="967" spans="1:11">
      <c r="A967" s="1" t="s">
        <v>335</v>
      </c>
      <c r="B967" s="6" t="s">
        <v>15</v>
      </c>
      <c r="C967" s="3">
        <v>31.49</v>
      </c>
      <c r="D967" s="3">
        <v>27.14</v>
      </c>
      <c r="E967" s="3">
        <v>31.5</v>
      </c>
      <c r="F967" s="4">
        <v>5.0325993307609904</v>
      </c>
      <c r="G967" s="4">
        <v>-75.736473131160594</v>
      </c>
      <c r="H967" s="9">
        <f t="shared" si="45"/>
        <v>0.99968253968253962</v>
      </c>
      <c r="I967" s="4" t="str">
        <f t="shared" si="46"/>
        <v>Critico &gt;95%</v>
      </c>
      <c r="J967" s="1" t="s">
        <v>13</v>
      </c>
      <c r="K967" s="1" t="str">
        <f t="shared" si="47"/>
        <v>Sin riesgo</v>
      </c>
    </row>
    <row r="968" spans="1:11">
      <c r="A968" s="1" t="s">
        <v>336</v>
      </c>
      <c r="B968" s="6" t="s">
        <v>12</v>
      </c>
      <c r="C968" s="3">
        <v>23.78</v>
      </c>
      <c r="D968" s="3">
        <v>21.52</v>
      </c>
      <c r="E968" s="3">
        <v>31.5</v>
      </c>
      <c r="F968" s="4">
        <v>4.87532918514892</v>
      </c>
      <c r="G968" s="4">
        <v>-75.629877285137795</v>
      </c>
      <c r="H968" s="9">
        <f t="shared" si="45"/>
        <v>0.75492063492063499</v>
      </c>
      <c r="I968" s="4" t="str">
        <f t="shared" si="46"/>
        <v>Sin riesgo &lt;85%</v>
      </c>
      <c r="J968" s="1" t="s">
        <v>13</v>
      </c>
      <c r="K968" s="1" t="str">
        <f t="shared" si="47"/>
        <v>Sin riesgo</v>
      </c>
    </row>
    <row r="969" spans="1:11">
      <c r="A969" s="1" t="s">
        <v>336</v>
      </c>
      <c r="B969" s="6" t="s">
        <v>14</v>
      </c>
      <c r="C969" s="3">
        <v>24.02</v>
      </c>
      <c r="D969" s="3">
        <v>21.74</v>
      </c>
      <c r="E969" s="3">
        <v>31.5</v>
      </c>
      <c r="F969" s="4">
        <v>4.87532918514892</v>
      </c>
      <c r="G969" s="4">
        <v>-75.629877285137795</v>
      </c>
      <c r="H969" s="9">
        <f t="shared" si="45"/>
        <v>0.76253968253968252</v>
      </c>
      <c r="I969" s="4" t="str">
        <f t="shared" si="46"/>
        <v>Sin riesgo &lt;85%</v>
      </c>
      <c r="J969" s="1" t="s">
        <v>13</v>
      </c>
      <c r="K969" s="1" t="str">
        <f t="shared" si="47"/>
        <v>Sin riesgo</v>
      </c>
    </row>
    <row r="970" spans="1:11">
      <c r="A970" s="1" t="s">
        <v>336</v>
      </c>
      <c r="B970" s="6" t="s">
        <v>15</v>
      </c>
      <c r="C970" s="3">
        <v>24.02</v>
      </c>
      <c r="D970" s="3">
        <v>21.74</v>
      </c>
      <c r="E970" s="3">
        <v>31.5</v>
      </c>
      <c r="F970" s="4">
        <v>4.87532918514892</v>
      </c>
      <c r="G970" s="4">
        <v>-75.629877285137795</v>
      </c>
      <c r="H970" s="9">
        <f t="shared" si="45"/>
        <v>0.76253968253968252</v>
      </c>
      <c r="I970" s="4" t="str">
        <f t="shared" si="46"/>
        <v>Sin riesgo &lt;85%</v>
      </c>
      <c r="J970" s="1" t="s">
        <v>13</v>
      </c>
      <c r="K970" s="1" t="str">
        <f t="shared" si="47"/>
        <v>Sin riesgo</v>
      </c>
    </row>
    <row r="971" spans="1:11">
      <c r="A971" s="1" t="s">
        <v>337</v>
      </c>
      <c r="B971" s="6" t="s">
        <v>12</v>
      </c>
      <c r="C971" s="3">
        <v>16.489999999999998</v>
      </c>
      <c r="D971" s="3">
        <v>17.559999999999999</v>
      </c>
      <c r="E971" s="3">
        <v>31.5</v>
      </c>
      <c r="F971" s="4">
        <v>4.87532918514892</v>
      </c>
      <c r="G971" s="4">
        <v>-75.629877285137795</v>
      </c>
      <c r="H971" s="9">
        <f t="shared" si="45"/>
        <v>0.55746031746031743</v>
      </c>
      <c r="I971" s="4" t="str">
        <f t="shared" si="46"/>
        <v>Sin riesgo &lt;85%</v>
      </c>
      <c r="J971" s="1" t="s">
        <v>13</v>
      </c>
      <c r="K971" s="1" t="str">
        <f t="shared" si="47"/>
        <v>Sin riesgo</v>
      </c>
    </row>
    <row r="972" spans="1:11">
      <c r="A972" s="1" t="s">
        <v>337</v>
      </c>
      <c r="B972" s="6" t="s">
        <v>14</v>
      </c>
      <c r="C972" s="3">
        <v>16.649999999999999</v>
      </c>
      <c r="D972" s="3">
        <v>17.690000000000001</v>
      </c>
      <c r="E972" s="3">
        <v>31.5</v>
      </c>
      <c r="F972" s="4">
        <v>4.87532918514892</v>
      </c>
      <c r="G972" s="4">
        <v>-75.629877285137795</v>
      </c>
      <c r="H972" s="9">
        <f t="shared" si="45"/>
        <v>0.56158730158730163</v>
      </c>
      <c r="I972" s="4" t="str">
        <f t="shared" si="46"/>
        <v>Sin riesgo &lt;85%</v>
      </c>
      <c r="J972" s="1" t="s">
        <v>13</v>
      </c>
      <c r="K972" s="1" t="str">
        <f t="shared" si="47"/>
        <v>Sin riesgo</v>
      </c>
    </row>
    <row r="973" spans="1:11">
      <c r="A973" s="1" t="s">
        <v>337</v>
      </c>
      <c r="B973" s="6" t="s">
        <v>15</v>
      </c>
      <c r="C973" s="3">
        <v>16.649999999999999</v>
      </c>
      <c r="D973" s="3">
        <v>17.690000000000001</v>
      </c>
      <c r="E973" s="3">
        <v>31.5</v>
      </c>
      <c r="F973" s="4">
        <v>4.87532918514892</v>
      </c>
      <c r="G973" s="4">
        <v>-75.629877285137795</v>
      </c>
      <c r="H973" s="9">
        <f t="shared" si="45"/>
        <v>0.56158730158730163</v>
      </c>
      <c r="I973" s="4" t="str">
        <f t="shared" si="46"/>
        <v>Sin riesgo &lt;85%</v>
      </c>
      <c r="J973" s="1" t="s">
        <v>13</v>
      </c>
      <c r="K973" s="1" t="str">
        <f t="shared" si="47"/>
        <v>Sin riesgo</v>
      </c>
    </row>
    <row r="974" spans="1:11">
      <c r="A974" s="1" t="s">
        <v>338</v>
      </c>
      <c r="B974" s="6" t="s">
        <v>12</v>
      </c>
      <c r="C974" s="3">
        <v>14.9</v>
      </c>
      <c r="D974" s="3">
        <v>13.85</v>
      </c>
      <c r="E974" s="3">
        <v>31.5</v>
      </c>
      <c r="F974" s="4">
        <v>7.9536629999999997</v>
      </c>
      <c r="G974" s="4">
        <v>-72.498457999999999</v>
      </c>
      <c r="H974" s="9">
        <f t="shared" si="45"/>
        <v>0.473015873015873</v>
      </c>
      <c r="I974" s="4" t="str">
        <f t="shared" si="46"/>
        <v>Sin riesgo &lt;85%</v>
      </c>
      <c r="J974" s="1" t="s">
        <v>13</v>
      </c>
      <c r="K974" s="1" t="str">
        <f t="shared" si="47"/>
        <v>Sin riesgo</v>
      </c>
    </row>
    <row r="975" spans="1:11">
      <c r="A975" s="1" t="s">
        <v>338</v>
      </c>
      <c r="B975" s="6" t="s">
        <v>14</v>
      </c>
      <c r="C975" s="3">
        <v>15.07</v>
      </c>
      <c r="D975" s="3">
        <v>14.03</v>
      </c>
      <c r="E975" s="3">
        <v>31.5</v>
      </c>
      <c r="F975" s="4">
        <v>7.9536629999999997</v>
      </c>
      <c r="G975" s="4">
        <v>-72.498457999999999</v>
      </c>
      <c r="H975" s="9">
        <f t="shared" si="45"/>
        <v>0.4784126984126984</v>
      </c>
      <c r="I975" s="4" t="str">
        <f t="shared" si="46"/>
        <v>Sin riesgo &lt;85%</v>
      </c>
      <c r="J975" s="1" t="s">
        <v>13</v>
      </c>
      <c r="K975" s="1" t="str">
        <f t="shared" si="47"/>
        <v>Sin riesgo</v>
      </c>
    </row>
    <row r="976" spans="1:11">
      <c r="A976" s="1" t="s">
        <v>338</v>
      </c>
      <c r="B976" s="6" t="s">
        <v>15</v>
      </c>
      <c r="C976" s="3">
        <v>15.07</v>
      </c>
      <c r="D976" s="3">
        <v>14.03</v>
      </c>
      <c r="E976" s="3">
        <v>31.5</v>
      </c>
      <c r="F976" s="4">
        <v>7.9536629999999997</v>
      </c>
      <c r="G976" s="4">
        <v>-72.498457999999999</v>
      </c>
      <c r="H976" s="9">
        <f t="shared" si="45"/>
        <v>0.4784126984126984</v>
      </c>
      <c r="I976" s="4" t="str">
        <f t="shared" si="46"/>
        <v>Sin riesgo &lt;85%</v>
      </c>
      <c r="J976" s="1" t="s">
        <v>13</v>
      </c>
      <c r="K976" s="1" t="str">
        <f t="shared" si="47"/>
        <v>Sin riesgo</v>
      </c>
    </row>
    <row r="977" spans="1:11">
      <c r="A977" s="1" t="s">
        <v>339</v>
      </c>
      <c r="B977" s="6" t="s">
        <v>12</v>
      </c>
      <c r="C977" s="3">
        <v>6.51</v>
      </c>
      <c r="D977" s="3">
        <v>7.04</v>
      </c>
      <c r="E977" s="3">
        <v>31.5</v>
      </c>
      <c r="F977" s="4">
        <v>5.2835016895313798</v>
      </c>
      <c r="G977" s="4">
        <v>-75.664328681121901</v>
      </c>
      <c r="H977" s="9">
        <f t="shared" si="45"/>
        <v>0.22349206349206349</v>
      </c>
      <c r="I977" s="4" t="str">
        <f t="shared" si="46"/>
        <v>Sin riesgo &lt;85%</v>
      </c>
      <c r="J977" s="1" t="s">
        <v>13</v>
      </c>
      <c r="K977" s="1" t="str">
        <f t="shared" si="47"/>
        <v>Sin riesgo</v>
      </c>
    </row>
    <row r="978" spans="1:11">
      <c r="A978" s="1" t="s">
        <v>339</v>
      </c>
      <c r="B978" s="6" t="s">
        <v>14</v>
      </c>
      <c r="C978" s="3">
        <v>7.91</v>
      </c>
      <c r="D978" s="3">
        <v>9.1199999999999992</v>
      </c>
      <c r="E978" s="3">
        <v>31.5</v>
      </c>
      <c r="F978" s="4">
        <v>5.2835016895313798</v>
      </c>
      <c r="G978" s="4">
        <v>-75.664328681121901</v>
      </c>
      <c r="H978" s="9">
        <f t="shared" si="45"/>
        <v>0.28952380952380952</v>
      </c>
      <c r="I978" s="4" t="str">
        <f t="shared" si="46"/>
        <v>Sin riesgo &lt;85%</v>
      </c>
      <c r="J978" s="1" t="s">
        <v>13</v>
      </c>
      <c r="K978" s="1" t="str">
        <f t="shared" si="47"/>
        <v>Sin riesgo</v>
      </c>
    </row>
    <row r="979" spans="1:11">
      <c r="A979" s="1" t="s">
        <v>339</v>
      </c>
      <c r="B979" s="6" t="s">
        <v>15</v>
      </c>
      <c r="C979" s="3">
        <v>7.91</v>
      </c>
      <c r="D979" s="3">
        <v>9.1199999999999992</v>
      </c>
      <c r="E979" s="3">
        <v>31.5</v>
      </c>
      <c r="F979" s="4">
        <v>5.2835016895313798</v>
      </c>
      <c r="G979" s="4">
        <v>-75.664328681121901</v>
      </c>
      <c r="H979" s="9">
        <f t="shared" si="45"/>
        <v>0.28952380952380952</v>
      </c>
      <c r="I979" s="4" t="str">
        <f t="shared" si="46"/>
        <v>Sin riesgo &lt;85%</v>
      </c>
      <c r="J979" s="1" t="s">
        <v>13</v>
      </c>
      <c r="K979" s="1" t="str">
        <f t="shared" si="47"/>
        <v>Sin riesgo</v>
      </c>
    </row>
    <row r="980" spans="1:11">
      <c r="A980" s="1" t="s">
        <v>340</v>
      </c>
      <c r="B980" s="6" t="s">
        <v>12</v>
      </c>
      <c r="C980" s="3">
        <v>23.99</v>
      </c>
      <c r="D980" s="3">
        <v>21.04</v>
      </c>
      <c r="E980" s="3">
        <v>40</v>
      </c>
      <c r="F980" s="4">
        <v>5.5662786472172803</v>
      </c>
      <c r="G980" s="4">
        <v>-74.888818580963701</v>
      </c>
      <c r="H980" s="9">
        <f t="shared" si="45"/>
        <v>0.59975000000000001</v>
      </c>
      <c r="I980" s="4" t="str">
        <f t="shared" si="46"/>
        <v>Sin riesgo &lt;85%</v>
      </c>
      <c r="J980" s="1" t="s">
        <v>13</v>
      </c>
      <c r="K980" s="1" t="str">
        <f t="shared" si="47"/>
        <v>Sin riesgo</v>
      </c>
    </row>
    <row r="981" spans="1:11">
      <c r="A981" s="1" t="s">
        <v>340</v>
      </c>
      <c r="B981" s="6" t="s">
        <v>14</v>
      </c>
      <c r="C981" s="3">
        <v>24.38</v>
      </c>
      <c r="D981" s="3">
        <v>21.38</v>
      </c>
      <c r="E981" s="3">
        <v>40</v>
      </c>
      <c r="F981" s="4">
        <v>5.5662786472172803</v>
      </c>
      <c r="G981" s="4">
        <v>-74.888818580963701</v>
      </c>
      <c r="H981" s="9">
        <f t="shared" si="45"/>
        <v>0.60949999999999993</v>
      </c>
      <c r="I981" s="4" t="str">
        <f t="shared" si="46"/>
        <v>Sin riesgo &lt;85%</v>
      </c>
      <c r="J981" s="1" t="s">
        <v>13</v>
      </c>
      <c r="K981" s="1" t="str">
        <f t="shared" si="47"/>
        <v>Sin riesgo</v>
      </c>
    </row>
    <row r="982" spans="1:11">
      <c r="A982" s="1" t="s">
        <v>340</v>
      </c>
      <c r="B982" s="6" t="s">
        <v>15</v>
      </c>
      <c r="C982" s="3">
        <v>24.43</v>
      </c>
      <c r="D982" s="3">
        <v>21.44</v>
      </c>
      <c r="E982" s="3">
        <v>40</v>
      </c>
      <c r="F982" s="4">
        <v>5.5662786472172803</v>
      </c>
      <c r="G982" s="4">
        <v>-74.888818580963701</v>
      </c>
      <c r="H982" s="9">
        <f t="shared" si="45"/>
        <v>0.61075000000000002</v>
      </c>
      <c r="I982" s="4" t="str">
        <f t="shared" si="46"/>
        <v>Sin riesgo &lt;85%</v>
      </c>
      <c r="J982" s="1" t="s">
        <v>13</v>
      </c>
      <c r="K982" s="1" t="str">
        <f t="shared" si="47"/>
        <v>Sin riesgo</v>
      </c>
    </row>
    <row r="983" spans="1:11">
      <c r="A983" s="1" t="s">
        <v>341</v>
      </c>
      <c r="B983" s="6" t="s">
        <v>12</v>
      </c>
      <c r="C983" s="3">
        <v>18.36</v>
      </c>
      <c r="D983" s="3">
        <v>18.510000000000002</v>
      </c>
      <c r="E983" s="3">
        <v>31.5</v>
      </c>
      <c r="F983" s="4">
        <v>4.8354655264040298</v>
      </c>
      <c r="G983" s="4">
        <v>-75.678838720291694</v>
      </c>
      <c r="H983" s="9">
        <f t="shared" si="45"/>
        <v>0.58761904761904771</v>
      </c>
      <c r="I983" s="4" t="str">
        <f t="shared" si="46"/>
        <v>Sin riesgo &lt;85%</v>
      </c>
      <c r="J983" s="1" t="s">
        <v>13</v>
      </c>
      <c r="K983" s="1" t="str">
        <f t="shared" si="47"/>
        <v>Sin riesgo</v>
      </c>
    </row>
    <row r="984" spans="1:11">
      <c r="A984" s="1" t="s">
        <v>341</v>
      </c>
      <c r="B984" s="6" t="s">
        <v>14</v>
      </c>
      <c r="C984" s="3">
        <v>18.54</v>
      </c>
      <c r="D984" s="3">
        <v>18.690000000000001</v>
      </c>
      <c r="E984" s="3">
        <v>31.5</v>
      </c>
      <c r="F984" s="4">
        <v>4.8354655264040298</v>
      </c>
      <c r="G984" s="4">
        <v>-75.678838720291694</v>
      </c>
      <c r="H984" s="9">
        <f t="shared" si="45"/>
        <v>0.59333333333333338</v>
      </c>
      <c r="I984" s="4" t="str">
        <f t="shared" si="46"/>
        <v>Sin riesgo &lt;85%</v>
      </c>
      <c r="J984" s="1" t="s">
        <v>13</v>
      </c>
      <c r="K984" s="1" t="str">
        <f t="shared" si="47"/>
        <v>Sin riesgo</v>
      </c>
    </row>
    <row r="985" spans="1:11">
      <c r="A985" s="1" t="s">
        <v>341</v>
      </c>
      <c r="B985" s="6" t="s">
        <v>15</v>
      </c>
      <c r="C985" s="3">
        <v>18.54</v>
      </c>
      <c r="D985" s="3">
        <v>18.690000000000001</v>
      </c>
      <c r="E985" s="3">
        <v>31.5</v>
      </c>
      <c r="F985" s="4">
        <v>4.8354655264040298</v>
      </c>
      <c r="G985" s="4">
        <v>-75.678838720291694</v>
      </c>
      <c r="H985" s="9">
        <f t="shared" si="45"/>
        <v>0.59333333333333338</v>
      </c>
      <c r="I985" s="4" t="str">
        <f t="shared" si="46"/>
        <v>Sin riesgo &lt;85%</v>
      </c>
      <c r="J985" s="1" t="s">
        <v>13</v>
      </c>
      <c r="K985" s="1" t="str">
        <f t="shared" si="47"/>
        <v>Sin riesgo</v>
      </c>
    </row>
    <row r="986" spans="1:11">
      <c r="A986" s="1" t="s">
        <v>342</v>
      </c>
      <c r="B986" s="6" t="s">
        <v>12</v>
      </c>
      <c r="C986" s="3">
        <v>15.14</v>
      </c>
      <c r="D986" s="3">
        <v>15.81</v>
      </c>
      <c r="E986" s="3">
        <v>31.5</v>
      </c>
      <c r="F986" s="4">
        <v>5.0652387923800797</v>
      </c>
      <c r="G986" s="4">
        <v>-77.514755110886796</v>
      </c>
      <c r="H986" s="9">
        <f t="shared" si="45"/>
        <v>0.50190476190476196</v>
      </c>
      <c r="I986" s="4" t="str">
        <f t="shared" si="46"/>
        <v>Sin riesgo &lt;85%</v>
      </c>
      <c r="J986" s="1" t="s">
        <v>13</v>
      </c>
      <c r="K986" s="1" t="str">
        <f t="shared" si="47"/>
        <v>Sin riesgo</v>
      </c>
    </row>
    <row r="987" spans="1:11">
      <c r="A987" s="1" t="s">
        <v>342</v>
      </c>
      <c r="B987" s="6" t="s">
        <v>14</v>
      </c>
      <c r="C987" s="3">
        <v>15.28</v>
      </c>
      <c r="D987" s="3">
        <v>15.98</v>
      </c>
      <c r="E987" s="3">
        <v>31.5</v>
      </c>
      <c r="F987" s="4">
        <v>5.0652387923800797</v>
      </c>
      <c r="G987" s="4">
        <v>-76.514755110886796</v>
      </c>
      <c r="H987" s="9">
        <f t="shared" si="45"/>
        <v>0.50730158730158736</v>
      </c>
      <c r="I987" s="4" t="str">
        <f t="shared" si="46"/>
        <v>Sin riesgo &lt;85%</v>
      </c>
      <c r="J987" s="1" t="s">
        <v>13</v>
      </c>
      <c r="K987" s="1" t="str">
        <f t="shared" si="47"/>
        <v>Sin riesgo</v>
      </c>
    </row>
    <row r="988" spans="1:11">
      <c r="A988" s="1" t="s">
        <v>342</v>
      </c>
      <c r="B988" s="6" t="s">
        <v>15</v>
      </c>
      <c r="C988" s="3">
        <v>15.29</v>
      </c>
      <c r="D988" s="3">
        <v>15.98</v>
      </c>
      <c r="E988" s="3">
        <v>31.5</v>
      </c>
      <c r="F988" s="4">
        <v>5.0652387923800797</v>
      </c>
      <c r="G988" s="4">
        <v>-75.514755110886796</v>
      </c>
      <c r="H988" s="9">
        <f t="shared" si="45"/>
        <v>0.50730158730158736</v>
      </c>
      <c r="I988" s="4" t="str">
        <f t="shared" si="46"/>
        <v>Sin riesgo &lt;85%</v>
      </c>
      <c r="J988" s="1" t="s">
        <v>13</v>
      </c>
      <c r="K988" s="1" t="str">
        <f t="shared" si="47"/>
        <v>Sin riesgo</v>
      </c>
    </row>
    <row r="989" spans="1:11">
      <c r="A989" s="1" t="s">
        <v>343</v>
      </c>
      <c r="B989" s="6" t="s">
        <v>12</v>
      </c>
      <c r="C989" s="3">
        <v>5.37</v>
      </c>
      <c r="D989" s="3">
        <v>6.19</v>
      </c>
      <c r="E989" s="3">
        <v>31.5</v>
      </c>
      <c r="F989" s="4">
        <v>11.236224999999999</v>
      </c>
      <c r="G989" s="4">
        <v>-74.203669000000005</v>
      </c>
      <c r="H989" s="9">
        <f t="shared" si="45"/>
        <v>0.19650793650793652</v>
      </c>
      <c r="I989" s="4" t="str">
        <f t="shared" si="46"/>
        <v>Sin riesgo &lt;85%</v>
      </c>
      <c r="J989" s="1" t="s">
        <v>13</v>
      </c>
      <c r="K989" s="1" t="str">
        <f t="shared" si="47"/>
        <v>Sin riesgo</v>
      </c>
    </row>
    <row r="990" spans="1:11">
      <c r="A990" s="1" t="s">
        <v>343</v>
      </c>
      <c r="B990" s="6" t="s">
        <v>14</v>
      </c>
      <c r="C990" s="3">
        <v>5.41</v>
      </c>
      <c r="D990" s="3">
        <v>6.24</v>
      </c>
      <c r="E990" s="3">
        <v>31.5</v>
      </c>
      <c r="F990" s="4">
        <v>11.236224999999999</v>
      </c>
      <c r="G990" s="4">
        <v>-74.203669000000005</v>
      </c>
      <c r="H990" s="9">
        <f t="shared" si="45"/>
        <v>0.1980952380952381</v>
      </c>
      <c r="I990" s="4" t="str">
        <f t="shared" si="46"/>
        <v>Sin riesgo &lt;85%</v>
      </c>
      <c r="J990" s="1" t="s">
        <v>13</v>
      </c>
      <c r="K990" s="1" t="str">
        <f t="shared" si="47"/>
        <v>Sin riesgo</v>
      </c>
    </row>
    <row r="991" spans="1:11">
      <c r="A991" s="1" t="s">
        <v>343</v>
      </c>
      <c r="B991" s="6" t="s">
        <v>15</v>
      </c>
      <c r="C991" s="3">
        <v>5.43</v>
      </c>
      <c r="D991" s="3">
        <v>6.27</v>
      </c>
      <c r="E991" s="3">
        <v>31.5</v>
      </c>
      <c r="F991" s="4">
        <v>11.236224999999999</v>
      </c>
      <c r="G991" s="4">
        <v>-74.203669000000005</v>
      </c>
      <c r="H991" s="9">
        <f t="shared" si="45"/>
        <v>0.19904761904761903</v>
      </c>
      <c r="I991" s="4" t="str">
        <f t="shared" si="46"/>
        <v>Sin riesgo &lt;85%</v>
      </c>
      <c r="J991" s="1" t="s">
        <v>13</v>
      </c>
      <c r="K991" s="1" t="str">
        <f t="shared" si="47"/>
        <v>Sin riesgo</v>
      </c>
    </row>
    <row r="992" spans="1:11">
      <c r="A992" s="1" t="s">
        <v>344</v>
      </c>
      <c r="B992" s="6" t="s">
        <v>12</v>
      </c>
      <c r="C992" s="3">
        <v>8.08</v>
      </c>
      <c r="D992" s="3">
        <v>10.24</v>
      </c>
      <c r="E992" s="3">
        <v>31.5</v>
      </c>
      <c r="F992" s="4">
        <v>4.8333679639918197</v>
      </c>
      <c r="G992" s="4">
        <v>-75.653119811656197</v>
      </c>
      <c r="H992" s="9">
        <f t="shared" si="45"/>
        <v>0.32507936507936508</v>
      </c>
      <c r="I992" s="4" t="str">
        <f t="shared" si="46"/>
        <v>Sin riesgo &lt;85%</v>
      </c>
      <c r="J992" s="1" t="s">
        <v>13</v>
      </c>
      <c r="K992" s="1" t="str">
        <f t="shared" si="47"/>
        <v>Sin riesgo</v>
      </c>
    </row>
    <row r="993" spans="1:11">
      <c r="A993" s="1" t="s">
        <v>344</v>
      </c>
      <c r="B993" s="6" t="s">
        <v>14</v>
      </c>
      <c r="C993" s="3">
        <v>8.16</v>
      </c>
      <c r="D993" s="3">
        <v>10.34</v>
      </c>
      <c r="E993" s="3">
        <v>31.5</v>
      </c>
      <c r="F993" s="4">
        <v>4.8333679639918197</v>
      </c>
      <c r="G993" s="4">
        <v>-75.653119811656197</v>
      </c>
      <c r="H993" s="9">
        <f t="shared" si="45"/>
        <v>0.32825396825396824</v>
      </c>
      <c r="I993" s="4" t="str">
        <f t="shared" si="46"/>
        <v>Sin riesgo &lt;85%</v>
      </c>
      <c r="J993" s="1" t="s">
        <v>13</v>
      </c>
      <c r="K993" s="1" t="str">
        <f t="shared" si="47"/>
        <v>Sin riesgo</v>
      </c>
    </row>
    <row r="994" spans="1:11">
      <c r="A994" s="1" t="s">
        <v>344</v>
      </c>
      <c r="B994" s="6" t="s">
        <v>15</v>
      </c>
      <c r="C994" s="3">
        <v>8.16</v>
      </c>
      <c r="D994" s="3">
        <v>10.34</v>
      </c>
      <c r="E994" s="3">
        <v>31.5</v>
      </c>
      <c r="F994" s="4">
        <v>4.8333679639918197</v>
      </c>
      <c r="G994" s="4">
        <v>-75.653119811656197</v>
      </c>
      <c r="H994" s="9">
        <f t="shared" si="45"/>
        <v>0.32825396825396824</v>
      </c>
      <c r="I994" s="4" t="str">
        <f t="shared" si="46"/>
        <v>Sin riesgo &lt;85%</v>
      </c>
      <c r="J994" s="1" t="s">
        <v>13</v>
      </c>
      <c r="K994" s="1" t="str">
        <f t="shared" si="47"/>
        <v>Sin riesgo</v>
      </c>
    </row>
    <row r="995" spans="1:11">
      <c r="A995" s="1" t="s">
        <v>345</v>
      </c>
      <c r="B995" s="6" t="s">
        <v>12</v>
      </c>
      <c r="C995" s="3">
        <v>12.79</v>
      </c>
      <c r="D995" s="3">
        <v>13.47</v>
      </c>
      <c r="E995" s="3">
        <v>31.5</v>
      </c>
      <c r="F995" s="11"/>
      <c r="G995" s="11"/>
      <c r="H995" s="9">
        <f t="shared" si="45"/>
        <v>0.42761904761904762</v>
      </c>
      <c r="I995" s="4" t="str">
        <f t="shared" si="46"/>
        <v>Sin riesgo &lt;85%</v>
      </c>
      <c r="J995" s="1" t="s">
        <v>13</v>
      </c>
      <c r="K995" s="1" t="str">
        <f t="shared" si="47"/>
        <v>Sin riesgo</v>
      </c>
    </row>
    <row r="996" spans="1:11">
      <c r="A996" s="1" t="s">
        <v>345</v>
      </c>
      <c r="B996" s="6" t="s">
        <v>14</v>
      </c>
      <c r="C996" s="3">
        <v>13.01</v>
      </c>
      <c r="D996" s="3">
        <v>13.63</v>
      </c>
      <c r="E996" s="3">
        <v>31.5</v>
      </c>
      <c r="F996" s="11"/>
      <c r="G996" s="11"/>
      <c r="H996" s="9">
        <f t="shared" si="45"/>
        <v>0.43269841269841275</v>
      </c>
      <c r="I996" s="4" t="str">
        <f t="shared" si="46"/>
        <v>Sin riesgo &lt;85%</v>
      </c>
      <c r="J996" s="1" t="s">
        <v>13</v>
      </c>
      <c r="K996" s="1" t="str">
        <f t="shared" si="47"/>
        <v>Sin riesgo</v>
      </c>
    </row>
    <row r="997" spans="1:11">
      <c r="A997" s="1" t="s">
        <v>345</v>
      </c>
      <c r="B997" s="6" t="s">
        <v>15</v>
      </c>
      <c r="C997" s="3">
        <v>13.01</v>
      </c>
      <c r="D997" s="3">
        <v>13.63</v>
      </c>
      <c r="E997" s="3">
        <v>31.5</v>
      </c>
      <c r="F997" s="11"/>
      <c r="G997" s="11"/>
      <c r="H997" s="9">
        <f t="shared" si="45"/>
        <v>0.43269841269841275</v>
      </c>
      <c r="I997" s="4" t="str">
        <f t="shared" si="46"/>
        <v>Sin riesgo &lt;85%</v>
      </c>
      <c r="J997" s="1" t="s">
        <v>13</v>
      </c>
      <c r="K997" s="1" t="str">
        <f t="shared" si="47"/>
        <v>Sin riesgo</v>
      </c>
    </row>
    <row r="998" spans="1:11">
      <c r="A998" s="1" t="s">
        <v>346</v>
      </c>
      <c r="B998" s="6" t="s">
        <v>12</v>
      </c>
      <c r="C998" s="3">
        <v>11.65</v>
      </c>
      <c r="D998" s="3">
        <v>11.86</v>
      </c>
      <c r="E998" s="3">
        <v>31.5</v>
      </c>
      <c r="F998" s="11"/>
      <c r="G998" s="11"/>
      <c r="H998" s="9">
        <f t="shared" si="45"/>
        <v>0.37650793650793651</v>
      </c>
      <c r="I998" s="4" t="str">
        <f t="shared" si="46"/>
        <v>Sin riesgo &lt;85%</v>
      </c>
      <c r="J998" s="1" t="s">
        <v>13</v>
      </c>
      <c r="K998" s="1" t="str">
        <f t="shared" si="47"/>
        <v>Sin riesgo</v>
      </c>
    </row>
    <row r="999" spans="1:11">
      <c r="A999" s="1" t="s">
        <v>346</v>
      </c>
      <c r="B999" s="6" t="s">
        <v>14</v>
      </c>
      <c r="C999" s="3">
        <v>11.78</v>
      </c>
      <c r="D999" s="3">
        <v>11.98</v>
      </c>
      <c r="E999" s="3">
        <v>31.5</v>
      </c>
      <c r="F999" s="11"/>
      <c r="G999" s="11"/>
      <c r="H999" s="9">
        <f t="shared" si="45"/>
        <v>0.38031746031746033</v>
      </c>
      <c r="I999" s="4" t="str">
        <f t="shared" si="46"/>
        <v>Sin riesgo &lt;85%</v>
      </c>
      <c r="J999" s="1" t="s">
        <v>13</v>
      </c>
      <c r="K999" s="1" t="str">
        <f t="shared" si="47"/>
        <v>Sin riesgo</v>
      </c>
    </row>
    <row r="1000" spans="1:11">
      <c r="A1000" s="1" t="s">
        <v>346</v>
      </c>
      <c r="B1000" s="6" t="s">
        <v>15</v>
      </c>
      <c r="C1000" s="3">
        <v>11.78</v>
      </c>
      <c r="D1000" s="3">
        <v>11.98</v>
      </c>
      <c r="E1000" s="3">
        <v>31.5</v>
      </c>
      <c r="F1000" s="11"/>
      <c r="G1000" s="11"/>
      <c r="H1000" s="9">
        <f t="shared" si="45"/>
        <v>0.38031746031746033</v>
      </c>
      <c r="I1000" s="4" t="str">
        <f t="shared" si="46"/>
        <v>Sin riesgo &lt;85%</v>
      </c>
      <c r="J1000" s="1" t="s">
        <v>13</v>
      </c>
      <c r="K1000" s="1" t="str">
        <f t="shared" si="47"/>
        <v>Sin riesgo</v>
      </c>
    </row>
    <row r="1001" spans="1:11">
      <c r="A1001" s="1" t="s">
        <v>347</v>
      </c>
      <c r="B1001" s="6" t="s">
        <v>12</v>
      </c>
      <c r="C1001" s="3">
        <v>11.1</v>
      </c>
      <c r="D1001" s="3">
        <v>12.78</v>
      </c>
      <c r="E1001" s="3">
        <v>31.5</v>
      </c>
      <c r="F1001" s="4">
        <v>5.07388465992726</v>
      </c>
      <c r="G1001" s="4">
        <v>-75.499830187163994</v>
      </c>
      <c r="H1001" s="9">
        <f t="shared" si="45"/>
        <v>0.40571428571428569</v>
      </c>
      <c r="I1001" s="4" t="str">
        <f t="shared" si="46"/>
        <v>Sin riesgo &lt;85%</v>
      </c>
      <c r="J1001" s="1" t="s">
        <v>13</v>
      </c>
      <c r="K1001" s="1" t="str">
        <f t="shared" si="47"/>
        <v>Sin riesgo</v>
      </c>
    </row>
    <row r="1002" spans="1:11">
      <c r="A1002" s="1" t="s">
        <v>347</v>
      </c>
      <c r="B1002" s="6" t="s">
        <v>14</v>
      </c>
      <c r="C1002" s="3">
        <v>11.2</v>
      </c>
      <c r="D1002" s="3">
        <v>12.89</v>
      </c>
      <c r="E1002" s="3">
        <v>31.5</v>
      </c>
      <c r="F1002" s="4">
        <v>5.07388465992726</v>
      </c>
      <c r="G1002" s="4">
        <v>-75.499830187163994</v>
      </c>
      <c r="H1002" s="9">
        <f t="shared" si="45"/>
        <v>0.40920634920634924</v>
      </c>
      <c r="I1002" s="4" t="str">
        <f t="shared" si="46"/>
        <v>Sin riesgo &lt;85%</v>
      </c>
      <c r="J1002" s="1" t="s">
        <v>13</v>
      </c>
      <c r="K1002" s="1" t="str">
        <f t="shared" si="47"/>
        <v>Sin riesgo</v>
      </c>
    </row>
    <row r="1003" spans="1:11">
      <c r="A1003" s="1" t="s">
        <v>347</v>
      </c>
      <c r="B1003" s="6" t="s">
        <v>15</v>
      </c>
      <c r="C1003" s="3">
        <v>11.2</v>
      </c>
      <c r="D1003" s="3">
        <v>12.9</v>
      </c>
      <c r="E1003" s="3">
        <v>31.5</v>
      </c>
      <c r="F1003" s="4">
        <v>5.07388465992726</v>
      </c>
      <c r="G1003" s="4">
        <v>-75.499830187163994</v>
      </c>
      <c r="H1003" s="9">
        <f t="shared" si="45"/>
        <v>0.40952380952380951</v>
      </c>
      <c r="I1003" s="4" t="str">
        <f t="shared" si="46"/>
        <v>Sin riesgo &lt;85%</v>
      </c>
      <c r="J1003" s="1" t="s">
        <v>13</v>
      </c>
      <c r="K1003" s="1" t="str">
        <f t="shared" si="47"/>
        <v>Sin riesgo</v>
      </c>
    </row>
    <row r="1004" spans="1:11">
      <c r="A1004" s="1" t="s">
        <v>348</v>
      </c>
      <c r="B1004" s="6" t="s">
        <v>12</v>
      </c>
      <c r="C1004" s="3">
        <v>19.27</v>
      </c>
      <c r="D1004" s="3">
        <v>15.41</v>
      </c>
      <c r="E1004" s="3">
        <v>31.5</v>
      </c>
      <c r="F1004" s="4">
        <v>5.4237191040810702</v>
      </c>
      <c r="G1004" s="4">
        <v>-74.719651054747004</v>
      </c>
      <c r="H1004" s="9">
        <f t="shared" si="45"/>
        <v>0.6117460317460317</v>
      </c>
      <c r="I1004" s="4" t="str">
        <f t="shared" si="46"/>
        <v>Sin riesgo &lt;85%</v>
      </c>
      <c r="J1004" s="1" t="s">
        <v>13</v>
      </c>
      <c r="K1004" s="1" t="str">
        <f t="shared" si="47"/>
        <v>Sin riesgo</v>
      </c>
    </row>
    <row r="1005" spans="1:11">
      <c r="A1005" s="1" t="s">
        <v>348</v>
      </c>
      <c r="B1005" s="6" t="s">
        <v>14</v>
      </c>
      <c r="C1005" s="3">
        <v>19.5</v>
      </c>
      <c r="D1005" s="3">
        <v>15.59</v>
      </c>
      <c r="E1005" s="3">
        <v>31.5</v>
      </c>
      <c r="F1005" s="4">
        <v>5.4237191040810702</v>
      </c>
      <c r="G1005" s="4">
        <v>-74.719651054747004</v>
      </c>
      <c r="H1005" s="9">
        <f t="shared" si="45"/>
        <v>0.61904761904761907</v>
      </c>
      <c r="I1005" s="4" t="str">
        <f t="shared" si="46"/>
        <v>Sin riesgo &lt;85%</v>
      </c>
      <c r="J1005" s="1" t="s">
        <v>13</v>
      </c>
      <c r="K1005" s="1" t="str">
        <f t="shared" si="47"/>
        <v>Sin riesgo</v>
      </c>
    </row>
    <row r="1006" spans="1:11">
      <c r="A1006" s="1" t="s">
        <v>348</v>
      </c>
      <c r="B1006" s="6" t="s">
        <v>15</v>
      </c>
      <c r="C1006" s="3">
        <v>20.52</v>
      </c>
      <c r="D1006" s="3">
        <v>16.54</v>
      </c>
      <c r="E1006" s="3">
        <v>31.5</v>
      </c>
      <c r="F1006" s="4">
        <v>5.4237191040810702</v>
      </c>
      <c r="G1006" s="4">
        <v>-74.719651054747004</v>
      </c>
      <c r="H1006" s="9">
        <f t="shared" si="45"/>
        <v>0.65142857142857147</v>
      </c>
      <c r="I1006" s="4" t="str">
        <f t="shared" si="46"/>
        <v>Sin riesgo &lt;85%</v>
      </c>
      <c r="J1006" s="1" t="s">
        <v>13</v>
      </c>
      <c r="K1006" s="1" t="str">
        <f t="shared" si="47"/>
        <v>Sin riesgo</v>
      </c>
    </row>
    <row r="1007" spans="1:11">
      <c r="A1007" s="1" t="s">
        <v>349</v>
      </c>
      <c r="B1007" s="6" t="s">
        <v>12</v>
      </c>
      <c r="C1007" s="3">
        <v>12.54</v>
      </c>
      <c r="D1007" s="3">
        <v>13.56</v>
      </c>
      <c r="E1007" s="3">
        <v>31.5</v>
      </c>
      <c r="F1007" s="4">
        <v>4.5660259999999999</v>
      </c>
      <c r="G1007" s="4">
        <v>-75.648965000000004</v>
      </c>
      <c r="H1007" s="9">
        <f t="shared" si="45"/>
        <v>0.43047619047619051</v>
      </c>
      <c r="I1007" s="4" t="str">
        <f t="shared" si="46"/>
        <v>Sin riesgo &lt;85%</v>
      </c>
      <c r="J1007" s="1" t="s">
        <v>13</v>
      </c>
      <c r="K1007" s="1" t="str">
        <f t="shared" si="47"/>
        <v>Sin riesgo</v>
      </c>
    </row>
    <row r="1008" spans="1:11">
      <c r="A1008" s="1" t="s">
        <v>349</v>
      </c>
      <c r="B1008" s="6" t="s">
        <v>14</v>
      </c>
      <c r="C1008" s="3">
        <v>12.67</v>
      </c>
      <c r="D1008" s="3">
        <v>13.71</v>
      </c>
      <c r="E1008" s="3">
        <v>31.5</v>
      </c>
      <c r="F1008" s="4">
        <v>4.5660259999999999</v>
      </c>
      <c r="G1008" s="4">
        <v>-75.648965000000004</v>
      </c>
      <c r="H1008" s="9">
        <f t="shared" si="45"/>
        <v>0.43523809523809526</v>
      </c>
      <c r="I1008" s="4" t="str">
        <f t="shared" si="46"/>
        <v>Sin riesgo &lt;85%</v>
      </c>
      <c r="J1008" s="1" t="s">
        <v>13</v>
      </c>
      <c r="K1008" s="1" t="str">
        <f t="shared" si="47"/>
        <v>Sin riesgo</v>
      </c>
    </row>
    <row r="1009" spans="1:11">
      <c r="A1009" s="1" t="s">
        <v>349</v>
      </c>
      <c r="B1009" s="6" t="s">
        <v>15</v>
      </c>
      <c r="C1009" s="3">
        <v>12.67</v>
      </c>
      <c r="D1009" s="3">
        <v>13.71</v>
      </c>
      <c r="E1009" s="3">
        <v>31.5</v>
      </c>
      <c r="F1009" s="4">
        <v>4.5660259999999999</v>
      </c>
      <c r="G1009" s="4">
        <v>-75.648965000000004</v>
      </c>
      <c r="H1009" s="9">
        <f t="shared" si="45"/>
        <v>0.43523809523809526</v>
      </c>
      <c r="I1009" s="4" t="str">
        <f t="shared" si="46"/>
        <v>Sin riesgo &lt;85%</v>
      </c>
      <c r="J1009" s="1" t="s">
        <v>13</v>
      </c>
      <c r="K1009" s="1" t="str">
        <f t="shared" si="47"/>
        <v>Sin riesgo</v>
      </c>
    </row>
    <row r="1010" spans="1:11">
      <c r="A1010" s="1" t="s">
        <v>350</v>
      </c>
      <c r="B1010" s="6" t="s">
        <v>12</v>
      </c>
      <c r="C1010" s="3">
        <v>2.67</v>
      </c>
      <c r="D1010" s="3">
        <v>3.53</v>
      </c>
      <c r="E1010" s="3">
        <v>31.5</v>
      </c>
      <c r="F1010" s="4">
        <v>5.4119658300434903</v>
      </c>
      <c r="G1010" s="4">
        <v>-75.700592058689594</v>
      </c>
      <c r="H1010" s="9">
        <f t="shared" si="45"/>
        <v>0.11206349206349206</v>
      </c>
      <c r="I1010" s="4" t="str">
        <f t="shared" si="46"/>
        <v>Sin riesgo &lt;85%</v>
      </c>
      <c r="J1010" s="1" t="s">
        <v>13</v>
      </c>
      <c r="K1010" s="1" t="str">
        <f t="shared" si="47"/>
        <v>Sin riesgo</v>
      </c>
    </row>
    <row r="1011" spans="1:11">
      <c r="A1011" s="1" t="s">
        <v>350</v>
      </c>
      <c r="B1011" s="6" t="s">
        <v>14</v>
      </c>
      <c r="C1011" s="3">
        <v>2.89</v>
      </c>
      <c r="D1011" s="3">
        <v>4.01</v>
      </c>
      <c r="E1011" s="3">
        <v>31.5</v>
      </c>
      <c r="F1011" s="4">
        <v>5.4119658300434903</v>
      </c>
      <c r="G1011" s="4">
        <v>-75.700592058689594</v>
      </c>
      <c r="H1011" s="9">
        <f t="shared" si="45"/>
        <v>0.1273015873015873</v>
      </c>
      <c r="I1011" s="4" t="str">
        <f t="shared" si="46"/>
        <v>Sin riesgo &lt;85%</v>
      </c>
      <c r="J1011" s="1" t="s">
        <v>13</v>
      </c>
      <c r="K1011" s="1" t="str">
        <f t="shared" si="47"/>
        <v>Sin riesgo</v>
      </c>
    </row>
    <row r="1012" spans="1:11">
      <c r="A1012" s="1" t="s">
        <v>350</v>
      </c>
      <c r="B1012" s="6" t="s">
        <v>15</v>
      </c>
      <c r="C1012" s="3">
        <v>2.89</v>
      </c>
      <c r="D1012" s="3">
        <v>4.01</v>
      </c>
      <c r="E1012" s="3">
        <v>31.5</v>
      </c>
      <c r="F1012" s="4">
        <v>5.4119658300434903</v>
      </c>
      <c r="G1012" s="4">
        <v>-75.700592058689594</v>
      </c>
      <c r="H1012" s="9">
        <f t="shared" si="45"/>
        <v>0.1273015873015873</v>
      </c>
      <c r="I1012" s="4" t="str">
        <f t="shared" si="46"/>
        <v>Sin riesgo &lt;85%</v>
      </c>
      <c r="J1012" s="1" t="s">
        <v>13</v>
      </c>
      <c r="K1012" s="1" t="str">
        <f t="shared" si="47"/>
        <v>Sin riesgo</v>
      </c>
    </row>
    <row r="1013" spans="1:11">
      <c r="A1013" s="1" t="s">
        <v>351</v>
      </c>
      <c r="B1013" s="6" t="s">
        <v>12</v>
      </c>
      <c r="C1013" s="3">
        <v>4.0999999999999996</v>
      </c>
      <c r="D1013" s="3">
        <v>3.79</v>
      </c>
      <c r="E1013" s="3">
        <v>31.5</v>
      </c>
      <c r="F1013" s="4">
        <v>10.500514000000001</v>
      </c>
      <c r="G1013" s="4">
        <v>-74.789775000000006</v>
      </c>
      <c r="H1013" s="9">
        <f t="shared" si="45"/>
        <v>0.13015873015873014</v>
      </c>
      <c r="I1013" s="4" t="str">
        <f t="shared" si="46"/>
        <v>Sin riesgo &lt;85%</v>
      </c>
      <c r="J1013" s="1" t="s">
        <v>13</v>
      </c>
      <c r="K1013" s="1" t="str">
        <f t="shared" si="47"/>
        <v>Sin riesgo</v>
      </c>
    </row>
    <row r="1014" spans="1:11">
      <c r="A1014" s="1" t="s">
        <v>351</v>
      </c>
      <c r="B1014" s="6" t="s">
        <v>14</v>
      </c>
      <c r="C1014" s="3">
        <v>9.99</v>
      </c>
      <c r="D1014" s="3">
        <v>8.59</v>
      </c>
      <c r="E1014" s="3">
        <v>31.5</v>
      </c>
      <c r="F1014" s="4">
        <v>10.500514000000001</v>
      </c>
      <c r="G1014" s="4">
        <v>-74.789775000000006</v>
      </c>
      <c r="H1014" s="9">
        <f t="shared" si="45"/>
        <v>0.31714285714285717</v>
      </c>
      <c r="I1014" s="4" t="str">
        <f t="shared" si="46"/>
        <v>Sin riesgo &lt;85%</v>
      </c>
      <c r="J1014" s="1" t="s">
        <v>13</v>
      </c>
      <c r="K1014" s="1" t="str">
        <f t="shared" si="47"/>
        <v>Sin riesgo</v>
      </c>
    </row>
    <row r="1015" spans="1:11">
      <c r="A1015" s="1" t="s">
        <v>351</v>
      </c>
      <c r="B1015" s="6" t="s">
        <v>15</v>
      </c>
      <c r="C1015" s="3">
        <v>9.99</v>
      </c>
      <c r="D1015" s="3">
        <v>8.59</v>
      </c>
      <c r="E1015" s="3">
        <v>31.5</v>
      </c>
      <c r="F1015" s="4">
        <v>10.500514000000001</v>
      </c>
      <c r="G1015" s="4">
        <v>-74.789775000000006</v>
      </c>
      <c r="H1015" s="9">
        <f t="shared" si="45"/>
        <v>0.31714285714285717</v>
      </c>
      <c r="I1015" s="4" t="str">
        <f t="shared" si="46"/>
        <v>Sin riesgo &lt;85%</v>
      </c>
      <c r="J1015" s="1" t="s">
        <v>13</v>
      </c>
      <c r="K1015" s="1" t="str">
        <f t="shared" si="47"/>
        <v>Sin riesgo</v>
      </c>
    </row>
    <row r="1016" spans="1:11">
      <c r="A1016" s="1" t="s">
        <v>352</v>
      </c>
      <c r="B1016" s="6" t="s">
        <v>12</v>
      </c>
      <c r="C1016" s="3">
        <v>0</v>
      </c>
      <c r="D1016" s="3">
        <v>0</v>
      </c>
      <c r="E1016" s="3">
        <v>40</v>
      </c>
      <c r="F1016" s="4">
        <v>10.500514000000001</v>
      </c>
      <c r="G1016" s="4">
        <v>-74.789775000000006</v>
      </c>
      <c r="H1016" s="9">
        <f t="shared" si="45"/>
        <v>0</v>
      </c>
      <c r="I1016" s="4" t="str">
        <f t="shared" si="46"/>
        <v>Sin riesgo &lt;85%</v>
      </c>
      <c r="J1016" s="1" t="s">
        <v>13</v>
      </c>
      <c r="K1016" s="1" t="str">
        <f t="shared" si="47"/>
        <v>Sin riesgo</v>
      </c>
    </row>
    <row r="1017" spans="1:11">
      <c r="A1017" s="1" t="s">
        <v>352</v>
      </c>
      <c r="B1017" s="6" t="s">
        <v>14</v>
      </c>
      <c r="C1017" s="3">
        <v>10.26</v>
      </c>
      <c r="D1017" s="3">
        <v>12.19</v>
      </c>
      <c r="E1017" s="3">
        <v>40</v>
      </c>
      <c r="F1017" s="4">
        <v>10.500514000000001</v>
      </c>
      <c r="G1017" s="4">
        <v>-74.789775000000006</v>
      </c>
      <c r="H1017" s="9">
        <f t="shared" si="45"/>
        <v>0.30474999999999997</v>
      </c>
      <c r="I1017" s="4" t="str">
        <f t="shared" si="46"/>
        <v>Sin riesgo &lt;85%</v>
      </c>
      <c r="J1017" s="1" t="s">
        <v>13</v>
      </c>
      <c r="K1017" s="1" t="str">
        <f t="shared" si="47"/>
        <v>Sin riesgo</v>
      </c>
    </row>
    <row r="1018" spans="1:11">
      <c r="A1018" s="1" t="s">
        <v>352</v>
      </c>
      <c r="B1018" s="6" t="s">
        <v>15</v>
      </c>
      <c r="C1018" s="3">
        <v>10.26</v>
      </c>
      <c r="D1018" s="3">
        <v>12.19</v>
      </c>
      <c r="E1018" s="3">
        <v>40</v>
      </c>
      <c r="F1018" s="4">
        <v>10.500514000000001</v>
      </c>
      <c r="G1018" s="4">
        <v>-74.789775000000006</v>
      </c>
      <c r="H1018" s="9">
        <f t="shared" si="45"/>
        <v>0.30474999999999997</v>
      </c>
      <c r="I1018" s="4" t="str">
        <f t="shared" si="46"/>
        <v>Sin riesgo &lt;85%</v>
      </c>
      <c r="J1018" s="1" t="s">
        <v>13</v>
      </c>
      <c r="K1018" s="1" t="str">
        <f t="shared" si="47"/>
        <v>Sin riesgo</v>
      </c>
    </row>
    <row r="1019" spans="1:11">
      <c r="A1019" s="1" t="s">
        <v>353</v>
      </c>
      <c r="B1019" s="6" t="s">
        <v>12</v>
      </c>
      <c r="C1019" s="3">
        <v>17.239999999999998</v>
      </c>
      <c r="D1019" s="3">
        <v>13.36</v>
      </c>
      <c r="E1019" s="3">
        <v>31.5</v>
      </c>
      <c r="F1019" s="4">
        <v>5.1243527799999997</v>
      </c>
      <c r="G1019" s="4">
        <v>-74.901102780000002</v>
      </c>
      <c r="H1019" s="9">
        <f t="shared" si="45"/>
        <v>0.54730158730158729</v>
      </c>
      <c r="I1019" s="4" t="str">
        <f t="shared" si="46"/>
        <v>Sin riesgo &lt;85%</v>
      </c>
      <c r="J1019" s="1" t="s">
        <v>13</v>
      </c>
      <c r="K1019" s="1" t="str">
        <f t="shared" si="47"/>
        <v>Sin riesgo</v>
      </c>
    </row>
    <row r="1020" spans="1:11">
      <c r="A1020" s="1" t="s">
        <v>353</v>
      </c>
      <c r="B1020" s="6" t="s">
        <v>14</v>
      </c>
      <c r="C1020" s="3">
        <v>17.41</v>
      </c>
      <c r="D1020" s="3">
        <v>13.49</v>
      </c>
      <c r="E1020" s="3">
        <v>31.5</v>
      </c>
      <c r="F1020" s="4">
        <v>5.1243527799999997</v>
      </c>
      <c r="G1020" s="4">
        <v>-74.901102780000002</v>
      </c>
      <c r="H1020" s="9">
        <f t="shared" si="45"/>
        <v>0.55269841269841269</v>
      </c>
      <c r="I1020" s="4" t="str">
        <f t="shared" si="46"/>
        <v>Sin riesgo &lt;85%</v>
      </c>
      <c r="J1020" s="1" t="s">
        <v>13</v>
      </c>
      <c r="K1020" s="1" t="str">
        <f t="shared" si="47"/>
        <v>Sin riesgo</v>
      </c>
    </row>
    <row r="1021" spans="1:11">
      <c r="A1021" s="1" t="s">
        <v>353</v>
      </c>
      <c r="B1021" s="6" t="s">
        <v>15</v>
      </c>
      <c r="C1021" s="3">
        <v>17.46</v>
      </c>
      <c r="D1021" s="3">
        <v>13.54</v>
      </c>
      <c r="E1021" s="3">
        <v>31.5</v>
      </c>
      <c r="F1021" s="4">
        <v>5.1243527799999997</v>
      </c>
      <c r="G1021" s="4">
        <v>-74.901102780000002</v>
      </c>
      <c r="H1021" s="9">
        <f t="shared" si="45"/>
        <v>0.55428571428571427</v>
      </c>
      <c r="I1021" s="4" t="str">
        <f t="shared" si="46"/>
        <v>Sin riesgo &lt;85%</v>
      </c>
      <c r="J1021" s="1" t="s">
        <v>13</v>
      </c>
      <c r="K1021" s="1" t="str">
        <f t="shared" si="47"/>
        <v>Sin riesgo</v>
      </c>
    </row>
    <row r="1022" spans="1:11">
      <c r="A1022" s="1" t="s">
        <v>354</v>
      </c>
      <c r="B1022" s="6" t="s">
        <v>12</v>
      </c>
      <c r="C1022" s="3">
        <v>24.35</v>
      </c>
      <c r="D1022" s="3">
        <v>20.21</v>
      </c>
      <c r="E1022" s="3">
        <v>31.5</v>
      </c>
      <c r="F1022" s="4">
        <v>5.1243527799999997</v>
      </c>
      <c r="G1022" s="4">
        <v>-74.901102780000002</v>
      </c>
      <c r="H1022" s="9">
        <f t="shared" si="45"/>
        <v>0.77301587301587305</v>
      </c>
      <c r="I1022" s="4" t="str">
        <f t="shared" si="46"/>
        <v>Sin riesgo &lt;85%</v>
      </c>
      <c r="J1022" s="1" t="s">
        <v>13</v>
      </c>
      <c r="K1022" s="1" t="str">
        <f t="shared" si="47"/>
        <v>Sin riesgo</v>
      </c>
    </row>
    <row r="1023" spans="1:11">
      <c r="A1023" s="1" t="s">
        <v>354</v>
      </c>
      <c r="B1023" s="6" t="s">
        <v>14</v>
      </c>
      <c r="C1023" s="3">
        <v>24.65</v>
      </c>
      <c r="D1023" s="3">
        <v>20.46</v>
      </c>
      <c r="E1023" s="3">
        <v>31.5</v>
      </c>
      <c r="F1023" s="4">
        <v>5.1243527799999997</v>
      </c>
      <c r="G1023" s="4">
        <v>-74.901102780000002</v>
      </c>
      <c r="H1023" s="9">
        <f t="shared" si="45"/>
        <v>0.78253968253968254</v>
      </c>
      <c r="I1023" s="4" t="str">
        <f t="shared" si="46"/>
        <v>Sin riesgo &lt;85%</v>
      </c>
      <c r="J1023" s="1" t="s">
        <v>13</v>
      </c>
      <c r="K1023" s="1" t="str">
        <f t="shared" si="47"/>
        <v>Sin riesgo</v>
      </c>
    </row>
    <row r="1024" spans="1:11">
      <c r="A1024" s="1" t="s">
        <v>354</v>
      </c>
      <c r="B1024" s="6" t="s">
        <v>15</v>
      </c>
      <c r="C1024" s="3">
        <v>24.66</v>
      </c>
      <c r="D1024" s="3">
        <v>20.48</v>
      </c>
      <c r="E1024" s="3">
        <v>31.5</v>
      </c>
      <c r="F1024" s="4">
        <v>5.1243527799999997</v>
      </c>
      <c r="G1024" s="4">
        <v>-74.901102780000002</v>
      </c>
      <c r="H1024" s="9">
        <f t="shared" si="45"/>
        <v>0.78285714285714281</v>
      </c>
      <c r="I1024" s="4" t="str">
        <f t="shared" si="46"/>
        <v>Sin riesgo &lt;85%</v>
      </c>
      <c r="J1024" s="1" t="s">
        <v>13</v>
      </c>
      <c r="K1024" s="1" t="str">
        <f t="shared" si="47"/>
        <v>Sin riesgo</v>
      </c>
    </row>
    <row r="1025" spans="1:11">
      <c r="A1025" s="1" t="s">
        <v>355</v>
      </c>
      <c r="B1025" s="6" t="s">
        <v>12</v>
      </c>
      <c r="C1025" s="3">
        <v>20.51</v>
      </c>
      <c r="D1025" s="3">
        <v>20.72</v>
      </c>
      <c r="E1025" s="3">
        <v>31.5</v>
      </c>
      <c r="F1025" s="4">
        <v>4.9718963033180801</v>
      </c>
      <c r="G1025" s="4">
        <v>-74.289572812490206</v>
      </c>
      <c r="H1025" s="9">
        <f t="shared" si="45"/>
        <v>0.65777777777777779</v>
      </c>
      <c r="I1025" s="4" t="str">
        <f t="shared" si="46"/>
        <v>Sin riesgo &lt;85%</v>
      </c>
      <c r="J1025" s="1" t="s">
        <v>13</v>
      </c>
      <c r="K1025" s="1" t="str">
        <f t="shared" si="47"/>
        <v>Sin riesgo</v>
      </c>
    </row>
    <row r="1026" spans="1:11">
      <c r="A1026" s="1" t="s">
        <v>355</v>
      </c>
      <c r="B1026" s="6" t="s">
        <v>14</v>
      </c>
      <c r="C1026" s="3">
        <v>20.87</v>
      </c>
      <c r="D1026" s="3">
        <v>21.18</v>
      </c>
      <c r="E1026" s="3">
        <v>31.5</v>
      </c>
      <c r="F1026" s="4">
        <v>4.9718963033180801</v>
      </c>
      <c r="G1026" s="4">
        <v>-74.289572812490206</v>
      </c>
      <c r="H1026" s="9">
        <f t="shared" si="45"/>
        <v>0.67238095238095241</v>
      </c>
      <c r="I1026" s="4" t="str">
        <f t="shared" si="46"/>
        <v>Sin riesgo &lt;85%</v>
      </c>
      <c r="J1026" s="1" t="s">
        <v>13</v>
      </c>
      <c r="K1026" s="1" t="str">
        <f t="shared" si="47"/>
        <v>Sin riesgo</v>
      </c>
    </row>
    <row r="1027" spans="1:11">
      <c r="A1027" s="1" t="s">
        <v>355</v>
      </c>
      <c r="B1027" s="6" t="s">
        <v>15</v>
      </c>
      <c r="C1027" s="3">
        <v>20.87</v>
      </c>
      <c r="D1027" s="3">
        <v>21.18</v>
      </c>
      <c r="E1027" s="3">
        <v>31.5</v>
      </c>
      <c r="F1027" s="4">
        <v>4.9718963033180801</v>
      </c>
      <c r="G1027" s="4">
        <v>-74.289572812490206</v>
      </c>
      <c r="H1027" s="9">
        <f t="shared" ref="H1027:H1090" si="48">IF(C1027&gt;D1027,C1027/E1027,D1027/E1027)</f>
        <v>0.67238095238095241</v>
      </c>
      <c r="I1027" s="4" t="str">
        <f t="shared" ref="I1027:I1090" si="49">IF(H1027&gt;100%,"Altamente critico &gt;100%",IF(H1027&gt;95%,"Critico &gt;95%",IF(H1027&gt;85%,"En riesgo &gt;85%","Sin riesgo &lt;85%")))</f>
        <v>Sin riesgo &lt;85%</v>
      </c>
      <c r="J1027" s="1" t="s">
        <v>13</v>
      </c>
      <c r="K1027" s="1" t="str">
        <f t="shared" ref="K1027:K1090" si="50">IF(J1027="&gt;5","Sin riesgo",IF(J1027&gt;1.5,"Estado de alerta","Estado critico"))</f>
        <v>Sin riesgo</v>
      </c>
    </row>
    <row r="1028" spans="1:11">
      <c r="A1028" s="1" t="s">
        <v>356</v>
      </c>
      <c r="B1028" s="6" t="s">
        <v>12</v>
      </c>
      <c r="C1028" s="3">
        <v>0</v>
      </c>
      <c r="D1028" s="3">
        <v>0</v>
      </c>
      <c r="E1028" s="3">
        <v>40</v>
      </c>
      <c r="F1028" s="4">
        <v>6.0380950000000002</v>
      </c>
      <c r="G1028" s="4">
        <v>-75.116929999999996</v>
      </c>
      <c r="H1028" s="9">
        <f t="shared" si="48"/>
        <v>0</v>
      </c>
      <c r="I1028" s="4" t="str">
        <f t="shared" si="49"/>
        <v>Sin riesgo &lt;85%</v>
      </c>
      <c r="J1028" s="1" t="s">
        <v>13</v>
      </c>
      <c r="K1028" s="1" t="str">
        <f t="shared" si="50"/>
        <v>Sin riesgo</v>
      </c>
    </row>
    <row r="1029" spans="1:11">
      <c r="A1029" s="1" t="s">
        <v>356</v>
      </c>
      <c r="B1029" s="6" t="s">
        <v>14</v>
      </c>
      <c r="C1029" s="3">
        <v>9.9499999999999993</v>
      </c>
      <c r="D1029" s="3">
        <v>10.24</v>
      </c>
      <c r="E1029" s="3">
        <v>40</v>
      </c>
      <c r="F1029" s="4">
        <v>6.0380950000000002</v>
      </c>
      <c r="G1029" s="4">
        <v>-75.116929999999996</v>
      </c>
      <c r="H1029" s="9">
        <f t="shared" si="48"/>
        <v>0.25600000000000001</v>
      </c>
      <c r="I1029" s="4" t="str">
        <f t="shared" si="49"/>
        <v>Sin riesgo &lt;85%</v>
      </c>
      <c r="J1029" s="1" t="s">
        <v>13</v>
      </c>
      <c r="K1029" s="1" t="str">
        <f t="shared" si="50"/>
        <v>Sin riesgo</v>
      </c>
    </row>
    <row r="1030" spans="1:11">
      <c r="A1030" s="1" t="s">
        <v>356</v>
      </c>
      <c r="B1030" s="6" t="s">
        <v>15</v>
      </c>
      <c r="C1030" s="3">
        <v>9.9499999999999993</v>
      </c>
      <c r="D1030" s="3">
        <v>10.24</v>
      </c>
      <c r="E1030" s="3">
        <v>40</v>
      </c>
      <c r="F1030" s="4">
        <v>6.0380950000000002</v>
      </c>
      <c r="G1030" s="4">
        <v>-75.116929999999996</v>
      </c>
      <c r="H1030" s="9">
        <f t="shared" si="48"/>
        <v>0.25600000000000001</v>
      </c>
      <c r="I1030" s="4" t="str">
        <f t="shared" si="49"/>
        <v>Sin riesgo &lt;85%</v>
      </c>
      <c r="J1030" s="1" t="s">
        <v>13</v>
      </c>
      <c r="K1030" s="1" t="str">
        <f t="shared" si="50"/>
        <v>Sin riesgo</v>
      </c>
    </row>
    <row r="1031" spans="1:11">
      <c r="A1031" s="1" t="s">
        <v>357</v>
      </c>
      <c r="B1031" s="6" t="s">
        <v>12</v>
      </c>
      <c r="C1031" s="3">
        <v>7.85</v>
      </c>
      <c r="D1031" s="3">
        <v>9.82</v>
      </c>
      <c r="E1031" s="3">
        <v>31.5</v>
      </c>
      <c r="F1031" s="4">
        <v>4.5457560099999998</v>
      </c>
      <c r="G1031" s="4">
        <v>-74.099897040000002</v>
      </c>
      <c r="H1031" s="9">
        <f t="shared" si="48"/>
        <v>0.31174603174603177</v>
      </c>
      <c r="I1031" s="4" t="str">
        <f t="shared" si="49"/>
        <v>Sin riesgo &lt;85%</v>
      </c>
      <c r="J1031" s="1" t="s">
        <v>13</v>
      </c>
      <c r="K1031" s="1" t="str">
        <f t="shared" si="50"/>
        <v>Sin riesgo</v>
      </c>
    </row>
    <row r="1032" spans="1:11">
      <c r="A1032" s="1" t="s">
        <v>357</v>
      </c>
      <c r="B1032" s="6" t="s">
        <v>14</v>
      </c>
      <c r="C1032" s="3">
        <v>7.93</v>
      </c>
      <c r="D1032" s="3">
        <v>9.92</v>
      </c>
      <c r="E1032" s="3">
        <v>31.5</v>
      </c>
      <c r="F1032" s="4">
        <v>4.5457560099999998</v>
      </c>
      <c r="G1032" s="4">
        <v>-74.099897040000002</v>
      </c>
      <c r="H1032" s="9">
        <f t="shared" si="48"/>
        <v>0.31492063492063493</v>
      </c>
      <c r="I1032" s="4" t="str">
        <f t="shared" si="49"/>
        <v>Sin riesgo &lt;85%</v>
      </c>
      <c r="J1032" s="1" t="s">
        <v>13</v>
      </c>
      <c r="K1032" s="1" t="str">
        <f t="shared" si="50"/>
        <v>Sin riesgo</v>
      </c>
    </row>
    <row r="1033" spans="1:11">
      <c r="A1033" s="1" t="s">
        <v>357</v>
      </c>
      <c r="B1033" s="6" t="s">
        <v>15</v>
      </c>
      <c r="C1033" s="3">
        <v>8.01</v>
      </c>
      <c r="D1033" s="3">
        <v>10.08</v>
      </c>
      <c r="E1033" s="3">
        <v>31.5</v>
      </c>
      <c r="F1033" s="4">
        <v>4.5457560099999998</v>
      </c>
      <c r="G1033" s="4">
        <v>-74.099897040000002</v>
      </c>
      <c r="H1033" s="9">
        <f t="shared" si="48"/>
        <v>0.32</v>
      </c>
      <c r="I1033" s="4" t="str">
        <f t="shared" si="49"/>
        <v>Sin riesgo &lt;85%</v>
      </c>
      <c r="J1033" s="1" t="s">
        <v>13</v>
      </c>
      <c r="K1033" s="1" t="str">
        <f t="shared" si="50"/>
        <v>Sin riesgo</v>
      </c>
    </row>
    <row r="1034" spans="1:11">
      <c r="A1034" s="1" t="s">
        <v>358</v>
      </c>
      <c r="B1034" s="6" t="s">
        <v>12</v>
      </c>
      <c r="C1034" s="3">
        <v>27.52</v>
      </c>
      <c r="D1034" s="3">
        <v>23.97</v>
      </c>
      <c r="E1034" s="3">
        <v>31.5</v>
      </c>
      <c r="F1034" s="4">
        <v>4.8517499742098504</v>
      </c>
      <c r="G1034" s="4">
        <v>-75.851683646040598</v>
      </c>
      <c r="H1034" s="9">
        <f t="shared" si="48"/>
        <v>0.87365079365079368</v>
      </c>
      <c r="I1034" s="4" t="str">
        <f t="shared" si="49"/>
        <v>En riesgo &gt;85%</v>
      </c>
      <c r="J1034" s="1" t="s">
        <v>13</v>
      </c>
      <c r="K1034" s="1" t="str">
        <f t="shared" si="50"/>
        <v>Sin riesgo</v>
      </c>
    </row>
    <row r="1035" spans="1:11">
      <c r="A1035" s="1" t="s">
        <v>358</v>
      </c>
      <c r="B1035" s="6" t="s">
        <v>14</v>
      </c>
      <c r="C1035" s="3">
        <v>28.31</v>
      </c>
      <c r="D1035" s="3">
        <v>24.28</v>
      </c>
      <c r="E1035" s="3">
        <v>31.5</v>
      </c>
      <c r="F1035" s="4">
        <v>4.8517499742098504</v>
      </c>
      <c r="G1035" s="4">
        <v>-75.851683646040598</v>
      </c>
      <c r="H1035" s="9">
        <f t="shared" si="48"/>
        <v>0.89873015873015871</v>
      </c>
      <c r="I1035" s="4" t="str">
        <f t="shared" si="49"/>
        <v>En riesgo &gt;85%</v>
      </c>
      <c r="J1035" s="1" t="s">
        <v>13</v>
      </c>
      <c r="K1035" s="1" t="str">
        <f t="shared" si="50"/>
        <v>Sin riesgo</v>
      </c>
    </row>
    <row r="1036" spans="1:11">
      <c r="A1036" s="1" t="s">
        <v>358</v>
      </c>
      <c r="B1036" s="6" t="s">
        <v>15</v>
      </c>
      <c r="C1036" s="3">
        <v>28.31</v>
      </c>
      <c r="D1036" s="3">
        <v>24.28</v>
      </c>
      <c r="E1036" s="3">
        <v>31.5</v>
      </c>
      <c r="F1036" s="4">
        <v>4.8517499742098504</v>
      </c>
      <c r="G1036" s="4">
        <v>-75.851683646040598</v>
      </c>
      <c r="H1036" s="9">
        <f t="shared" si="48"/>
        <v>0.89873015873015871</v>
      </c>
      <c r="I1036" s="4" t="str">
        <f t="shared" si="49"/>
        <v>En riesgo &gt;85%</v>
      </c>
      <c r="J1036" s="1" t="s">
        <v>13</v>
      </c>
      <c r="K1036" s="1" t="str">
        <f t="shared" si="50"/>
        <v>Sin riesgo</v>
      </c>
    </row>
    <row r="1037" spans="1:11">
      <c r="A1037" s="1" t="s">
        <v>359</v>
      </c>
      <c r="B1037" s="6" t="s">
        <v>12</v>
      </c>
      <c r="C1037" s="3">
        <v>14.56</v>
      </c>
      <c r="D1037" s="3">
        <v>17.760000000000002</v>
      </c>
      <c r="E1037" s="3">
        <v>31.5</v>
      </c>
      <c r="F1037" s="4">
        <v>4.8517499742098504</v>
      </c>
      <c r="G1037" s="4">
        <v>-75.851683646040598</v>
      </c>
      <c r="H1037" s="9">
        <f t="shared" si="48"/>
        <v>0.56380952380952387</v>
      </c>
      <c r="I1037" s="4" t="str">
        <f t="shared" si="49"/>
        <v>Sin riesgo &lt;85%</v>
      </c>
      <c r="J1037" s="1" t="s">
        <v>13</v>
      </c>
      <c r="K1037" s="1" t="str">
        <f t="shared" si="50"/>
        <v>Sin riesgo</v>
      </c>
    </row>
    <row r="1038" spans="1:11">
      <c r="A1038" s="1" t="s">
        <v>359</v>
      </c>
      <c r="B1038" s="6" t="s">
        <v>14</v>
      </c>
      <c r="C1038" s="3">
        <v>14.81</v>
      </c>
      <c r="D1038" s="3">
        <v>18.100000000000001</v>
      </c>
      <c r="E1038" s="3">
        <v>31.5</v>
      </c>
      <c r="F1038" s="4">
        <v>4.8517499742098504</v>
      </c>
      <c r="G1038" s="4">
        <v>-75.851683646040598</v>
      </c>
      <c r="H1038" s="9">
        <f t="shared" si="48"/>
        <v>0.57460317460317467</v>
      </c>
      <c r="I1038" s="4" t="str">
        <f t="shared" si="49"/>
        <v>Sin riesgo &lt;85%</v>
      </c>
      <c r="J1038" s="1" t="s">
        <v>13</v>
      </c>
      <c r="K1038" s="1" t="str">
        <f t="shared" si="50"/>
        <v>Sin riesgo</v>
      </c>
    </row>
    <row r="1039" spans="1:11">
      <c r="A1039" s="1" t="s">
        <v>359</v>
      </c>
      <c r="B1039" s="6" t="s">
        <v>15</v>
      </c>
      <c r="C1039" s="3">
        <v>14.81</v>
      </c>
      <c r="D1039" s="3">
        <v>18.100000000000001</v>
      </c>
      <c r="E1039" s="3">
        <v>31.5</v>
      </c>
      <c r="F1039" s="4">
        <v>4.8517499742098504</v>
      </c>
      <c r="G1039" s="4">
        <v>-75.851683646040598</v>
      </c>
      <c r="H1039" s="9">
        <f t="shared" si="48"/>
        <v>0.57460317460317467</v>
      </c>
      <c r="I1039" s="4" t="str">
        <f t="shared" si="49"/>
        <v>Sin riesgo &lt;85%</v>
      </c>
      <c r="J1039" s="1" t="s">
        <v>13</v>
      </c>
      <c r="K1039" s="1" t="str">
        <f t="shared" si="50"/>
        <v>Sin riesgo</v>
      </c>
    </row>
    <row r="1040" spans="1:11">
      <c r="A1040" s="1" t="s">
        <v>360</v>
      </c>
      <c r="B1040" s="6" t="s">
        <v>12</v>
      </c>
      <c r="C1040" s="3">
        <v>7.21</v>
      </c>
      <c r="D1040" s="3">
        <v>8.58</v>
      </c>
      <c r="E1040" s="3">
        <v>31.5</v>
      </c>
      <c r="F1040" s="4">
        <v>5.0656208073898101</v>
      </c>
      <c r="G1040" s="4">
        <v>-75.848840594064498</v>
      </c>
      <c r="H1040" s="9">
        <f t="shared" si="48"/>
        <v>0.27238095238095239</v>
      </c>
      <c r="I1040" s="4" t="str">
        <f t="shared" si="49"/>
        <v>Sin riesgo &lt;85%</v>
      </c>
      <c r="J1040" s="1" t="s">
        <v>13</v>
      </c>
      <c r="K1040" s="1" t="str">
        <f t="shared" si="50"/>
        <v>Sin riesgo</v>
      </c>
    </row>
    <row r="1041" spans="1:11">
      <c r="A1041" s="1" t="s">
        <v>360</v>
      </c>
      <c r="B1041" s="6" t="s">
        <v>14</v>
      </c>
      <c r="C1041" s="3">
        <v>7.29</v>
      </c>
      <c r="D1041" s="3">
        <v>8.69</v>
      </c>
      <c r="E1041" s="3">
        <v>31.5</v>
      </c>
      <c r="F1041" s="4">
        <v>5.0656208073898101</v>
      </c>
      <c r="G1041" s="4">
        <v>-75.848840594064498</v>
      </c>
      <c r="H1041" s="9">
        <f t="shared" si="48"/>
        <v>0.27587301587301588</v>
      </c>
      <c r="I1041" s="4" t="str">
        <f t="shared" si="49"/>
        <v>Sin riesgo &lt;85%</v>
      </c>
      <c r="J1041" s="1" t="s">
        <v>13</v>
      </c>
      <c r="K1041" s="1" t="str">
        <f t="shared" si="50"/>
        <v>Sin riesgo</v>
      </c>
    </row>
    <row r="1042" spans="1:11">
      <c r="A1042" s="1" t="s">
        <v>360</v>
      </c>
      <c r="B1042" s="6" t="s">
        <v>15</v>
      </c>
      <c r="C1042" s="3">
        <v>7.29</v>
      </c>
      <c r="D1042" s="3">
        <v>8.69</v>
      </c>
      <c r="E1042" s="3">
        <v>31.5</v>
      </c>
      <c r="F1042" s="4">
        <v>5.0656208073898101</v>
      </c>
      <c r="G1042" s="4">
        <v>-75.848840594064498</v>
      </c>
      <c r="H1042" s="9">
        <f t="shared" si="48"/>
        <v>0.27587301587301588</v>
      </c>
      <c r="I1042" s="4" t="str">
        <f t="shared" si="49"/>
        <v>Sin riesgo &lt;85%</v>
      </c>
      <c r="J1042" s="1" t="s">
        <v>13</v>
      </c>
      <c r="K1042" s="1" t="str">
        <f t="shared" si="50"/>
        <v>Sin riesgo</v>
      </c>
    </row>
    <row r="1043" spans="1:11">
      <c r="A1043" s="1" t="s">
        <v>361</v>
      </c>
      <c r="B1043" s="6" t="s">
        <v>12</v>
      </c>
      <c r="C1043" s="3">
        <v>12.51</v>
      </c>
      <c r="D1043" s="3">
        <v>10.77</v>
      </c>
      <c r="E1043" s="3">
        <v>20</v>
      </c>
      <c r="F1043" s="4">
        <v>2.068667</v>
      </c>
      <c r="G1043" s="4">
        <v>-75.787730999999894</v>
      </c>
      <c r="H1043" s="9">
        <f t="shared" si="48"/>
        <v>0.62549999999999994</v>
      </c>
      <c r="I1043" s="4" t="str">
        <f t="shared" si="49"/>
        <v>Sin riesgo &lt;85%</v>
      </c>
      <c r="J1043" s="1" t="s">
        <v>13</v>
      </c>
      <c r="K1043" s="1" t="str">
        <f t="shared" si="50"/>
        <v>Sin riesgo</v>
      </c>
    </row>
    <row r="1044" spans="1:11">
      <c r="A1044" s="1" t="s">
        <v>361</v>
      </c>
      <c r="B1044" s="6" t="s">
        <v>14</v>
      </c>
      <c r="C1044" s="3">
        <v>12.53</v>
      </c>
      <c r="D1044" s="3">
        <v>10.79</v>
      </c>
      <c r="E1044" s="3">
        <v>20</v>
      </c>
      <c r="F1044" s="4">
        <v>2.068667</v>
      </c>
      <c r="G1044" s="4">
        <v>-75.787730999999894</v>
      </c>
      <c r="H1044" s="9">
        <f t="shared" si="48"/>
        <v>0.62649999999999995</v>
      </c>
      <c r="I1044" s="4" t="str">
        <f t="shared" si="49"/>
        <v>Sin riesgo &lt;85%</v>
      </c>
      <c r="J1044" s="1" t="s">
        <v>13</v>
      </c>
      <c r="K1044" s="1" t="str">
        <f t="shared" si="50"/>
        <v>Sin riesgo</v>
      </c>
    </row>
    <row r="1045" spans="1:11">
      <c r="A1045" s="1" t="s">
        <v>361</v>
      </c>
      <c r="B1045" s="6" t="s">
        <v>15</v>
      </c>
      <c r="C1045" s="3">
        <v>12.53</v>
      </c>
      <c r="D1045" s="3">
        <v>10.79</v>
      </c>
      <c r="E1045" s="3">
        <v>20</v>
      </c>
      <c r="F1045" s="4">
        <v>2.068667</v>
      </c>
      <c r="G1045" s="4">
        <v>-75.787730999999894</v>
      </c>
      <c r="H1045" s="9">
        <f t="shared" si="48"/>
        <v>0.62649999999999995</v>
      </c>
      <c r="I1045" s="4" t="str">
        <f t="shared" si="49"/>
        <v>Sin riesgo &lt;85%</v>
      </c>
      <c r="J1045" s="1" t="s">
        <v>13</v>
      </c>
      <c r="K1045" s="1" t="str">
        <f t="shared" si="50"/>
        <v>Sin riesgo</v>
      </c>
    </row>
    <row r="1046" spans="1:11">
      <c r="A1046" s="1" t="s">
        <v>362</v>
      </c>
      <c r="B1046" s="6" t="s">
        <v>12</v>
      </c>
      <c r="C1046" s="3">
        <v>9.99</v>
      </c>
      <c r="D1046" s="3">
        <v>9.9700000000000006</v>
      </c>
      <c r="E1046" s="3">
        <v>20</v>
      </c>
      <c r="F1046" s="4">
        <v>2.068667</v>
      </c>
      <c r="G1046" s="4">
        <v>-75.787730999999894</v>
      </c>
      <c r="H1046" s="9">
        <f t="shared" si="48"/>
        <v>0.4995</v>
      </c>
      <c r="I1046" s="4" t="str">
        <f t="shared" si="49"/>
        <v>Sin riesgo &lt;85%</v>
      </c>
      <c r="J1046" s="1" t="s">
        <v>13</v>
      </c>
      <c r="K1046" s="1" t="str">
        <f t="shared" si="50"/>
        <v>Sin riesgo</v>
      </c>
    </row>
    <row r="1047" spans="1:11">
      <c r="A1047" s="1" t="s">
        <v>362</v>
      </c>
      <c r="B1047" s="6" t="s">
        <v>14</v>
      </c>
      <c r="C1047" s="3">
        <v>10.01</v>
      </c>
      <c r="D1047" s="3">
        <v>9.98</v>
      </c>
      <c r="E1047" s="3">
        <v>20</v>
      </c>
      <c r="F1047" s="4">
        <v>2.068667</v>
      </c>
      <c r="G1047" s="4">
        <v>-75.787730999999894</v>
      </c>
      <c r="H1047" s="9">
        <f t="shared" si="48"/>
        <v>0.50049999999999994</v>
      </c>
      <c r="I1047" s="4" t="str">
        <f t="shared" si="49"/>
        <v>Sin riesgo &lt;85%</v>
      </c>
      <c r="J1047" s="1" t="s">
        <v>13</v>
      </c>
      <c r="K1047" s="1" t="str">
        <f t="shared" si="50"/>
        <v>Sin riesgo</v>
      </c>
    </row>
    <row r="1048" spans="1:11">
      <c r="A1048" s="1" t="s">
        <v>362</v>
      </c>
      <c r="B1048" s="6" t="s">
        <v>15</v>
      </c>
      <c r="C1048" s="3">
        <v>10.01</v>
      </c>
      <c r="D1048" s="3">
        <v>9.98</v>
      </c>
      <c r="E1048" s="3">
        <v>20</v>
      </c>
      <c r="F1048" s="4">
        <v>2.068667</v>
      </c>
      <c r="G1048" s="4">
        <v>-75.787730999999894</v>
      </c>
      <c r="H1048" s="9">
        <f t="shared" si="48"/>
        <v>0.50049999999999994</v>
      </c>
      <c r="I1048" s="4" t="str">
        <f t="shared" si="49"/>
        <v>Sin riesgo &lt;85%</v>
      </c>
      <c r="J1048" s="1" t="s">
        <v>13</v>
      </c>
      <c r="K1048" s="1" t="str">
        <f t="shared" si="50"/>
        <v>Sin riesgo</v>
      </c>
    </row>
    <row r="1049" spans="1:11">
      <c r="A1049" s="1" t="s">
        <v>363</v>
      </c>
      <c r="B1049" s="6" t="s">
        <v>12</v>
      </c>
      <c r="C1049" s="3">
        <v>2.2200000000000002</v>
      </c>
      <c r="D1049" s="3">
        <v>1.61</v>
      </c>
      <c r="E1049" s="3">
        <v>40</v>
      </c>
      <c r="F1049" s="4">
        <v>1.6361650000000001</v>
      </c>
      <c r="G1049" s="4">
        <v>-75.611236000000005</v>
      </c>
      <c r="H1049" s="9">
        <f t="shared" si="48"/>
        <v>5.5500000000000008E-2</v>
      </c>
      <c r="I1049" s="4" t="str">
        <f t="shared" si="49"/>
        <v>Sin riesgo &lt;85%</v>
      </c>
      <c r="J1049" s="1" t="s">
        <v>13</v>
      </c>
      <c r="K1049" s="1" t="str">
        <f t="shared" si="50"/>
        <v>Sin riesgo</v>
      </c>
    </row>
    <row r="1050" spans="1:11">
      <c r="A1050" s="1" t="s">
        <v>363</v>
      </c>
      <c r="B1050" s="6" t="s">
        <v>14</v>
      </c>
      <c r="C1050" s="3">
        <v>2.23</v>
      </c>
      <c r="D1050" s="3">
        <v>1.61</v>
      </c>
      <c r="E1050" s="3">
        <v>40</v>
      </c>
      <c r="F1050" s="4">
        <v>1.6361650000000001</v>
      </c>
      <c r="G1050" s="4">
        <v>-75.611236000000005</v>
      </c>
      <c r="H1050" s="9">
        <f t="shared" si="48"/>
        <v>5.5750000000000001E-2</v>
      </c>
      <c r="I1050" s="4" t="str">
        <f t="shared" si="49"/>
        <v>Sin riesgo &lt;85%</v>
      </c>
      <c r="J1050" s="1" t="s">
        <v>13</v>
      </c>
      <c r="K1050" s="1" t="str">
        <f t="shared" si="50"/>
        <v>Sin riesgo</v>
      </c>
    </row>
    <row r="1051" spans="1:11">
      <c r="A1051" s="1" t="s">
        <v>363</v>
      </c>
      <c r="B1051" s="6" t="s">
        <v>15</v>
      </c>
      <c r="C1051" s="3">
        <v>2.23</v>
      </c>
      <c r="D1051" s="3">
        <v>1.61</v>
      </c>
      <c r="E1051" s="3">
        <v>40</v>
      </c>
      <c r="F1051" s="4">
        <v>1.6361650000000001</v>
      </c>
      <c r="G1051" s="4">
        <v>-75.611236000000005</v>
      </c>
      <c r="H1051" s="9">
        <f t="shared" si="48"/>
        <v>5.5750000000000001E-2</v>
      </c>
      <c r="I1051" s="4" t="str">
        <f t="shared" si="49"/>
        <v>Sin riesgo &lt;85%</v>
      </c>
      <c r="J1051" s="1" t="s">
        <v>13</v>
      </c>
      <c r="K1051" s="1" t="str">
        <f t="shared" si="50"/>
        <v>Sin riesgo</v>
      </c>
    </row>
    <row r="1052" spans="1:11">
      <c r="A1052" s="1" t="s">
        <v>364</v>
      </c>
      <c r="B1052" s="6" t="s">
        <v>12</v>
      </c>
      <c r="C1052" s="3">
        <v>2.33</v>
      </c>
      <c r="D1052" s="3">
        <v>2.65</v>
      </c>
      <c r="E1052" s="3">
        <v>31.5</v>
      </c>
      <c r="F1052" s="4">
        <v>1.6364462606126999</v>
      </c>
      <c r="G1052" s="4">
        <v>-75.611057226109907</v>
      </c>
      <c r="H1052" s="9">
        <f t="shared" si="48"/>
        <v>8.412698412698412E-2</v>
      </c>
      <c r="I1052" s="4" t="str">
        <f t="shared" si="49"/>
        <v>Sin riesgo &lt;85%</v>
      </c>
      <c r="J1052" s="1" t="s">
        <v>13</v>
      </c>
      <c r="K1052" s="1" t="str">
        <f t="shared" si="50"/>
        <v>Sin riesgo</v>
      </c>
    </row>
    <row r="1053" spans="1:11">
      <c r="A1053" s="1" t="s">
        <v>364</v>
      </c>
      <c r="B1053" s="6" t="s">
        <v>14</v>
      </c>
      <c r="C1053" s="3">
        <v>2.34</v>
      </c>
      <c r="D1053" s="3">
        <v>2.66</v>
      </c>
      <c r="E1053" s="3">
        <v>31.5</v>
      </c>
      <c r="F1053" s="4">
        <v>1.6364462606126999</v>
      </c>
      <c r="G1053" s="4">
        <v>-75.611057226109907</v>
      </c>
      <c r="H1053" s="9">
        <f t="shared" si="48"/>
        <v>8.4444444444444447E-2</v>
      </c>
      <c r="I1053" s="4" t="str">
        <f t="shared" si="49"/>
        <v>Sin riesgo &lt;85%</v>
      </c>
      <c r="J1053" s="1" t="s">
        <v>13</v>
      </c>
      <c r="K1053" s="1" t="str">
        <f t="shared" si="50"/>
        <v>Sin riesgo</v>
      </c>
    </row>
    <row r="1054" spans="1:11">
      <c r="A1054" s="1" t="s">
        <v>364</v>
      </c>
      <c r="B1054" s="6" t="s">
        <v>15</v>
      </c>
      <c r="C1054" s="3">
        <v>2.34</v>
      </c>
      <c r="D1054" s="3">
        <v>2.66</v>
      </c>
      <c r="E1054" s="3">
        <v>31.5</v>
      </c>
      <c r="F1054" s="4">
        <v>1.6364462606126999</v>
      </c>
      <c r="G1054" s="4">
        <v>-75.611057226109907</v>
      </c>
      <c r="H1054" s="9">
        <f t="shared" si="48"/>
        <v>8.4444444444444447E-2</v>
      </c>
      <c r="I1054" s="4" t="str">
        <f t="shared" si="49"/>
        <v>Sin riesgo &lt;85%</v>
      </c>
      <c r="J1054" s="1" t="s">
        <v>13</v>
      </c>
      <c r="K1054" s="1" t="str">
        <f t="shared" si="50"/>
        <v>Sin riesgo</v>
      </c>
    </row>
    <row r="1055" spans="1:11">
      <c r="A1055" s="1" t="s">
        <v>365</v>
      </c>
      <c r="B1055" s="6" t="s">
        <v>12</v>
      </c>
      <c r="C1055" s="3">
        <v>8.5399999999999991</v>
      </c>
      <c r="D1055" s="3">
        <v>7.38</v>
      </c>
      <c r="E1055" s="3">
        <v>16</v>
      </c>
      <c r="F1055" s="4">
        <v>2.577051</v>
      </c>
      <c r="G1055" s="4">
        <v>-75.439188000000001</v>
      </c>
      <c r="H1055" s="9">
        <f t="shared" si="48"/>
        <v>0.53374999999999995</v>
      </c>
      <c r="I1055" s="4" t="str">
        <f t="shared" si="49"/>
        <v>Sin riesgo &lt;85%</v>
      </c>
      <c r="J1055" s="1" t="s">
        <v>13</v>
      </c>
      <c r="K1055" s="1" t="str">
        <f t="shared" si="50"/>
        <v>Sin riesgo</v>
      </c>
    </row>
    <row r="1056" spans="1:11">
      <c r="A1056" s="1" t="s">
        <v>365</v>
      </c>
      <c r="B1056" s="6" t="s">
        <v>14</v>
      </c>
      <c r="C1056" s="3">
        <v>8.56</v>
      </c>
      <c r="D1056" s="3">
        <v>7.39</v>
      </c>
      <c r="E1056" s="3">
        <v>16</v>
      </c>
      <c r="F1056" s="4">
        <v>2.577051</v>
      </c>
      <c r="G1056" s="4">
        <v>-75.439188000000001</v>
      </c>
      <c r="H1056" s="9">
        <f t="shared" si="48"/>
        <v>0.53500000000000003</v>
      </c>
      <c r="I1056" s="4" t="str">
        <f t="shared" si="49"/>
        <v>Sin riesgo &lt;85%</v>
      </c>
      <c r="J1056" s="1" t="s">
        <v>13</v>
      </c>
      <c r="K1056" s="1" t="str">
        <f t="shared" si="50"/>
        <v>Sin riesgo</v>
      </c>
    </row>
    <row r="1057" spans="1:11">
      <c r="A1057" s="1" t="s">
        <v>365</v>
      </c>
      <c r="B1057" s="6" t="s">
        <v>15</v>
      </c>
      <c r="C1057" s="3">
        <v>8.56</v>
      </c>
      <c r="D1057" s="3">
        <v>7.39</v>
      </c>
      <c r="E1057" s="3">
        <v>16</v>
      </c>
      <c r="F1057" s="4">
        <v>2.577051</v>
      </c>
      <c r="G1057" s="4">
        <v>-75.439188000000001</v>
      </c>
      <c r="H1057" s="9">
        <f t="shared" si="48"/>
        <v>0.53500000000000003</v>
      </c>
      <c r="I1057" s="4" t="str">
        <f t="shared" si="49"/>
        <v>Sin riesgo &lt;85%</v>
      </c>
      <c r="J1057" s="1" t="s">
        <v>13</v>
      </c>
      <c r="K1057" s="1" t="str">
        <f t="shared" si="50"/>
        <v>Sin riesgo</v>
      </c>
    </row>
    <row r="1058" spans="1:11">
      <c r="A1058" s="1" t="s">
        <v>366</v>
      </c>
      <c r="B1058" s="6" t="s">
        <v>12</v>
      </c>
      <c r="C1058" s="3">
        <v>2.04</v>
      </c>
      <c r="D1058" s="3">
        <v>3.11</v>
      </c>
      <c r="E1058" s="3">
        <v>25</v>
      </c>
      <c r="F1058" s="4">
        <v>1.860058</v>
      </c>
      <c r="G1058" s="4">
        <v>-76.047996999999896</v>
      </c>
      <c r="H1058" s="9">
        <f t="shared" si="48"/>
        <v>0.1244</v>
      </c>
      <c r="I1058" s="4" t="str">
        <f t="shared" si="49"/>
        <v>Sin riesgo &lt;85%</v>
      </c>
      <c r="J1058" s="1" t="s">
        <v>13</v>
      </c>
      <c r="K1058" s="1" t="str">
        <f t="shared" si="50"/>
        <v>Sin riesgo</v>
      </c>
    </row>
    <row r="1059" spans="1:11">
      <c r="A1059" s="1" t="s">
        <v>366</v>
      </c>
      <c r="B1059" s="6" t="s">
        <v>14</v>
      </c>
      <c r="C1059" s="3">
        <v>2.04</v>
      </c>
      <c r="D1059" s="3">
        <v>3.11</v>
      </c>
      <c r="E1059" s="3">
        <v>25</v>
      </c>
      <c r="F1059" s="4">
        <v>1.860058</v>
      </c>
      <c r="G1059" s="4">
        <v>-76.047996999999896</v>
      </c>
      <c r="H1059" s="9">
        <f t="shared" si="48"/>
        <v>0.1244</v>
      </c>
      <c r="I1059" s="4" t="str">
        <f t="shared" si="49"/>
        <v>Sin riesgo &lt;85%</v>
      </c>
      <c r="J1059" s="1" t="s">
        <v>13</v>
      </c>
      <c r="K1059" s="1" t="str">
        <f t="shared" si="50"/>
        <v>Sin riesgo</v>
      </c>
    </row>
    <row r="1060" spans="1:11">
      <c r="A1060" s="1" t="s">
        <v>366</v>
      </c>
      <c r="B1060" s="6" t="s">
        <v>15</v>
      </c>
      <c r="C1060" s="3">
        <v>2.04</v>
      </c>
      <c r="D1060" s="3">
        <v>3.11</v>
      </c>
      <c r="E1060" s="3">
        <v>25</v>
      </c>
      <c r="F1060" s="4">
        <v>1.860058</v>
      </c>
      <c r="G1060" s="4">
        <v>-76.047996999999896</v>
      </c>
      <c r="H1060" s="9">
        <f t="shared" si="48"/>
        <v>0.1244</v>
      </c>
      <c r="I1060" s="4" t="str">
        <f t="shared" si="49"/>
        <v>Sin riesgo &lt;85%</v>
      </c>
      <c r="J1060" s="1" t="s">
        <v>13</v>
      </c>
      <c r="K1060" s="1" t="str">
        <f t="shared" si="50"/>
        <v>Sin riesgo</v>
      </c>
    </row>
    <row r="1061" spans="1:11">
      <c r="A1061" s="1" t="s">
        <v>367</v>
      </c>
      <c r="B1061" s="6" t="s">
        <v>12</v>
      </c>
      <c r="C1061" s="3">
        <v>4.0999999999999996</v>
      </c>
      <c r="D1061" s="3">
        <v>3.2</v>
      </c>
      <c r="E1061" s="3">
        <v>20</v>
      </c>
      <c r="F1061" s="4">
        <v>2.3798789999999999</v>
      </c>
      <c r="G1061" s="4">
        <v>-75.8799589999999</v>
      </c>
      <c r="H1061" s="9">
        <f t="shared" si="48"/>
        <v>0.20499999999999999</v>
      </c>
      <c r="I1061" s="4" t="str">
        <f t="shared" si="49"/>
        <v>Sin riesgo &lt;85%</v>
      </c>
      <c r="J1061" s="1" t="s">
        <v>13</v>
      </c>
      <c r="K1061" s="1" t="str">
        <f t="shared" si="50"/>
        <v>Sin riesgo</v>
      </c>
    </row>
    <row r="1062" spans="1:11">
      <c r="A1062" s="1" t="s">
        <v>367</v>
      </c>
      <c r="B1062" s="6" t="s">
        <v>14</v>
      </c>
      <c r="C1062" s="3">
        <v>4.0999999999999996</v>
      </c>
      <c r="D1062" s="3">
        <v>3.21</v>
      </c>
      <c r="E1062" s="3">
        <v>20</v>
      </c>
      <c r="F1062" s="4">
        <v>2.3798789999999999</v>
      </c>
      <c r="G1062" s="4">
        <v>-75.8799589999999</v>
      </c>
      <c r="H1062" s="9">
        <f t="shared" si="48"/>
        <v>0.20499999999999999</v>
      </c>
      <c r="I1062" s="4" t="str">
        <f t="shared" si="49"/>
        <v>Sin riesgo &lt;85%</v>
      </c>
      <c r="J1062" s="1" t="s">
        <v>13</v>
      </c>
      <c r="K1062" s="1" t="str">
        <f t="shared" si="50"/>
        <v>Sin riesgo</v>
      </c>
    </row>
    <row r="1063" spans="1:11">
      <c r="A1063" s="1" t="s">
        <v>367</v>
      </c>
      <c r="B1063" s="6" t="s">
        <v>15</v>
      </c>
      <c r="C1063" s="3">
        <v>4.0999999999999996</v>
      </c>
      <c r="D1063" s="3">
        <v>3.21</v>
      </c>
      <c r="E1063" s="3">
        <v>20</v>
      </c>
      <c r="F1063" s="4">
        <v>2.3798789999999999</v>
      </c>
      <c r="G1063" s="4">
        <v>-75.8799589999999</v>
      </c>
      <c r="H1063" s="9">
        <f t="shared" si="48"/>
        <v>0.20499999999999999</v>
      </c>
      <c r="I1063" s="4" t="str">
        <f t="shared" si="49"/>
        <v>Sin riesgo &lt;85%</v>
      </c>
      <c r="J1063" s="1" t="s">
        <v>13</v>
      </c>
      <c r="K1063" s="1" t="str">
        <f t="shared" si="50"/>
        <v>Sin riesgo</v>
      </c>
    </row>
    <row r="1064" spans="1:11">
      <c r="A1064" s="1" t="s">
        <v>368</v>
      </c>
      <c r="B1064" s="6" t="s">
        <v>12</v>
      </c>
      <c r="C1064" s="3">
        <v>5.94</v>
      </c>
      <c r="D1064" s="3">
        <v>6.99</v>
      </c>
      <c r="E1064" s="3">
        <v>31.5</v>
      </c>
      <c r="F1064" s="4">
        <v>1.194831</v>
      </c>
      <c r="G1064" s="4">
        <v>-77.284458999999998</v>
      </c>
      <c r="H1064" s="9">
        <f t="shared" si="48"/>
        <v>0.22190476190476191</v>
      </c>
      <c r="I1064" s="4" t="str">
        <f t="shared" si="49"/>
        <v>Sin riesgo &lt;85%</v>
      </c>
      <c r="J1064" s="1" t="s">
        <v>13</v>
      </c>
      <c r="K1064" s="1" t="str">
        <f t="shared" si="50"/>
        <v>Sin riesgo</v>
      </c>
    </row>
    <row r="1065" spans="1:11">
      <c r="A1065" s="1" t="s">
        <v>368</v>
      </c>
      <c r="B1065" s="6" t="s">
        <v>14</v>
      </c>
      <c r="C1065" s="3">
        <v>5.94</v>
      </c>
      <c r="D1065" s="3">
        <v>6.99</v>
      </c>
      <c r="E1065" s="3">
        <v>31.5</v>
      </c>
      <c r="F1065" s="4">
        <v>1.194831</v>
      </c>
      <c r="G1065" s="4">
        <v>-77.284458999999998</v>
      </c>
      <c r="H1065" s="9">
        <f t="shared" si="48"/>
        <v>0.22190476190476191</v>
      </c>
      <c r="I1065" s="4" t="str">
        <f t="shared" si="49"/>
        <v>Sin riesgo &lt;85%</v>
      </c>
      <c r="J1065" s="1" t="s">
        <v>13</v>
      </c>
      <c r="K1065" s="1" t="str">
        <f t="shared" si="50"/>
        <v>Sin riesgo</v>
      </c>
    </row>
    <row r="1066" spans="1:11">
      <c r="A1066" s="1" t="s">
        <v>368</v>
      </c>
      <c r="B1066" s="6" t="s">
        <v>15</v>
      </c>
      <c r="C1066" s="3">
        <v>5.94</v>
      </c>
      <c r="D1066" s="3">
        <v>6.99</v>
      </c>
      <c r="E1066" s="3">
        <v>31.5</v>
      </c>
      <c r="F1066" s="4">
        <v>1.194831</v>
      </c>
      <c r="G1066" s="4">
        <v>-77.284458999999998</v>
      </c>
      <c r="H1066" s="9">
        <f t="shared" si="48"/>
        <v>0.22190476190476191</v>
      </c>
      <c r="I1066" s="4" t="str">
        <f t="shared" si="49"/>
        <v>Sin riesgo &lt;85%</v>
      </c>
      <c r="J1066" s="1" t="s">
        <v>13</v>
      </c>
      <c r="K1066" s="1" t="str">
        <f t="shared" si="50"/>
        <v>Sin riesgo</v>
      </c>
    </row>
    <row r="1067" spans="1:11">
      <c r="A1067" s="1" t="s">
        <v>369</v>
      </c>
      <c r="B1067" s="6" t="s">
        <v>12</v>
      </c>
      <c r="C1067" s="3">
        <v>5.07</v>
      </c>
      <c r="D1067" s="3">
        <v>3.96</v>
      </c>
      <c r="E1067" s="3">
        <v>25</v>
      </c>
      <c r="F1067" s="4">
        <v>2.0238849999999999</v>
      </c>
      <c r="G1067" s="4">
        <v>-77.001525000000001</v>
      </c>
      <c r="H1067" s="9">
        <f t="shared" si="48"/>
        <v>0.20280000000000001</v>
      </c>
      <c r="I1067" s="4" t="str">
        <f t="shared" si="49"/>
        <v>Sin riesgo &lt;85%</v>
      </c>
      <c r="J1067" s="1" t="s">
        <v>13</v>
      </c>
      <c r="K1067" s="1" t="str">
        <f t="shared" si="50"/>
        <v>Sin riesgo</v>
      </c>
    </row>
    <row r="1068" spans="1:11">
      <c r="A1068" s="1" t="s">
        <v>369</v>
      </c>
      <c r="B1068" s="6" t="s">
        <v>14</v>
      </c>
      <c r="C1068" s="3">
        <v>5.07</v>
      </c>
      <c r="D1068" s="3">
        <v>3.96</v>
      </c>
      <c r="E1068" s="3">
        <v>25</v>
      </c>
      <c r="F1068" s="4">
        <v>2.0238849999999999</v>
      </c>
      <c r="G1068" s="4">
        <v>-77.001525000000001</v>
      </c>
      <c r="H1068" s="9">
        <f t="shared" si="48"/>
        <v>0.20280000000000001</v>
      </c>
      <c r="I1068" s="4" t="str">
        <f t="shared" si="49"/>
        <v>Sin riesgo &lt;85%</v>
      </c>
      <c r="J1068" s="1" t="s">
        <v>13</v>
      </c>
      <c r="K1068" s="1" t="str">
        <f t="shared" si="50"/>
        <v>Sin riesgo</v>
      </c>
    </row>
    <row r="1069" spans="1:11">
      <c r="A1069" s="1" t="s">
        <v>369</v>
      </c>
      <c r="B1069" s="6" t="s">
        <v>15</v>
      </c>
      <c r="C1069" s="3">
        <v>5.07</v>
      </c>
      <c r="D1069" s="3">
        <v>3.96</v>
      </c>
      <c r="E1069" s="3">
        <v>25</v>
      </c>
      <c r="F1069" s="4">
        <v>2.0238849999999999</v>
      </c>
      <c r="G1069" s="4">
        <v>-77.001525000000001</v>
      </c>
      <c r="H1069" s="9">
        <f t="shared" si="48"/>
        <v>0.20280000000000001</v>
      </c>
      <c r="I1069" s="4" t="str">
        <f t="shared" si="49"/>
        <v>Sin riesgo &lt;85%</v>
      </c>
      <c r="J1069" s="1" t="s">
        <v>13</v>
      </c>
      <c r="K1069" s="1" t="str">
        <f t="shared" si="50"/>
        <v>Sin riesgo</v>
      </c>
    </row>
    <row r="1070" spans="1:11">
      <c r="A1070" s="1" t="s">
        <v>370</v>
      </c>
      <c r="B1070" s="6" t="s">
        <v>12</v>
      </c>
      <c r="C1070" s="3">
        <v>4.75</v>
      </c>
      <c r="D1070" s="3">
        <v>5.21</v>
      </c>
      <c r="E1070" s="3">
        <v>25</v>
      </c>
      <c r="F1070" s="4">
        <v>4.6916928699999998</v>
      </c>
      <c r="G1070" s="4">
        <v>-74.113607029999997</v>
      </c>
      <c r="H1070" s="9">
        <f t="shared" si="48"/>
        <v>0.2084</v>
      </c>
      <c r="I1070" s="4" t="str">
        <f t="shared" si="49"/>
        <v>Sin riesgo &lt;85%</v>
      </c>
      <c r="J1070" s="1" t="s">
        <v>13</v>
      </c>
      <c r="K1070" s="1" t="str">
        <f t="shared" si="50"/>
        <v>Sin riesgo</v>
      </c>
    </row>
    <row r="1071" spans="1:11">
      <c r="A1071" s="1" t="s">
        <v>370</v>
      </c>
      <c r="B1071" s="6" t="s">
        <v>14</v>
      </c>
      <c r="C1071" s="3">
        <v>4.75</v>
      </c>
      <c r="D1071" s="3">
        <v>5.21</v>
      </c>
      <c r="E1071" s="3">
        <v>25</v>
      </c>
      <c r="F1071" s="4">
        <v>4.6916928699999998</v>
      </c>
      <c r="G1071" s="4">
        <v>-74.113607029999997</v>
      </c>
      <c r="H1071" s="9">
        <f t="shared" si="48"/>
        <v>0.2084</v>
      </c>
      <c r="I1071" s="4" t="str">
        <f t="shared" si="49"/>
        <v>Sin riesgo &lt;85%</v>
      </c>
      <c r="J1071" s="1" t="s">
        <v>13</v>
      </c>
      <c r="K1071" s="1" t="str">
        <f t="shared" si="50"/>
        <v>Sin riesgo</v>
      </c>
    </row>
    <row r="1072" spans="1:11">
      <c r="A1072" s="1" t="s">
        <v>370</v>
      </c>
      <c r="B1072" s="6" t="s">
        <v>15</v>
      </c>
      <c r="C1072" s="3">
        <v>4.75</v>
      </c>
      <c r="D1072" s="3">
        <v>5.21</v>
      </c>
      <c r="E1072" s="3">
        <v>25</v>
      </c>
      <c r="F1072" s="4">
        <v>4.6916928699999998</v>
      </c>
      <c r="G1072" s="4">
        <v>-74.113607029999997</v>
      </c>
      <c r="H1072" s="9">
        <f t="shared" si="48"/>
        <v>0.2084</v>
      </c>
      <c r="I1072" s="4" t="str">
        <f t="shared" si="49"/>
        <v>Sin riesgo &lt;85%</v>
      </c>
      <c r="J1072" s="1" t="s">
        <v>13</v>
      </c>
      <c r="K1072" s="1" t="str">
        <f t="shared" si="50"/>
        <v>Sin riesgo</v>
      </c>
    </row>
    <row r="1073" spans="1:11">
      <c r="A1073" s="1" t="s">
        <v>371</v>
      </c>
      <c r="B1073" s="6" t="s">
        <v>12</v>
      </c>
      <c r="C1073" s="3">
        <v>0.5</v>
      </c>
      <c r="D1073" s="3">
        <v>0.89</v>
      </c>
      <c r="E1073" s="3">
        <v>20</v>
      </c>
      <c r="F1073" s="4">
        <v>2.5668000000000002</v>
      </c>
      <c r="G1073" s="4">
        <v>-77.881900000000002</v>
      </c>
      <c r="H1073" s="9">
        <f t="shared" si="48"/>
        <v>4.4499999999999998E-2</v>
      </c>
      <c r="I1073" s="4" t="str">
        <f t="shared" si="49"/>
        <v>Sin riesgo &lt;85%</v>
      </c>
      <c r="J1073" s="1" t="s">
        <v>13</v>
      </c>
      <c r="K1073" s="1" t="str">
        <f t="shared" si="50"/>
        <v>Sin riesgo</v>
      </c>
    </row>
    <row r="1074" spans="1:11">
      <c r="A1074" s="1" t="s">
        <v>371</v>
      </c>
      <c r="B1074" s="6" t="s">
        <v>14</v>
      </c>
      <c r="C1074" s="3">
        <v>0.5</v>
      </c>
      <c r="D1074" s="3">
        <v>0.89</v>
      </c>
      <c r="E1074" s="3">
        <v>20</v>
      </c>
      <c r="F1074" s="4">
        <v>2.5668000000000002</v>
      </c>
      <c r="G1074" s="4">
        <v>-77.881900000000002</v>
      </c>
      <c r="H1074" s="9">
        <f t="shared" si="48"/>
        <v>4.4499999999999998E-2</v>
      </c>
      <c r="I1074" s="4" t="str">
        <f t="shared" si="49"/>
        <v>Sin riesgo &lt;85%</v>
      </c>
      <c r="J1074" s="1" t="s">
        <v>13</v>
      </c>
      <c r="K1074" s="1" t="str">
        <f t="shared" si="50"/>
        <v>Sin riesgo</v>
      </c>
    </row>
    <row r="1075" spans="1:11">
      <c r="A1075" s="1" t="s">
        <v>371</v>
      </c>
      <c r="B1075" s="6" t="s">
        <v>15</v>
      </c>
      <c r="C1075" s="3">
        <v>0.5</v>
      </c>
      <c r="D1075" s="3">
        <v>0.89</v>
      </c>
      <c r="E1075" s="3">
        <v>20</v>
      </c>
      <c r="F1075" s="4">
        <v>2.5668000000000002</v>
      </c>
      <c r="G1075" s="4">
        <v>-77.881900000000002</v>
      </c>
      <c r="H1075" s="9">
        <f t="shared" si="48"/>
        <v>4.4499999999999998E-2</v>
      </c>
      <c r="I1075" s="4" t="str">
        <f t="shared" si="49"/>
        <v>Sin riesgo &lt;85%</v>
      </c>
      <c r="J1075" s="1" t="s">
        <v>13</v>
      </c>
      <c r="K1075" s="1" t="str">
        <f t="shared" si="50"/>
        <v>Sin riesgo</v>
      </c>
    </row>
    <row r="1076" spans="1:11">
      <c r="A1076" s="1" t="s">
        <v>372</v>
      </c>
      <c r="B1076" s="6" t="s">
        <v>12</v>
      </c>
      <c r="C1076" s="3">
        <v>12.45</v>
      </c>
      <c r="D1076" s="3">
        <v>9.91</v>
      </c>
      <c r="E1076" s="3">
        <v>20</v>
      </c>
      <c r="F1076" s="4">
        <v>1.2173</v>
      </c>
      <c r="G1076" s="4">
        <v>-77.252369999999999</v>
      </c>
      <c r="H1076" s="9">
        <f t="shared" si="48"/>
        <v>0.62249999999999994</v>
      </c>
      <c r="I1076" s="4" t="str">
        <f t="shared" si="49"/>
        <v>Sin riesgo &lt;85%</v>
      </c>
      <c r="J1076" s="1" t="s">
        <v>13</v>
      </c>
      <c r="K1076" s="1" t="str">
        <f t="shared" si="50"/>
        <v>Sin riesgo</v>
      </c>
    </row>
    <row r="1077" spans="1:11">
      <c r="A1077" s="1" t="s">
        <v>372</v>
      </c>
      <c r="B1077" s="6" t="s">
        <v>14</v>
      </c>
      <c r="C1077" s="3">
        <v>12.46</v>
      </c>
      <c r="D1077" s="3">
        <v>9.92</v>
      </c>
      <c r="E1077" s="3">
        <v>20</v>
      </c>
      <c r="F1077" s="4">
        <v>1.2173</v>
      </c>
      <c r="G1077" s="4">
        <v>-77.252369999999999</v>
      </c>
      <c r="H1077" s="9">
        <f t="shared" si="48"/>
        <v>0.623</v>
      </c>
      <c r="I1077" s="4" t="str">
        <f t="shared" si="49"/>
        <v>Sin riesgo &lt;85%</v>
      </c>
      <c r="J1077" s="1" t="s">
        <v>13</v>
      </c>
      <c r="K1077" s="1" t="str">
        <f t="shared" si="50"/>
        <v>Sin riesgo</v>
      </c>
    </row>
    <row r="1078" spans="1:11">
      <c r="A1078" s="1" t="s">
        <v>372</v>
      </c>
      <c r="B1078" s="6" t="s">
        <v>15</v>
      </c>
      <c r="C1078" s="3">
        <v>12.46</v>
      </c>
      <c r="D1078" s="3">
        <v>9.92</v>
      </c>
      <c r="E1078" s="3">
        <v>20</v>
      </c>
      <c r="F1078" s="4">
        <v>1.2173</v>
      </c>
      <c r="G1078" s="4">
        <v>-77.252369999999999</v>
      </c>
      <c r="H1078" s="9">
        <f t="shared" si="48"/>
        <v>0.623</v>
      </c>
      <c r="I1078" s="4" t="str">
        <f t="shared" si="49"/>
        <v>Sin riesgo &lt;85%</v>
      </c>
      <c r="J1078" s="1" t="s">
        <v>13</v>
      </c>
      <c r="K1078" s="1" t="str">
        <f t="shared" si="50"/>
        <v>Sin riesgo</v>
      </c>
    </row>
    <row r="1079" spans="1:11">
      <c r="A1079" s="1" t="s">
        <v>373</v>
      </c>
      <c r="B1079" s="6" t="s">
        <v>12</v>
      </c>
      <c r="C1079" s="3">
        <v>11.99</v>
      </c>
      <c r="D1079" s="3">
        <v>11.77</v>
      </c>
      <c r="E1079" s="3">
        <v>20</v>
      </c>
      <c r="F1079" s="4">
        <v>1.2173</v>
      </c>
      <c r="G1079" s="4">
        <v>-77.252369999999999</v>
      </c>
      <c r="H1079" s="9">
        <f t="shared" si="48"/>
        <v>0.59950000000000003</v>
      </c>
      <c r="I1079" s="4" t="str">
        <f t="shared" si="49"/>
        <v>Sin riesgo &lt;85%</v>
      </c>
      <c r="J1079" s="1" t="s">
        <v>13</v>
      </c>
      <c r="K1079" s="1" t="str">
        <f t="shared" si="50"/>
        <v>Sin riesgo</v>
      </c>
    </row>
    <row r="1080" spans="1:11">
      <c r="A1080" s="1" t="s">
        <v>373</v>
      </c>
      <c r="B1080" s="6" t="s">
        <v>14</v>
      </c>
      <c r="C1080" s="3">
        <v>12</v>
      </c>
      <c r="D1080" s="3">
        <v>11.78</v>
      </c>
      <c r="E1080" s="3">
        <v>20</v>
      </c>
      <c r="F1080" s="4">
        <v>1.2173</v>
      </c>
      <c r="G1080" s="4">
        <v>-77.252369999999999</v>
      </c>
      <c r="H1080" s="9">
        <f t="shared" si="48"/>
        <v>0.6</v>
      </c>
      <c r="I1080" s="4" t="str">
        <f t="shared" si="49"/>
        <v>Sin riesgo &lt;85%</v>
      </c>
      <c r="J1080" s="1" t="s">
        <v>13</v>
      </c>
      <c r="K1080" s="1" t="str">
        <f t="shared" si="50"/>
        <v>Sin riesgo</v>
      </c>
    </row>
    <row r="1081" spans="1:11">
      <c r="A1081" s="1" t="s">
        <v>373</v>
      </c>
      <c r="B1081" s="6" t="s">
        <v>15</v>
      </c>
      <c r="C1081" s="3">
        <v>12</v>
      </c>
      <c r="D1081" s="3">
        <v>11.78</v>
      </c>
      <c r="E1081" s="3">
        <v>20</v>
      </c>
      <c r="F1081" s="4">
        <v>1.2173</v>
      </c>
      <c r="G1081" s="4">
        <v>-77.252369999999999</v>
      </c>
      <c r="H1081" s="9">
        <f t="shared" si="48"/>
        <v>0.6</v>
      </c>
      <c r="I1081" s="4" t="str">
        <f t="shared" si="49"/>
        <v>Sin riesgo &lt;85%</v>
      </c>
      <c r="J1081" s="1" t="s">
        <v>13</v>
      </c>
      <c r="K1081" s="1" t="str">
        <f t="shared" si="50"/>
        <v>Sin riesgo</v>
      </c>
    </row>
    <row r="1082" spans="1:11">
      <c r="A1082" s="1" t="s">
        <v>374</v>
      </c>
      <c r="B1082" s="6" t="s">
        <v>12</v>
      </c>
      <c r="C1082" s="3">
        <v>8.1</v>
      </c>
      <c r="D1082" s="3">
        <v>9.61</v>
      </c>
      <c r="E1082" s="3">
        <v>31.5</v>
      </c>
      <c r="F1082" s="4">
        <v>3.2765590428289402</v>
      </c>
      <c r="G1082" s="4">
        <v>-76.532382738204007</v>
      </c>
      <c r="H1082" s="9">
        <f t="shared" si="48"/>
        <v>0.30507936507936506</v>
      </c>
      <c r="I1082" s="4" t="str">
        <f t="shared" si="49"/>
        <v>Sin riesgo &lt;85%</v>
      </c>
      <c r="J1082" s="1" t="s">
        <v>13</v>
      </c>
      <c r="K1082" s="1" t="str">
        <f t="shared" si="50"/>
        <v>Sin riesgo</v>
      </c>
    </row>
    <row r="1083" spans="1:11">
      <c r="A1083" s="1" t="s">
        <v>374</v>
      </c>
      <c r="B1083" s="6" t="s">
        <v>14</v>
      </c>
      <c r="C1083" s="3">
        <v>8.11</v>
      </c>
      <c r="D1083" s="3">
        <v>9.6300000000000008</v>
      </c>
      <c r="E1083" s="3">
        <v>31.5</v>
      </c>
      <c r="F1083" s="4">
        <v>3.2765590428289402</v>
      </c>
      <c r="G1083" s="4">
        <v>-76.532382738204007</v>
      </c>
      <c r="H1083" s="9">
        <f t="shared" si="48"/>
        <v>0.30571428571428572</v>
      </c>
      <c r="I1083" s="4" t="str">
        <f t="shared" si="49"/>
        <v>Sin riesgo &lt;85%</v>
      </c>
      <c r="J1083" s="1" t="s">
        <v>13</v>
      </c>
      <c r="K1083" s="1" t="str">
        <f t="shared" si="50"/>
        <v>Sin riesgo</v>
      </c>
    </row>
    <row r="1084" spans="1:11">
      <c r="A1084" s="1" t="s">
        <v>374</v>
      </c>
      <c r="B1084" s="6" t="s">
        <v>15</v>
      </c>
      <c r="C1084" s="3">
        <v>8.11</v>
      </c>
      <c r="D1084" s="3">
        <v>9.6300000000000008</v>
      </c>
      <c r="E1084" s="3">
        <v>31.5</v>
      </c>
      <c r="F1084" s="4">
        <v>3.2765590428289402</v>
      </c>
      <c r="G1084" s="4">
        <v>-76.532382738204007</v>
      </c>
      <c r="H1084" s="9">
        <f t="shared" si="48"/>
        <v>0.30571428571428572</v>
      </c>
      <c r="I1084" s="4" t="str">
        <f t="shared" si="49"/>
        <v>Sin riesgo &lt;85%</v>
      </c>
      <c r="J1084" s="1" t="s">
        <v>13</v>
      </c>
      <c r="K1084" s="1" t="str">
        <f t="shared" si="50"/>
        <v>Sin riesgo</v>
      </c>
    </row>
    <row r="1085" spans="1:11">
      <c r="A1085" s="1" t="s">
        <v>375</v>
      </c>
      <c r="B1085" s="6" t="s">
        <v>12</v>
      </c>
      <c r="C1085" s="3">
        <v>3.12</v>
      </c>
      <c r="D1085" s="3">
        <v>3.44</v>
      </c>
      <c r="E1085" s="3">
        <v>25</v>
      </c>
      <c r="F1085" s="4">
        <v>1.0766500000000001</v>
      </c>
      <c r="G1085" s="4">
        <v>-77.580609999999993</v>
      </c>
      <c r="H1085" s="9">
        <f t="shared" si="48"/>
        <v>0.1376</v>
      </c>
      <c r="I1085" s="4" t="str">
        <f t="shared" si="49"/>
        <v>Sin riesgo &lt;85%</v>
      </c>
      <c r="J1085" s="1" t="s">
        <v>13</v>
      </c>
      <c r="K1085" s="1" t="str">
        <f t="shared" si="50"/>
        <v>Sin riesgo</v>
      </c>
    </row>
    <row r="1086" spans="1:11">
      <c r="A1086" s="1" t="s">
        <v>375</v>
      </c>
      <c r="B1086" s="6" t="s">
        <v>14</v>
      </c>
      <c r="C1086" s="3">
        <v>3.12</v>
      </c>
      <c r="D1086" s="3">
        <v>3.44</v>
      </c>
      <c r="E1086" s="3">
        <v>25</v>
      </c>
      <c r="F1086" s="4">
        <v>1.0766500000000001</v>
      </c>
      <c r="G1086" s="4">
        <v>-77.580609999999993</v>
      </c>
      <c r="H1086" s="9">
        <f t="shared" si="48"/>
        <v>0.1376</v>
      </c>
      <c r="I1086" s="4" t="str">
        <f t="shared" si="49"/>
        <v>Sin riesgo &lt;85%</v>
      </c>
      <c r="J1086" s="1" t="s">
        <v>13</v>
      </c>
      <c r="K1086" s="1" t="str">
        <f t="shared" si="50"/>
        <v>Sin riesgo</v>
      </c>
    </row>
    <row r="1087" spans="1:11">
      <c r="A1087" s="1" t="s">
        <v>375</v>
      </c>
      <c r="B1087" s="6" t="s">
        <v>15</v>
      </c>
      <c r="C1087" s="3">
        <v>3.12</v>
      </c>
      <c r="D1087" s="3">
        <v>3.44</v>
      </c>
      <c r="E1087" s="3">
        <v>25</v>
      </c>
      <c r="F1087" s="4">
        <v>1.0766500000000001</v>
      </c>
      <c r="G1087" s="4">
        <v>-77.580609999999993</v>
      </c>
      <c r="H1087" s="9">
        <f t="shared" si="48"/>
        <v>0.1376</v>
      </c>
      <c r="I1087" s="4" t="str">
        <f t="shared" si="49"/>
        <v>Sin riesgo &lt;85%</v>
      </c>
      <c r="J1087" s="1" t="s">
        <v>13</v>
      </c>
      <c r="K1087" s="1" t="str">
        <f t="shared" si="50"/>
        <v>Sin riesgo</v>
      </c>
    </row>
    <row r="1088" spans="1:11">
      <c r="A1088" s="1" t="s">
        <v>376</v>
      </c>
      <c r="B1088" s="6" t="s">
        <v>12</v>
      </c>
      <c r="C1088" s="3">
        <v>1</v>
      </c>
      <c r="D1088" s="3">
        <v>1.39</v>
      </c>
      <c r="E1088" s="3">
        <v>31.5</v>
      </c>
      <c r="F1088" s="4">
        <v>1.32297</v>
      </c>
      <c r="G1088" s="4">
        <v>-78.118520000000004</v>
      </c>
      <c r="H1088" s="9">
        <f t="shared" si="48"/>
        <v>4.4126984126984126E-2</v>
      </c>
      <c r="I1088" s="4" t="str">
        <f t="shared" si="49"/>
        <v>Sin riesgo &lt;85%</v>
      </c>
      <c r="J1088" s="1" t="s">
        <v>13</v>
      </c>
      <c r="K1088" s="1" t="str">
        <f t="shared" si="50"/>
        <v>Sin riesgo</v>
      </c>
    </row>
    <row r="1089" spans="1:11">
      <c r="A1089" s="1" t="s">
        <v>376</v>
      </c>
      <c r="B1089" s="6" t="s">
        <v>14</v>
      </c>
      <c r="C1089" s="3">
        <v>1.01</v>
      </c>
      <c r="D1089" s="3">
        <v>1.39</v>
      </c>
      <c r="E1089" s="3">
        <v>31.5</v>
      </c>
      <c r="F1089" s="4">
        <v>1.32297</v>
      </c>
      <c r="G1089" s="4">
        <v>-78.118520000000004</v>
      </c>
      <c r="H1089" s="9">
        <f t="shared" si="48"/>
        <v>4.4126984126984126E-2</v>
      </c>
      <c r="I1089" s="4" t="str">
        <f t="shared" si="49"/>
        <v>Sin riesgo &lt;85%</v>
      </c>
      <c r="J1089" s="1" t="s">
        <v>13</v>
      </c>
      <c r="K1089" s="1" t="str">
        <f t="shared" si="50"/>
        <v>Sin riesgo</v>
      </c>
    </row>
    <row r="1090" spans="1:11">
      <c r="A1090" s="1" t="s">
        <v>376</v>
      </c>
      <c r="B1090" s="6" t="s">
        <v>15</v>
      </c>
      <c r="C1090" s="3">
        <v>1.01</v>
      </c>
      <c r="D1090" s="3">
        <v>1.39</v>
      </c>
      <c r="E1090" s="3">
        <v>31.5</v>
      </c>
      <c r="F1090" s="4">
        <v>1.32297</v>
      </c>
      <c r="G1090" s="4">
        <v>-78.118520000000004</v>
      </c>
      <c r="H1090" s="9">
        <f t="shared" si="48"/>
        <v>4.4126984126984126E-2</v>
      </c>
      <c r="I1090" s="4" t="str">
        <f t="shared" si="49"/>
        <v>Sin riesgo &lt;85%</v>
      </c>
      <c r="J1090" s="1" t="s">
        <v>13</v>
      </c>
      <c r="K1090" s="1" t="str">
        <f t="shared" si="50"/>
        <v>Sin riesgo</v>
      </c>
    </row>
    <row r="1091" spans="1:11">
      <c r="A1091" s="1" t="s">
        <v>377</v>
      </c>
      <c r="B1091" s="6" t="s">
        <v>12</v>
      </c>
      <c r="C1091" s="3">
        <v>0.36</v>
      </c>
      <c r="D1091" s="3">
        <v>0.65</v>
      </c>
      <c r="E1091" s="3">
        <v>20</v>
      </c>
      <c r="F1091" s="4">
        <v>2.3420999999999998</v>
      </c>
      <c r="G1091" s="4">
        <v>-78.321799999999996</v>
      </c>
      <c r="H1091" s="9">
        <f t="shared" ref="H1091:H1154" si="51">IF(C1091&gt;D1091,C1091/E1091,D1091/E1091)</f>
        <v>3.2500000000000001E-2</v>
      </c>
      <c r="I1091" s="4" t="str">
        <f t="shared" ref="I1091:I1154" si="52">IF(H1091&gt;100%,"Altamente critico &gt;100%",IF(H1091&gt;95%,"Critico &gt;95%",IF(H1091&gt;85%,"En riesgo &gt;85%","Sin riesgo &lt;85%")))</f>
        <v>Sin riesgo &lt;85%</v>
      </c>
      <c r="J1091" s="1" t="s">
        <v>13</v>
      </c>
      <c r="K1091" s="1" t="str">
        <f t="shared" ref="K1091:K1154" si="53">IF(J1091="&gt;5","Sin riesgo",IF(J1091&gt;1.5,"Estado de alerta","Estado critico"))</f>
        <v>Sin riesgo</v>
      </c>
    </row>
    <row r="1092" spans="1:11">
      <c r="A1092" s="1" t="s">
        <v>377</v>
      </c>
      <c r="B1092" s="6" t="s">
        <v>14</v>
      </c>
      <c r="C1092" s="3">
        <v>0.36</v>
      </c>
      <c r="D1092" s="3">
        <v>0.65</v>
      </c>
      <c r="E1092" s="3">
        <v>20</v>
      </c>
      <c r="F1092" s="4">
        <v>2.3420999999999998</v>
      </c>
      <c r="G1092" s="4">
        <v>-78.321799999999996</v>
      </c>
      <c r="H1092" s="9">
        <f t="shared" si="51"/>
        <v>3.2500000000000001E-2</v>
      </c>
      <c r="I1092" s="4" t="str">
        <f t="shared" si="52"/>
        <v>Sin riesgo &lt;85%</v>
      </c>
      <c r="J1092" s="1" t="s">
        <v>13</v>
      </c>
      <c r="K1092" s="1" t="str">
        <f t="shared" si="53"/>
        <v>Sin riesgo</v>
      </c>
    </row>
    <row r="1093" spans="1:11">
      <c r="A1093" s="1" t="s">
        <v>377</v>
      </c>
      <c r="B1093" s="6" t="s">
        <v>15</v>
      </c>
      <c r="C1093" s="3">
        <v>0.36</v>
      </c>
      <c r="D1093" s="3">
        <v>0.65</v>
      </c>
      <c r="E1093" s="3">
        <v>20</v>
      </c>
      <c r="F1093" s="4">
        <v>2.3420999999999998</v>
      </c>
      <c r="G1093" s="4">
        <v>-78.321799999999996</v>
      </c>
      <c r="H1093" s="9">
        <f t="shared" si="51"/>
        <v>3.2500000000000001E-2</v>
      </c>
      <c r="I1093" s="4" t="str">
        <f t="shared" si="52"/>
        <v>Sin riesgo &lt;85%</v>
      </c>
      <c r="J1093" s="1" t="s">
        <v>13</v>
      </c>
      <c r="K1093" s="1" t="str">
        <f t="shared" si="53"/>
        <v>Sin riesgo</v>
      </c>
    </row>
    <row r="1094" spans="1:11">
      <c r="A1094" s="1" t="s">
        <v>378</v>
      </c>
      <c r="B1094" s="6" t="s">
        <v>12</v>
      </c>
      <c r="C1094" s="3">
        <v>9.94</v>
      </c>
      <c r="D1094" s="3">
        <v>9.5299999999999994</v>
      </c>
      <c r="E1094" s="3">
        <v>25</v>
      </c>
      <c r="F1094" s="4">
        <v>3.1828454951905401</v>
      </c>
      <c r="G1094" s="4">
        <v>-76.399109276569803</v>
      </c>
      <c r="H1094" s="9">
        <f t="shared" si="51"/>
        <v>0.39759999999999995</v>
      </c>
      <c r="I1094" s="4" t="str">
        <f t="shared" si="52"/>
        <v>Sin riesgo &lt;85%</v>
      </c>
      <c r="J1094" s="1" t="s">
        <v>13</v>
      </c>
      <c r="K1094" s="1" t="str">
        <f t="shared" si="53"/>
        <v>Sin riesgo</v>
      </c>
    </row>
    <row r="1095" spans="1:11">
      <c r="A1095" s="1" t="s">
        <v>378</v>
      </c>
      <c r="B1095" s="6" t="s">
        <v>14</v>
      </c>
      <c r="C1095" s="3">
        <v>9.9499999999999993</v>
      </c>
      <c r="D1095" s="3">
        <v>9.5399999999999991</v>
      </c>
      <c r="E1095" s="3">
        <v>25</v>
      </c>
      <c r="F1095" s="4">
        <v>3.1828454951905401</v>
      </c>
      <c r="G1095" s="4">
        <v>-76.399109276569803</v>
      </c>
      <c r="H1095" s="9">
        <f t="shared" si="51"/>
        <v>0.39799999999999996</v>
      </c>
      <c r="I1095" s="4" t="str">
        <f t="shared" si="52"/>
        <v>Sin riesgo &lt;85%</v>
      </c>
      <c r="J1095" s="1" t="s">
        <v>13</v>
      </c>
      <c r="K1095" s="1" t="str">
        <f t="shared" si="53"/>
        <v>Sin riesgo</v>
      </c>
    </row>
    <row r="1096" spans="1:11">
      <c r="A1096" s="1" t="s">
        <v>378</v>
      </c>
      <c r="B1096" s="6" t="s">
        <v>15</v>
      </c>
      <c r="C1096" s="3">
        <v>9.9499999999999993</v>
      </c>
      <c r="D1096" s="3">
        <v>9.5399999999999991</v>
      </c>
      <c r="E1096" s="3">
        <v>25</v>
      </c>
      <c r="F1096" s="4">
        <v>3.1828454951905401</v>
      </c>
      <c r="G1096" s="4">
        <v>-76.399109276569803</v>
      </c>
      <c r="H1096" s="9">
        <f t="shared" si="51"/>
        <v>0.39799999999999996</v>
      </c>
      <c r="I1096" s="4" t="str">
        <f t="shared" si="52"/>
        <v>Sin riesgo &lt;85%</v>
      </c>
      <c r="J1096" s="1" t="s">
        <v>13</v>
      </c>
      <c r="K1096" s="1" t="str">
        <f t="shared" si="53"/>
        <v>Sin riesgo</v>
      </c>
    </row>
    <row r="1097" spans="1:11">
      <c r="A1097" s="1" t="s">
        <v>379</v>
      </c>
      <c r="B1097" s="6" t="s">
        <v>12</v>
      </c>
      <c r="C1097" s="3">
        <v>5.9</v>
      </c>
      <c r="D1097" s="3">
        <v>7.13</v>
      </c>
      <c r="E1097" s="3">
        <v>31.5</v>
      </c>
      <c r="F1097" s="4">
        <v>5.00123443751081</v>
      </c>
      <c r="G1097" s="4">
        <v>-75.808757588203306</v>
      </c>
      <c r="H1097" s="9">
        <f t="shared" si="51"/>
        <v>0.22634920634920636</v>
      </c>
      <c r="I1097" s="4" t="str">
        <f t="shared" si="52"/>
        <v>Sin riesgo &lt;85%</v>
      </c>
      <c r="J1097" s="1" t="s">
        <v>13</v>
      </c>
      <c r="K1097" s="1" t="str">
        <f t="shared" si="53"/>
        <v>Sin riesgo</v>
      </c>
    </row>
    <row r="1098" spans="1:11">
      <c r="A1098" s="1" t="s">
        <v>379</v>
      </c>
      <c r="B1098" s="6" t="s">
        <v>14</v>
      </c>
      <c r="C1098" s="3">
        <v>5.92</v>
      </c>
      <c r="D1098" s="3">
        <v>7.15</v>
      </c>
      <c r="E1098" s="3">
        <v>31.5</v>
      </c>
      <c r="F1098" s="4">
        <v>5.00123443751081</v>
      </c>
      <c r="G1098" s="4">
        <v>-75.808757588203306</v>
      </c>
      <c r="H1098" s="9">
        <f t="shared" si="51"/>
        <v>0.22698412698412698</v>
      </c>
      <c r="I1098" s="4" t="str">
        <f t="shared" si="52"/>
        <v>Sin riesgo &lt;85%</v>
      </c>
      <c r="J1098" s="1" t="s">
        <v>13</v>
      </c>
      <c r="K1098" s="1" t="str">
        <f t="shared" si="53"/>
        <v>Sin riesgo</v>
      </c>
    </row>
    <row r="1099" spans="1:11">
      <c r="A1099" s="1" t="s">
        <v>379</v>
      </c>
      <c r="B1099" s="6" t="s">
        <v>15</v>
      </c>
      <c r="C1099" s="3">
        <v>5.92</v>
      </c>
      <c r="D1099" s="3">
        <v>7.15</v>
      </c>
      <c r="E1099" s="3">
        <v>31.5</v>
      </c>
      <c r="F1099" s="4">
        <v>5.00123443751081</v>
      </c>
      <c r="G1099" s="4">
        <v>-75.808757588203306</v>
      </c>
      <c r="H1099" s="9">
        <f t="shared" si="51"/>
        <v>0.22698412698412698</v>
      </c>
      <c r="I1099" s="4" t="str">
        <f t="shared" si="52"/>
        <v>Sin riesgo &lt;85%</v>
      </c>
      <c r="J1099" s="1" t="s">
        <v>13</v>
      </c>
      <c r="K1099" s="1" t="str">
        <f t="shared" si="53"/>
        <v>Sin riesgo</v>
      </c>
    </row>
    <row r="1100" spans="1:11">
      <c r="A1100" s="1" t="s">
        <v>380</v>
      </c>
      <c r="B1100" s="6" t="s">
        <v>12</v>
      </c>
      <c r="C1100" s="3">
        <v>4.09</v>
      </c>
      <c r="D1100" s="3">
        <v>3.34</v>
      </c>
      <c r="E1100" s="3">
        <v>26</v>
      </c>
      <c r="F1100" s="4">
        <v>0.82978399999999997</v>
      </c>
      <c r="G1100" s="4">
        <v>-77.618482</v>
      </c>
      <c r="H1100" s="9">
        <f t="shared" si="51"/>
        <v>0.15730769230769232</v>
      </c>
      <c r="I1100" s="4" t="str">
        <f t="shared" si="52"/>
        <v>Sin riesgo &lt;85%</v>
      </c>
      <c r="J1100" s="1" t="s">
        <v>13</v>
      </c>
      <c r="K1100" s="1" t="str">
        <f t="shared" si="53"/>
        <v>Sin riesgo</v>
      </c>
    </row>
    <row r="1101" spans="1:11">
      <c r="A1101" s="1" t="s">
        <v>380</v>
      </c>
      <c r="B1101" s="6" t="s">
        <v>14</v>
      </c>
      <c r="C1101" s="3">
        <v>4.09</v>
      </c>
      <c r="D1101" s="3">
        <v>3.34</v>
      </c>
      <c r="E1101" s="3">
        <v>26</v>
      </c>
      <c r="F1101" s="4">
        <v>0.82978399999999997</v>
      </c>
      <c r="G1101" s="4">
        <v>-77.618482</v>
      </c>
      <c r="H1101" s="9">
        <f t="shared" si="51"/>
        <v>0.15730769230769232</v>
      </c>
      <c r="I1101" s="4" t="str">
        <f t="shared" si="52"/>
        <v>Sin riesgo &lt;85%</v>
      </c>
      <c r="J1101" s="1" t="s">
        <v>13</v>
      </c>
      <c r="K1101" s="1" t="str">
        <f t="shared" si="53"/>
        <v>Sin riesgo</v>
      </c>
    </row>
    <row r="1102" spans="1:11">
      <c r="A1102" s="1" t="s">
        <v>380</v>
      </c>
      <c r="B1102" s="6" t="s">
        <v>15</v>
      </c>
      <c r="C1102" s="3">
        <v>4.09</v>
      </c>
      <c r="D1102" s="3">
        <v>3.34</v>
      </c>
      <c r="E1102" s="3">
        <v>26</v>
      </c>
      <c r="F1102" s="4">
        <v>0.82978399999999997</v>
      </c>
      <c r="G1102" s="4">
        <v>-77.618482</v>
      </c>
      <c r="H1102" s="9">
        <f t="shared" si="51"/>
        <v>0.15730769230769232</v>
      </c>
      <c r="I1102" s="4" t="str">
        <f t="shared" si="52"/>
        <v>Sin riesgo &lt;85%</v>
      </c>
      <c r="J1102" s="1" t="s">
        <v>13</v>
      </c>
      <c r="K1102" s="1" t="str">
        <f t="shared" si="53"/>
        <v>Sin riesgo</v>
      </c>
    </row>
    <row r="1103" spans="1:11">
      <c r="A1103" s="1" t="s">
        <v>381</v>
      </c>
      <c r="B1103" s="6" t="s">
        <v>12</v>
      </c>
      <c r="C1103" s="3">
        <v>8.41</v>
      </c>
      <c r="D1103" s="3">
        <v>8.4700000000000006</v>
      </c>
      <c r="E1103" s="3">
        <v>31.5</v>
      </c>
      <c r="F1103" s="4">
        <v>1.227514</v>
      </c>
      <c r="G1103" s="4">
        <v>-77.281734999999998</v>
      </c>
      <c r="H1103" s="9">
        <f t="shared" si="51"/>
        <v>0.2688888888888889</v>
      </c>
      <c r="I1103" s="4" t="str">
        <f t="shared" si="52"/>
        <v>Sin riesgo &lt;85%</v>
      </c>
      <c r="J1103" s="1" t="s">
        <v>13</v>
      </c>
      <c r="K1103" s="1" t="str">
        <f t="shared" si="53"/>
        <v>Sin riesgo</v>
      </c>
    </row>
    <row r="1104" spans="1:11">
      <c r="A1104" s="1" t="s">
        <v>381</v>
      </c>
      <c r="B1104" s="6" t="s">
        <v>14</v>
      </c>
      <c r="C1104" s="3">
        <v>8.41</v>
      </c>
      <c r="D1104" s="3">
        <v>8.4700000000000006</v>
      </c>
      <c r="E1104" s="3">
        <v>31.5</v>
      </c>
      <c r="F1104" s="4">
        <v>1.227514</v>
      </c>
      <c r="G1104" s="4">
        <v>-77.281734999999998</v>
      </c>
      <c r="H1104" s="9">
        <f t="shared" si="51"/>
        <v>0.2688888888888889</v>
      </c>
      <c r="I1104" s="4" t="str">
        <f t="shared" si="52"/>
        <v>Sin riesgo &lt;85%</v>
      </c>
      <c r="J1104" s="1" t="s">
        <v>13</v>
      </c>
      <c r="K1104" s="1" t="str">
        <f t="shared" si="53"/>
        <v>Sin riesgo</v>
      </c>
    </row>
    <row r="1105" spans="1:11">
      <c r="A1105" s="1" t="s">
        <v>381</v>
      </c>
      <c r="B1105" s="6" t="s">
        <v>15</v>
      </c>
      <c r="C1105" s="3">
        <v>8.41</v>
      </c>
      <c r="D1105" s="3">
        <v>8.4700000000000006</v>
      </c>
      <c r="E1105" s="3">
        <v>31.5</v>
      </c>
      <c r="F1105" s="4">
        <v>1.227514</v>
      </c>
      <c r="G1105" s="4">
        <v>-77.281734999999998</v>
      </c>
      <c r="H1105" s="9">
        <f t="shared" si="51"/>
        <v>0.2688888888888889</v>
      </c>
      <c r="I1105" s="4" t="str">
        <f t="shared" si="52"/>
        <v>Sin riesgo &lt;85%</v>
      </c>
      <c r="J1105" s="1" t="s">
        <v>13</v>
      </c>
      <c r="K1105" s="1" t="str">
        <f t="shared" si="53"/>
        <v>Sin riesgo</v>
      </c>
    </row>
    <row r="1106" spans="1:11">
      <c r="A1106" s="1" t="s">
        <v>382</v>
      </c>
      <c r="B1106" s="6" t="s">
        <v>12</v>
      </c>
      <c r="C1106" s="3">
        <v>8.24</v>
      </c>
      <c r="D1106" s="3">
        <v>8.41</v>
      </c>
      <c r="E1106" s="3">
        <v>30</v>
      </c>
      <c r="F1106" s="4">
        <v>2.432296</v>
      </c>
      <c r="G1106" s="4">
        <v>-76.621814999999998</v>
      </c>
      <c r="H1106" s="9">
        <f t="shared" si="51"/>
        <v>0.28033333333333332</v>
      </c>
      <c r="I1106" s="4" t="str">
        <f t="shared" si="52"/>
        <v>Sin riesgo &lt;85%</v>
      </c>
      <c r="J1106" s="1" t="s">
        <v>13</v>
      </c>
      <c r="K1106" s="1" t="str">
        <f t="shared" si="53"/>
        <v>Sin riesgo</v>
      </c>
    </row>
    <row r="1107" spans="1:11">
      <c r="A1107" s="1" t="s">
        <v>382</v>
      </c>
      <c r="B1107" s="6" t="s">
        <v>14</v>
      </c>
      <c r="C1107" s="3">
        <v>8.24</v>
      </c>
      <c r="D1107" s="3">
        <v>8.42</v>
      </c>
      <c r="E1107" s="3">
        <v>30</v>
      </c>
      <c r="F1107" s="4">
        <v>2.432296</v>
      </c>
      <c r="G1107" s="4">
        <v>-76.621814999999998</v>
      </c>
      <c r="H1107" s="9">
        <f t="shared" si="51"/>
        <v>0.28066666666666668</v>
      </c>
      <c r="I1107" s="4" t="str">
        <f t="shared" si="52"/>
        <v>Sin riesgo &lt;85%</v>
      </c>
      <c r="J1107" s="1" t="s">
        <v>13</v>
      </c>
      <c r="K1107" s="1" t="str">
        <f t="shared" si="53"/>
        <v>Sin riesgo</v>
      </c>
    </row>
    <row r="1108" spans="1:11">
      <c r="A1108" s="1" t="s">
        <v>382</v>
      </c>
      <c r="B1108" s="6" t="s">
        <v>15</v>
      </c>
      <c r="C1108" s="3">
        <v>8.24</v>
      </c>
      <c r="D1108" s="3">
        <v>8.42</v>
      </c>
      <c r="E1108" s="3">
        <v>30</v>
      </c>
      <c r="F1108" s="4">
        <v>2.432296</v>
      </c>
      <c r="G1108" s="4">
        <v>-76.621814999999998</v>
      </c>
      <c r="H1108" s="9">
        <f t="shared" si="51"/>
        <v>0.28066666666666668</v>
      </c>
      <c r="I1108" s="4" t="str">
        <f t="shared" si="52"/>
        <v>Sin riesgo &lt;85%</v>
      </c>
      <c r="J1108" s="1" t="s">
        <v>13</v>
      </c>
      <c r="K1108" s="1" t="str">
        <f t="shared" si="53"/>
        <v>Sin riesgo</v>
      </c>
    </row>
    <row r="1109" spans="1:11">
      <c r="A1109" s="1" t="s">
        <v>383</v>
      </c>
      <c r="B1109" s="6" t="s">
        <v>12</v>
      </c>
      <c r="C1109" s="3">
        <v>4.05</v>
      </c>
      <c r="D1109" s="3">
        <v>5.71</v>
      </c>
      <c r="E1109" s="3">
        <v>31.5</v>
      </c>
      <c r="F1109" s="4">
        <v>1.1739580000000001</v>
      </c>
      <c r="G1109" s="4">
        <v>-76.656177999999997</v>
      </c>
      <c r="H1109" s="9">
        <f t="shared" si="51"/>
        <v>0.18126984126984128</v>
      </c>
      <c r="I1109" s="4" t="str">
        <f t="shared" si="52"/>
        <v>Sin riesgo &lt;85%</v>
      </c>
      <c r="J1109" s="1" t="s">
        <v>13</v>
      </c>
      <c r="K1109" s="1" t="str">
        <f t="shared" si="53"/>
        <v>Sin riesgo</v>
      </c>
    </row>
    <row r="1110" spans="1:11">
      <c r="A1110" s="1" t="s">
        <v>383</v>
      </c>
      <c r="B1110" s="6" t="s">
        <v>14</v>
      </c>
      <c r="C1110" s="3">
        <v>4.05</v>
      </c>
      <c r="D1110" s="3">
        <v>5.71</v>
      </c>
      <c r="E1110" s="3">
        <v>31.5</v>
      </c>
      <c r="F1110" s="4">
        <v>1.1739580000000001</v>
      </c>
      <c r="G1110" s="4">
        <v>-76.656177999999997</v>
      </c>
      <c r="H1110" s="9">
        <f t="shared" si="51"/>
        <v>0.18126984126984128</v>
      </c>
      <c r="I1110" s="4" t="str">
        <f t="shared" si="52"/>
        <v>Sin riesgo &lt;85%</v>
      </c>
      <c r="J1110" s="1" t="s">
        <v>13</v>
      </c>
      <c r="K1110" s="1" t="str">
        <f t="shared" si="53"/>
        <v>Sin riesgo</v>
      </c>
    </row>
    <row r="1111" spans="1:11">
      <c r="A1111" s="1" t="s">
        <v>383</v>
      </c>
      <c r="B1111" s="6" t="s">
        <v>15</v>
      </c>
      <c r="C1111" s="3">
        <v>4.05</v>
      </c>
      <c r="D1111" s="3">
        <v>5.71</v>
      </c>
      <c r="E1111" s="3">
        <v>31.5</v>
      </c>
      <c r="F1111" s="4">
        <v>1.1739580000000001</v>
      </c>
      <c r="G1111" s="4">
        <v>-76.656177999999997</v>
      </c>
      <c r="H1111" s="9">
        <f t="shared" si="51"/>
        <v>0.18126984126984128</v>
      </c>
      <c r="I1111" s="4" t="str">
        <f t="shared" si="52"/>
        <v>Sin riesgo &lt;85%</v>
      </c>
      <c r="J1111" s="1" t="s">
        <v>13</v>
      </c>
      <c r="K1111" s="1" t="str">
        <f t="shared" si="53"/>
        <v>Sin riesgo</v>
      </c>
    </row>
    <row r="1112" spans="1:11">
      <c r="A1112" s="1" t="s">
        <v>384</v>
      </c>
      <c r="B1112" s="6" t="s">
        <v>12</v>
      </c>
      <c r="C1112" s="3">
        <v>4.32</v>
      </c>
      <c r="D1112" s="3">
        <v>4.97</v>
      </c>
      <c r="E1112" s="3">
        <v>25</v>
      </c>
      <c r="F1112" s="4">
        <v>1.66282</v>
      </c>
      <c r="G1112" s="4">
        <v>-77.333100000000002</v>
      </c>
      <c r="H1112" s="9">
        <f t="shared" si="51"/>
        <v>0.19879999999999998</v>
      </c>
      <c r="I1112" s="4" t="str">
        <f t="shared" si="52"/>
        <v>Sin riesgo &lt;85%</v>
      </c>
      <c r="J1112" s="1" t="s">
        <v>13</v>
      </c>
      <c r="K1112" s="1" t="str">
        <f t="shared" si="53"/>
        <v>Sin riesgo</v>
      </c>
    </row>
    <row r="1113" spans="1:11">
      <c r="A1113" s="1" t="s">
        <v>384</v>
      </c>
      <c r="B1113" s="6" t="s">
        <v>14</v>
      </c>
      <c r="C1113" s="3">
        <v>4.32</v>
      </c>
      <c r="D1113" s="3">
        <v>4.96</v>
      </c>
      <c r="E1113" s="3">
        <v>25</v>
      </c>
      <c r="F1113" s="4">
        <v>1.66282</v>
      </c>
      <c r="G1113" s="4">
        <v>-77.333100000000002</v>
      </c>
      <c r="H1113" s="9">
        <f t="shared" si="51"/>
        <v>0.19839999999999999</v>
      </c>
      <c r="I1113" s="4" t="str">
        <f t="shared" si="52"/>
        <v>Sin riesgo &lt;85%</v>
      </c>
      <c r="J1113" s="1" t="s">
        <v>13</v>
      </c>
      <c r="K1113" s="1" t="str">
        <f t="shared" si="53"/>
        <v>Sin riesgo</v>
      </c>
    </row>
    <row r="1114" spans="1:11">
      <c r="A1114" s="1" t="s">
        <v>384</v>
      </c>
      <c r="B1114" s="6" t="s">
        <v>15</v>
      </c>
      <c r="C1114" s="3">
        <v>4.32</v>
      </c>
      <c r="D1114" s="3">
        <v>4.96</v>
      </c>
      <c r="E1114" s="3">
        <v>25</v>
      </c>
      <c r="F1114" s="4">
        <v>1.66282</v>
      </c>
      <c r="G1114" s="4">
        <v>-77.333100000000002</v>
      </c>
      <c r="H1114" s="9">
        <f t="shared" si="51"/>
        <v>0.19839999999999999</v>
      </c>
      <c r="I1114" s="4" t="str">
        <f t="shared" si="52"/>
        <v>Sin riesgo &lt;85%</v>
      </c>
      <c r="J1114" s="1" t="s">
        <v>13</v>
      </c>
      <c r="K1114" s="1" t="str">
        <f t="shared" si="53"/>
        <v>Sin riesgo</v>
      </c>
    </row>
    <row r="1115" spans="1:11">
      <c r="A1115" s="1" t="s">
        <v>385</v>
      </c>
      <c r="B1115" s="6" t="s">
        <v>12</v>
      </c>
      <c r="C1115" s="3">
        <v>8.67</v>
      </c>
      <c r="D1115" s="3">
        <v>11.19</v>
      </c>
      <c r="E1115" s="3">
        <v>20</v>
      </c>
      <c r="F1115" s="4">
        <v>2.4995319999999999</v>
      </c>
      <c r="G1115" s="4">
        <v>-76.594190999999995</v>
      </c>
      <c r="H1115" s="9">
        <f t="shared" si="51"/>
        <v>0.5595</v>
      </c>
      <c r="I1115" s="4" t="str">
        <f t="shared" si="52"/>
        <v>Sin riesgo &lt;85%</v>
      </c>
      <c r="J1115" s="1" t="s">
        <v>13</v>
      </c>
      <c r="K1115" s="1" t="str">
        <f t="shared" si="53"/>
        <v>Sin riesgo</v>
      </c>
    </row>
    <row r="1116" spans="1:11">
      <c r="A1116" s="1" t="s">
        <v>385</v>
      </c>
      <c r="B1116" s="6" t="s">
        <v>14</v>
      </c>
      <c r="C1116" s="3">
        <v>8.68</v>
      </c>
      <c r="D1116" s="3">
        <v>11.2</v>
      </c>
      <c r="E1116" s="3">
        <v>20</v>
      </c>
      <c r="F1116" s="4">
        <v>2.4995319999999999</v>
      </c>
      <c r="G1116" s="4">
        <v>-76.594190999999995</v>
      </c>
      <c r="H1116" s="9">
        <f t="shared" si="51"/>
        <v>0.55999999999999994</v>
      </c>
      <c r="I1116" s="4" t="str">
        <f t="shared" si="52"/>
        <v>Sin riesgo &lt;85%</v>
      </c>
      <c r="J1116" s="1" t="s">
        <v>13</v>
      </c>
      <c r="K1116" s="1" t="str">
        <f t="shared" si="53"/>
        <v>Sin riesgo</v>
      </c>
    </row>
    <row r="1117" spans="1:11">
      <c r="A1117" s="1" t="s">
        <v>385</v>
      </c>
      <c r="B1117" s="6" t="s">
        <v>15</v>
      </c>
      <c r="C1117" s="3">
        <v>8.68</v>
      </c>
      <c r="D1117" s="3">
        <v>11.2</v>
      </c>
      <c r="E1117" s="3">
        <v>20</v>
      </c>
      <c r="F1117" s="4">
        <v>2.4995319999999999</v>
      </c>
      <c r="G1117" s="4">
        <v>-76.594190999999995</v>
      </c>
      <c r="H1117" s="9">
        <f t="shared" si="51"/>
        <v>0.55999999999999994</v>
      </c>
      <c r="I1117" s="4" t="str">
        <f t="shared" si="52"/>
        <v>Sin riesgo &lt;85%</v>
      </c>
      <c r="J1117" s="1" t="s">
        <v>13</v>
      </c>
      <c r="K1117" s="1" t="str">
        <f t="shared" si="53"/>
        <v>Sin riesgo</v>
      </c>
    </row>
    <row r="1118" spans="1:11">
      <c r="A1118" s="1" t="s">
        <v>386</v>
      </c>
      <c r="B1118" s="6" t="s">
        <v>12</v>
      </c>
      <c r="C1118" s="3">
        <v>11.24</v>
      </c>
      <c r="D1118" s="3">
        <v>10.199999999999999</v>
      </c>
      <c r="E1118" s="3">
        <v>20</v>
      </c>
      <c r="F1118" s="4">
        <v>2.4995319999999999</v>
      </c>
      <c r="G1118" s="4">
        <v>-76.594190999999995</v>
      </c>
      <c r="H1118" s="9">
        <f t="shared" si="51"/>
        <v>0.56200000000000006</v>
      </c>
      <c r="I1118" s="4" t="str">
        <f t="shared" si="52"/>
        <v>Sin riesgo &lt;85%</v>
      </c>
      <c r="J1118" s="1" t="s">
        <v>13</v>
      </c>
      <c r="K1118" s="1" t="str">
        <f t="shared" si="53"/>
        <v>Sin riesgo</v>
      </c>
    </row>
    <row r="1119" spans="1:11">
      <c r="A1119" s="1" t="s">
        <v>386</v>
      </c>
      <c r="B1119" s="6" t="s">
        <v>14</v>
      </c>
      <c r="C1119" s="3">
        <v>11.25</v>
      </c>
      <c r="D1119" s="3">
        <v>10.210000000000001</v>
      </c>
      <c r="E1119" s="3">
        <v>20</v>
      </c>
      <c r="F1119" s="4">
        <v>2.4995319999999999</v>
      </c>
      <c r="G1119" s="4">
        <v>-76.594190999999995</v>
      </c>
      <c r="H1119" s="9">
        <f t="shared" si="51"/>
        <v>0.5625</v>
      </c>
      <c r="I1119" s="4" t="str">
        <f t="shared" si="52"/>
        <v>Sin riesgo &lt;85%</v>
      </c>
      <c r="J1119" s="1" t="s">
        <v>13</v>
      </c>
      <c r="K1119" s="1" t="str">
        <f t="shared" si="53"/>
        <v>Sin riesgo</v>
      </c>
    </row>
    <row r="1120" spans="1:11">
      <c r="A1120" s="1" t="s">
        <v>386</v>
      </c>
      <c r="B1120" s="6" t="s">
        <v>15</v>
      </c>
      <c r="C1120" s="3">
        <v>11.25</v>
      </c>
      <c r="D1120" s="3">
        <v>10.210000000000001</v>
      </c>
      <c r="E1120" s="3">
        <v>20</v>
      </c>
      <c r="F1120" s="4">
        <v>2.4995319999999999</v>
      </c>
      <c r="G1120" s="4">
        <v>-76.594190999999995</v>
      </c>
      <c r="H1120" s="9">
        <f t="shared" si="51"/>
        <v>0.5625</v>
      </c>
      <c r="I1120" s="4" t="str">
        <f t="shared" si="52"/>
        <v>Sin riesgo &lt;85%</v>
      </c>
      <c r="J1120" s="1" t="s">
        <v>13</v>
      </c>
      <c r="K1120" s="1" t="str">
        <f t="shared" si="53"/>
        <v>Sin riesgo</v>
      </c>
    </row>
    <row r="1121" spans="1:11">
      <c r="A1121" s="1" t="s">
        <v>387</v>
      </c>
      <c r="B1121" s="6" t="s">
        <v>12</v>
      </c>
      <c r="C1121" s="3">
        <v>5.03</v>
      </c>
      <c r="D1121" s="3">
        <v>6.07</v>
      </c>
      <c r="E1121" s="3">
        <v>25</v>
      </c>
      <c r="F1121" s="4">
        <v>1.46034</v>
      </c>
      <c r="G1121" s="4">
        <v>-77.107039999999998</v>
      </c>
      <c r="H1121" s="9">
        <f t="shared" si="51"/>
        <v>0.24280000000000002</v>
      </c>
      <c r="I1121" s="4" t="str">
        <f t="shared" si="52"/>
        <v>Sin riesgo &lt;85%</v>
      </c>
      <c r="J1121" s="1" t="s">
        <v>13</v>
      </c>
      <c r="K1121" s="1" t="str">
        <f t="shared" si="53"/>
        <v>Sin riesgo</v>
      </c>
    </row>
    <row r="1122" spans="1:11">
      <c r="A1122" s="1" t="s">
        <v>387</v>
      </c>
      <c r="B1122" s="6" t="s">
        <v>14</v>
      </c>
      <c r="C1122" s="3">
        <v>5.03</v>
      </c>
      <c r="D1122" s="3">
        <v>6.07</v>
      </c>
      <c r="E1122" s="3">
        <v>25</v>
      </c>
      <c r="F1122" s="4">
        <v>1.46034</v>
      </c>
      <c r="G1122" s="4">
        <v>-77.107039999999998</v>
      </c>
      <c r="H1122" s="9">
        <f t="shared" si="51"/>
        <v>0.24280000000000002</v>
      </c>
      <c r="I1122" s="4" t="str">
        <f t="shared" si="52"/>
        <v>Sin riesgo &lt;85%</v>
      </c>
      <c r="J1122" s="1" t="s">
        <v>13</v>
      </c>
      <c r="K1122" s="1" t="str">
        <f t="shared" si="53"/>
        <v>Sin riesgo</v>
      </c>
    </row>
    <row r="1123" spans="1:11">
      <c r="A1123" s="1" t="s">
        <v>387</v>
      </c>
      <c r="B1123" s="6" t="s">
        <v>15</v>
      </c>
      <c r="C1123" s="3">
        <v>5.03</v>
      </c>
      <c r="D1123" s="3">
        <v>6.07</v>
      </c>
      <c r="E1123" s="3">
        <v>25</v>
      </c>
      <c r="F1123" s="4">
        <v>1.46034</v>
      </c>
      <c r="G1123" s="4">
        <v>-77.107039999999998</v>
      </c>
      <c r="H1123" s="9">
        <f t="shared" si="51"/>
        <v>0.24280000000000002</v>
      </c>
      <c r="I1123" s="4" t="str">
        <f t="shared" si="52"/>
        <v>Sin riesgo &lt;85%</v>
      </c>
      <c r="J1123" s="1" t="s">
        <v>13</v>
      </c>
      <c r="K1123" s="1" t="str">
        <f t="shared" si="53"/>
        <v>Sin riesgo</v>
      </c>
    </row>
    <row r="1124" spans="1:11">
      <c r="A1124" s="1" t="s">
        <v>388</v>
      </c>
      <c r="B1124" s="6" t="s">
        <v>12</v>
      </c>
      <c r="C1124" s="3">
        <v>4.7699999999999996</v>
      </c>
      <c r="D1124" s="3">
        <v>4.7699999999999996</v>
      </c>
      <c r="E1124" s="3">
        <v>25</v>
      </c>
      <c r="F1124" s="4">
        <v>2.997522</v>
      </c>
      <c r="G1124" s="4">
        <v>-76.492591000000004</v>
      </c>
      <c r="H1124" s="9">
        <f t="shared" si="51"/>
        <v>0.19079999999999997</v>
      </c>
      <c r="I1124" s="4" t="str">
        <f t="shared" si="52"/>
        <v>Sin riesgo &lt;85%</v>
      </c>
      <c r="J1124" s="1" t="s">
        <v>13</v>
      </c>
      <c r="K1124" s="1" t="str">
        <f t="shared" si="53"/>
        <v>Sin riesgo</v>
      </c>
    </row>
    <row r="1125" spans="1:11">
      <c r="A1125" s="1" t="s">
        <v>388</v>
      </c>
      <c r="B1125" s="6" t="s">
        <v>14</v>
      </c>
      <c r="C1125" s="3">
        <v>4.7699999999999996</v>
      </c>
      <c r="D1125" s="3">
        <v>4.78</v>
      </c>
      <c r="E1125" s="3">
        <v>25</v>
      </c>
      <c r="F1125" s="4">
        <v>2.997522</v>
      </c>
      <c r="G1125" s="4">
        <v>-76.492591000000004</v>
      </c>
      <c r="H1125" s="9">
        <f t="shared" si="51"/>
        <v>0.19120000000000001</v>
      </c>
      <c r="I1125" s="4" t="str">
        <f t="shared" si="52"/>
        <v>Sin riesgo &lt;85%</v>
      </c>
      <c r="J1125" s="1" t="s">
        <v>13</v>
      </c>
      <c r="K1125" s="1" t="str">
        <f t="shared" si="53"/>
        <v>Sin riesgo</v>
      </c>
    </row>
    <row r="1126" spans="1:11">
      <c r="A1126" s="1" t="s">
        <v>388</v>
      </c>
      <c r="B1126" s="6" t="s">
        <v>15</v>
      </c>
      <c r="C1126" s="3">
        <v>4.7699999999999996</v>
      </c>
      <c r="D1126" s="3">
        <v>4.78</v>
      </c>
      <c r="E1126" s="3">
        <v>25</v>
      </c>
      <c r="F1126" s="4">
        <v>2.997522</v>
      </c>
      <c r="G1126" s="4">
        <v>-76.492591000000004</v>
      </c>
      <c r="H1126" s="9">
        <f t="shared" si="51"/>
        <v>0.19120000000000001</v>
      </c>
      <c r="I1126" s="4" t="str">
        <f t="shared" si="52"/>
        <v>Sin riesgo &lt;85%</v>
      </c>
      <c r="J1126" s="1" t="s">
        <v>13</v>
      </c>
      <c r="K1126" s="1" t="str">
        <f t="shared" si="53"/>
        <v>Sin riesgo</v>
      </c>
    </row>
    <row r="1127" spans="1:11">
      <c r="A1127" s="1" t="s">
        <v>389</v>
      </c>
      <c r="B1127" s="6" t="s">
        <v>12</v>
      </c>
      <c r="C1127" s="3">
        <v>17.43</v>
      </c>
      <c r="D1127" s="3">
        <v>15.85</v>
      </c>
      <c r="E1127" s="3">
        <v>40</v>
      </c>
      <c r="F1127" s="4">
        <v>2.4606849999999998</v>
      </c>
      <c r="G1127" s="4">
        <v>-75.581809000000007</v>
      </c>
      <c r="H1127" s="9">
        <f t="shared" si="51"/>
        <v>0.43574999999999997</v>
      </c>
      <c r="I1127" s="4" t="str">
        <f t="shared" si="52"/>
        <v>Sin riesgo &lt;85%</v>
      </c>
      <c r="J1127" s="1" t="s">
        <v>13</v>
      </c>
      <c r="K1127" s="1" t="str">
        <f t="shared" si="53"/>
        <v>Sin riesgo</v>
      </c>
    </row>
    <row r="1128" spans="1:11">
      <c r="A1128" s="1" t="s">
        <v>389</v>
      </c>
      <c r="B1128" s="6" t="s">
        <v>14</v>
      </c>
      <c r="C1128" s="3">
        <v>17.46</v>
      </c>
      <c r="D1128" s="3">
        <v>15.87</v>
      </c>
      <c r="E1128" s="3">
        <v>40</v>
      </c>
      <c r="F1128" s="4">
        <v>2.4606849999999998</v>
      </c>
      <c r="G1128" s="4">
        <v>-75.581809000000007</v>
      </c>
      <c r="H1128" s="9">
        <f t="shared" si="51"/>
        <v>0.4365</v>
      </c>
      <c r="I1128" s="4" t="str">
        <f t="shared" si="52"/>
        <v>Sin riesgo &lt;85%</v>
      </c>
      <c r="J1128" s="1" t="s">
        <v>13</v>
      </c>
      <c r="K1128" s="1" t="str">
        <f t="shared" si="53"/>
        <v>Sin riesgo</v>
      </c>
    </row>
    <row r="1129" spans="1:11">
      <c r="A1129" s="1" t="s">
        <v>389</v>
      </c>
      <c r="B1129" s="6" t="s">
        <v>15</v>
      </c>
      <c r="C1129" s="3">
        <v>17.46</v>
      </c>
      <c r="D1129" s="3">
        <v>15.87</v>
      </c>
      <c r="E1129" s="3">
        <v>40</v>
      </c>
      <c r="F1129" s="4">
        <v>2.4606849999999998</v>
      </c>
      <c r="G1129" s="4">
        <v>-75.581809000000007</v>
      </c>
      <c r="H1129" s="9">
        <f t="shared" si="51"/>
        <v>0.4365</v>
      </c>
      <c r="I1129" s="4" t="str">
        <f t="shared" si="52"/>
        <v>Sin riesgo &lt;85%</v>
      </c>
      <c r="J1129" s="1" t="s">
        <v>13</v>
      </c>
      <c r="K1129" s="1" t="str">
        <f t="shared" si="53"/>
        <v>Sin riesgo</v>
      </c>
    </row>
    <row r="1130" spans="1:11">
      <c r="A1130" s="1" t="s">
        <v>390</v>
      </c>
      <c r="B1130" s="6" t="s">
        <v>12</v>
      </c>
      <c r="C1130" s="3">
        <v>0.54</v>
      </c>
      <c r="D1130" s="3">
        <v>0.79</v>
      </c>
      <c r="E1130" s="3">
        <v>25</v>
      </c>
      <c r="F1130" s="4">
        <v>1.7872588593824399</v>
      </c>
      <c r="G1130" s="4">
        <v>-78.789632937034199</v>
      </c>
      <c r="H1130" s="9">
        <f t="shared" si="51"/>
        <v>3.1600000000000003E-2</v>
      </c>
      <c r="I1130" s="4" t="str">
        <f t="shared" si="52"/>
        <v>Sin riesgo &lt;85%</v>
      </c>
      <c r="J1130" s="1" t="s">
        <v>13</v>
      </c>
      <c r="K1130" s="1" t="str">
        <f t="shared" si="53"/>
        <v>Sin riesgo</v>
      </c>
    </row>
    <row r="1131" spans="1:11">
      <c r="A1131" s="1" t="s">
        <v>390</v>
      </c>
      <c r="B1131" s="6" t="s">
        <v>14</v>
      </c>
      <c r="C1131" s="3">
        <v>0.54</v>
      </c>
      <c r="D1131" s="3">
        <v>0.79</v>
      </c>
      <c r="E1131" s="3">
        <v>25</v>
      </c>
      <c r="F1131" s="4">
        <v>1.7872588593824399</v>
      </c>
      <c r="G1131" s="4">
        <v>-78.789632937034199</v>
      </c>
      <c r="H1131" s="9">
        <f t="shared" si="51"/>
        <v>3.1600000000000003E-2</v>
      </c>
      <c r="I1131" s="4" t="str">
        <f t="shared" si="52"/>
        <v>Sin riesgo &lt;85%</v>
      </c>
      <c r="J1131" s="1" t="s">
        <v>13</v>
      </c>
      <c r="K1131" s="1" t="str">
        <f t="shared" si="53"/>
        <v>Sin riesgo</v>
      </c>
    </row>
    <row r="1132" spans="1:11">
      <c r="A1132" s="1" t="s">
        <v>390</v>
      </c>
      <c r="B1132" s="6" t="s">
        <v>15</v>
      </c>
      <c r="C1132" s="3">
        <v>0.54</v>
      </c>
      <c r="D1132" s="3">
        <v>0.79</v>
      </c>
      <c r="E1132" s="3">
        <v>25</v>
      </c>
      <c r="F1132" s="4">
        <v>1.7872588593824399</v>
      </c>
      <c r="G1132" s="4">
        <v>-78.789632937034199</v>
      </c>
      <c r="H1132" s="9">
        <f t="shared" si="51"/>
        <v>3.1600000000000003E-2</v>
      </c>
      <c r="I1132" s="4" t="str">
        <f t="shared" si="52"/>
        <v>Sin riesgo &lt;85%</v>
      </c>
      <c r="J1132" s="1" t="s">
        <v>13</v>
      </c>
      <c r="K1132" s="1" t="str">
        <f t="shared" si="53"/>
        <v>Sin riesgo</v>
      </c>
    </row>
    <row r="1133" spans="1:11">
      <c r="A1133" s="1" t="s">
        <v>391</v>
      </c>
      <c r="B1133" s="6" t="s">
        <v>12</v>
      </c>
      <c r="C1133" s="3">
        <v>8.61</v>
      </c>
      <c r="D1133" s="3">
        <v>8.24</v>
      </c>
      <c r="E1133" s="3">
        <v>40</v>
      </c>
      <c r="F1133" s="4">
        <v>7.9856829999999999</v>
      </c>
      <c r="G1133" s="4">
        <v>-75.202832999999998</v>
      </c>
      <c r="H1133" s="9">
        <f t="shared" si="51"/>
        <v>0.21525</v>
      </c>
      <c r="I1133" s="4" t="str">
        <f t="shared" si="52"/>
        <v>Sin riesgo &lt;85%</v>
      </c>
      <c r="J1133" s="1" t="s">
        <v>13</v>
      </c>
      <c r="K1133" s="1" t="str">
        <f t="shared" si="53"/>
        <v>Sin riesgo</v>
      </c>
    </row>
    <row r="1134" spans="1:11">
      <c r="A1134" s="1" t="s">
        <v>391</v>
      </c>
      <c r="B1134" s="6" t="s">
        <v>14</v>
      </c>
      <c r="C1134" s="3">
        <v>8.67</v>
      </c>
      <c r="D1134" s="3">
        <v>8.39</v>
      </c>
      <c r="E1134" s="3">
        <v>40</v>
      </c>
      <c r="F1134" s="4">
        <v>7.9856829999999999</v>
      </c>
      <c r="G1134" s="4">
        <v>-75.202832999999998</v>
      </c>
      <c r="H1134" s="9">
        <f t="shared" si="51"/>
        <v>0.21675</v>
      </c>
      <c r="I1134" s="4" t="str">
        <f t="shared" si="52"/>
        <v>Sin riesgo &lt;85%</v>
      </c>
      <c r="J1134" s="1" t="s">
        <v>13</v>
      </c>
      <c r="K1134" s="1" t="str">
        <f t="shared" si="53"/>
        <v>Sin riesgo</v>
      </c>
    </row>
    <row r="1135" spans="1:11">
      <c r="A1135" s="1" t="s">
        <v>391</v>
      </c>
      <c r="B1135" s="6" t="s">
        <v>15</v>
      </c>
      <c r="C1135" s="3">
        <v>8.67</v>
      </c>
      <c r="D1135" s="3">
        <v>8.39</v>
      </c>
      <c r="E1135" s="3">
        <v>40</v>
      </c>
      <c r="F1135" s="4">
        <v>7.9856829999999999</v>
      </c>
      <c r="G1135" s="4">
        <v>-75.202832999999998</v>
      </c>
      <c r="H1135" s="9">
        <f t="shared" si="51"/>
        <v>0.21675</v>
      </c>
      <c r="I1135" s="4" t="str">
        <f t="shared" si="52"/>
        <v>Sin riesgo &lt;85%</v>
      </c>
      <c r="J1135" s="1" t="s">
        <v>13</v>
      </c>
      <c r="K1135" s="1" t="str">
        <f t="shared" si="53"/>
        <v>Sin riesgo</v>
      </c>
    </row>
    <row r="1136" spans="1:11">
      <c r="A1136" s="1" t="s">
        <v>392</v>
      </c>
      <c r="B1136" s="6" t="s">
        <v>12</v>
      </c>
      <c r="C1136" s="3">
        <v>35.130000000000003</v>
      </c>
      <c r="D1136" s="3">
        <v>25.74</v>
      </c>
      <c r="E1136" s="3">
        <v>25</v>
      </c>
      <c r="F1136" s="4">
        <v>7.9357853397417797</v>
      </c>
      <c r="G1136" s="4">
        <v>-75.4954517139807</v>
      </c>
      <c r="H1136" s="9">
        <f t="shared" si="51"/>
        <v>1.4052</v>
      </c>
      <c r="I1136" s="4" t="str">
        <f t="shared" si="52"/>
        <v>Altamente critico &gt;100%</v>
      </c>
      <c r="J1136" s="1">
        <v>1.37</v>
      </c>
      <c r="K1136" s="1" t="str">
        <f t="shared" si="53"/>
        <v>Estado critico</v>
      </c>
    </row>
    <row r="1137" spans="1:11">
      <c r="A1137" s="1" t="s">
        <v>392</v>
      </c>
      <c r="B1137" s="6" t="s">
        <v>14</v>
      </c>
      <c r="C1137" s="3">
        <v>36.96</v>
      </c>
      <c r="D1137" s="3">
        <v>27.63</v>
      </c>
      <c r="E1137" s="3">
        <v>25</v>
      </c>
      <c r="F1137" s="4">
        <v>7.9357853397417797</v>
      </c>
      <c r="G1137" s="4">
        <v>-75.4954517139807</v>
      </c>
      <c r="H1137" s="9">
        <f t="shared" si="51"/>
        <v>1.4783999999999999</v>
      </c>
      <c r="I1137" s="4" t="str">
        <f t="shared" si="52"/>
        <v>Altamente critico &gt;100%</v>
      </c>
      <c r="J1137" s="1">
        <v>1.37</v>
      </c>
      <c r="K1137" s="1" t="str">
        <f t="shared" si="53"/>
        <v>Estado critico</v>
      </c>
    </row>
    <row r="1138" spans="1:11">
      <c r="A1138" s="1" t="s">
        <v>392</v>
      </c>
      <c r="B1138" s="6" t="s">
        <v>15</v>
      </c>
      <c r="C1138" s="3">
        <v>36.96</v>
      </c>
      <c r="D1138" s="3">
        <v>27.63</v>
      </c>
      <c r="E1138" s="3">
        <v>25</v>
      </c>
      <c r="F1138" s="4">
        <v>7.9357853397417797</v>
      </c>
      <c r="G1138" s="4">
        <v>-75.4954517139807</v>
      </c>
      <c r="H1138" s="9">
        <f t="shared" si="51"/>
        <v>1.4783999999999999</v>
      </c>
      <c r="I1138" s="4" t="str">
        <f t="shared" si="52"/>
        <v>Altamente critico &gt;100%</v>
      </c>
      <c r="J1138" s="1">
        <v>1.37</v>
      </c>
      <c r="K1138" s="1" t="str">
        <f t="shared" si="53"/>
        <v>Estado critico</v>
      </c>
    </row>
    <row r="1139" spans="1:11">
      <c r="A1139" s="1" t="s">
        <v>393</v>
      </c>
      <c r="B1139" s="6" t="s">
        <v>12</v>
      </c>
      <c r="C1139" s="3">
        <v>28.09</v>
      </c>
      <c r="D1139" s="3">
        <v>28.35</v>
      </c>
      <c r="E1139" s="3">
        <v>40</v>
      </c>
      <c r="F1139" s="4">
        <v>7.9357853397417797</v>
      </c>
      <c r="G1139" s="4">
        <v>-75.4954517139807</v>
      </c>
      <c r="H1139" s="9">
        <f t="shared" si="51"/>
        <v>0.70874999999999999</v>
      </c>
      <c r="I1139" s="4" t="str">
        <f t="shared" si="52"/>
        <v>Sin riesgo &lt;85%</v>
      </c>
      <c r="J1139" s="1" t="s">
        <v>13</v>
      </c>
      <c r="K1139" s="1" t="str">
        <f t="shared" si="53"/>
        <v>Sin riesgo</v>
      </c>
    </row>
    <row r="1140" spans="1:11">
      <c r="A1140" s="1" t="s">
        <v>393</v>
      </c>
      <c r="B1140" s="6" t="s">
        <v>14</v>
      </c>
      <c r="C1140" s="3">
        <v>30.25</v>
      </c>
      <c r="D1140" s="3">
        <v>31.29</v>
      </c>
      <c r="E1140" s="3">
        <v>40</v>
      </c>
      <c r="F1140" s="4">
        <v>7.9357853397417797</v>
      </c>
      <c r="G1140" s="4">
        <v>-75.4954517139807</v>
      </c>
      <c r="H1140" s="9">
        <f t="shared" si="51"/>
        <v>0.78225</v>
      </c>
      <c r="I1140" s="4" t="str">
        <f t="shared" si="52"/>
        <v>Sin riesgo &lt;85%</v>
      </c>
      <c r="J1140" s="1" t="s">
        <v>13</v>
      </c>
      <c r="K1140" s="1" t="str">
        <f t="shared" si="53"/>
        <v>Sin riesgo</v>
      </c>
    </row>
    <row r="1141" spans="1:11">
      <c r="A1141" s="1" t="s">
        <v>393</v>
      </c>
      <c r="B1141" s="6" t="s">
        <v>15</v>
      </c>
      <c r="C1141" s="3">
        <v>30.25</v>
      </c>
      <c r="D1141" s="3">
        <v>31.29</v>
      </c>
      <c r="E1141" s="3">
        <v>40</v>
      </c>
      <c r="F1141" s="4">
        <v>7.9357853397417797</v>
      </c>
      <c r="G1141" s="4">
        <v>-75.4954517139807</v>
      </c>
      <c r="H1141" s="9">
        <f t="shared" si="51"/>
        <v>0.78225</v>
      </c>
      <c r="I1141" s="4" t="str">
        <f t="shared" si="52"/>
        <v>Sin riesgo &lt;85%</v>
      </c>
      <c r="J1141" s="1" t="s">
        <v>13</v>
      </c>
      <c r="K1141" s="1" t="str">
        <f t="shared" si="53"/>
        <v>Sin riesgo</v>
      </c>
    </row>
    <row r="1142" spans="1:11">
      <c r="A1142" s="1" t="s">
        <v>394</v>
      </c>
      <c r="B1142" s="6" t="s">
        <v>12</v>
      </c>
      <c r="C1142" s="3">
        <v>23.57</v>
      </c>
      <c r="D1142" s="3">
        <v>22.93</v>
      </c>
      <c r="E1142" s="3">
        <v>31.5</v>
      </c>
      <c r="F1142" s="4">
        <v>7.9929058131462902</v>
      </c>
      <c r="G1142" s="4">
        <v>-75.593187268352594</v>
      </c>
      <c r="H1142" s="9">
        <f t="shared" si="51"/>
        <v>0.74825396825396828</v>
      </c>
      <c r="I1142" s="4" t="str">
        <f t="shared" si="52"/>
        <v>Sin riesgo &lt;85%</v>
      </c>
      <c r="J1142" s="1" t="s">
        <v>13</v>
      </c>
      <c r="K1142" s="1" t="str">
        <f t="shared" si="53"/>
        <v>Sin riesgo</v>
      </c>
    </row>
    <row r="1143" spans="1:11">
      <c r="A1143" s="1" t="s">
        <v>394</v>
      </c>
      <c r="B1143" s="6" t="s">
        <v>14</v>
      </c>
      <c r="C1143" s="3">
        <v>23.65</v>
      </c>
      <c r="D1143" s="3">
        <v>23.06</v>
      </c>
      <c r="E1143" s="3">
        <v>31.5</v>
      </c>
      <c r="F1143" s="4">
        <v>7.9929058131462902</v>
      </c>
      <c r="G1143" s="4">
        <v>-75.593187268352594</v>
      </c>
      <c r="H1143" s="9">
        <f t="shared" si="51"/>
        <v>0.75079365079365079</v>
      </c>
      <c r="I1143" s="4" t="str">
        <f t="shared" si="52"/>
        <v>Sin riesgo &lt;85%</v>
      </c>
      <c r="J1143" s="1" t="s">
        <v>13</v>
      </c>
      <c r="K1143" s="1" t="str">
        <f t="shared" si="53"/>
        <v>Sin riesgo</v>
      </c>
    </row>
    <row r="1144" spans="1:11">
      <c r="A1144" s="1" t="s">
        <v>394</v>
      </c>
      <c r="B1144" s="6" t="s">
        <v>15</v>
      </c>
      <c r="C1144" s="3">
        <v>23.65</v>
      </c>
      <c r="D1144" s="3">
        <v>23.06</v>
      </c>
      <c r="E1144" s="3">
        <v>31.5</v>
      </c>
      <c r="F1144" s="4">
        <v>7.9929058131462902</v>
      </c>
      <c r="G1144" s="4">
        <v>-75.593187268352594</v>
      </c>
      <c r="H1144" s="9">
        <f t="shared" si="51"/>
        <v>0.75079365079365079</v>
      </c>
      <c r="I1144" s="4" t="str">
        <f t="shared" si="52"/>
        <v>Sin riesgo &lt;85%</v>
      </c>
      <c r="J1144" s="1" t="s">
        <v>13</v>
      </c>
      <c r="K1144" s="1" t="str">
        <f t="shared" si="53"/>
        <v>Sin riesgo</v>
      </c>
    </row>
    <row r="1145" spans="1:11">
      <c r="A1145" s="1" t="s">
        <v>395</v>
      </c>
      <c r="B1145" s="6" t="s">
        <v>12</v>
      </c>
      <c r="C1145" s="3">
        <v>22.39</v>
      </c>
      <c r="D1145" s="3">
        <v>16.52</v>
      </c>
      <c r="E1145" s="3">
        <v>31.5</v>
      </c>
      <c r="F1145" s="4">
        <v>7.9933270433128296</v>
      </c>
      <c r="G1145" s="4">
        <v>-75.593969948288205</v>
      </c>
      <c r="H1145" s="9">
        <f t="shared" si="51"/>
        <v>0.71079365079365087</v>
      </c>
      <c r="I1145" s="4" t="str">
        <f t="shared" si="52"/>
        <v>Sin riesgo &lt;85%</v>
      </c>
      <c r="J1145" s="1" t="s">
        <v>13</v>
      </c>
      <c r="K1145" s="1" t="str">
        <f t="shared" si="53"/>
        <v>Sin riesgo</v>
      </c>
    </row>
    <row r="1146" spans="1:11">
      <c r="A1146" s="1" t="s">
        <v>395</v>
      </c>
      <c r="B1146" s="6" t="s">
        <v>14</v>
      </c>
      <c r="C1146" s="3">
        <v>22.93</v>
      </c>
      <c r="D1146" s="3">
        <v>17.21</v>
      </c>
      <c r="E1146" s="3">
        <v>31.5</v>
      </c>
      <c r="F1146" s="4">
        <v>7.9933270433128296</v>
      </c>
      <c r="G1146" s="4">
        <v>-75.593969948288205</v>
      </c>
      <c r="H1146" s="9">
        <f t="shared" si="51"/>
        <v>0.72793650793650788</v>
      </c>
      <c r="I1146" s="4" t="str">
        <f t="shared" si="52"/>
        <v>Sin riesgo &lt;85%</v>
      </c>
      <c r="J1146" s="1" t="s">
        <v>13</v>
      </c>
      <c r="K1146" s="1" t="str">
        <f t="shared" si="53"/>
        <v>Sin riesgo</v>
      </c>
    </row>
    <row r="1147" spans="1:11">
      <c r="A1147" s="1" t="s">
        <v>395</v>
      </c>
      <c r="B1147" s="6" t="s">
        <v>15</v>
      </c>
      <c r="C1147" s="3">
        <v>22.93</v>
      </c>
      <c r="D1147" s="3">
        <v>17.2</v>
      </c>
      <c r="E1147" s="3">
        <v>31.5</v>
      </c>
      <c r="F1147" s="4">
        <v>7.9933270433128296</v>
      </c>
      <c r="G1147" s="4">
        <v>-75.593969948288205</v>
      </c>
      <c r="H1147" s="9">
        <f t="shared" si="51"/>
        <v>0.72793650793650788</v>
      </c>
      <c r="I1147" s="4" t="str">
        <f t="shared" si="52"/>
        <v>Sin riesgo &lt;85%</v>
      </c>
      <c r="J1147" s="1" t="s">
        <v>13</v>
      </c>
      <c r="K1147" s="1" t="str">
        <f t="shared" si="53"/>
        <v>Sin riesgo</v>
      </c>
    </row>
    <row r="1148" spans="1:11">
      <c r="A1148" s="1" t="s">
        <v>396</v>
      </c>
      <c r="B1148" s="6" t="s">
        <v>12</v>
      </c>
      <c r="C1148" s="3">
        <v>4.18</v>
      </c>
      <c r="D1148" s="3">
        <v>3.27</v>
      </c>
      <c r="E1148" s="3">
        <v>40</v>
      </c>
      <c r="F1148" s="4">
        <v>8.4011499999999995</v>
      </c>
      <c r="G1148" s="4">
        <v>-75.571950000000001</v>
      </c>
      <c r="H1148" s="9">
        <f t="shared" si="51"/>
        <v>0.1045</v>
      </c>
      <c r="I1148" s="4" t="str">
        <f t="shared" si="52"/>
        <v>Sin riesgo &lt;85%</v>
      </c>
      <c r="J1148" s="1" t="s">
        <v>13</v>
      </c>
      <c r="K1148" s="1" t="str">
        <f t="shared" si="53"/>
        <v>Sin riesgo</v>
      </c>
    </row>
    <row r="1149" spans="1:11">
      <c r="A1149" s="1" t="s">
        <v>396</v>
      </c>
      <c r="B1149" s="6" t="s">
        <v>14</v>
      </c>
      <c r="C1149" s="3">
        <v>8.7899999999999991</v>
      </c>
      <c r="D1149" s="3">
        <v>8.5399999999999991</v>
      </c>
      <c r="E1149" s="3">
        <v>40</v>
      </c>
      <c r="F1149" s="4">
        <v>8.4011499999999995</v>
      </c>
      <c r="G1149" s="4">
        <v>-75.571950000000001</v>
      </c>
      <c r="H1149" s="9">
        <f t="shared" si="51"/>
        <v>0.21974999999999997</v>
      </c>
      <c r="I1149" s="4" t="str">
        <f t="shared" si="52"/>
        <v>Sin riesgo &lt;85%</v>
      </c>
      <c r="J1149" s="1" t="s">
        <v>13</v>
      </c>
      <c r="K1149" s="1" t="str">
        <f t="shared" si="53"/>
        <v>Sin riesgo</v>
      </c>
    </row>
    <row r="1150" spans="1:11">
      <c r="A1150" s="1" t="s">
        <v>396</v>
      </c>
      <c r="B1150" s="6" t="s">
        <v>15</v>
      </c>
      <c r="C1150" s="3">
        <v>8.7899999999999991</v>
      </c>
      <c r="D1150" s="3">
        <v>8.5399999999999991</v>
      </c>
      <c r="E1150" s="3">
        <v>40</v>
      </c>
      <c r="F1150" s="4">
        <v>8.4011499999999995</v>
      </c>
      <c r="G1150" s="4">
        <v>-75.571950000000001</v>
      </c>
      <c r="H1150" s="9">
        <f t="shared" si="51"/>
        <v>0.21974999999999997</v>
      </c>
      <c r="I1150" s="4" t="str">
        <f t="shared" si="52"/>
        <v>Sin riesgo &lt;85%</v>
      </c>
      <c r="J1150" s="1" t="s">
        <v>13</v>
      </c>
      <c r="K1150" s="1" t="str">
        <f t="shared" si="53"/>
        <v>Sin riesgo</v>
      </c>
    </row>
    <row r="1151" spans="1:11">
      <c r="A1151" s="1" t="s">
        <v>397</v>
      </c>
      <c r="B1151" s="6" t="s">
        <v>12</v>
      </c>
      <c r="C1151" s="3">
        <v>5.18</v>
      </c>
      <c r="D1151" s="3">
        <v>5.64</v>
      </c>
      <c r="E1151" s="3">
        <v>25</v>
      </c>
      <c r="F1151" s="4">
        <v>7.8746191314285401</v>
      </c>
      <c r="G1151" s="4">
        <v>-76.610158956682398</v>
      </c>
      <c r="H1151" s="9">
        <f t="shared" si="51"/>
        <v>0.22559999999999999</v>
      </c>
      <c r="I1151" s="4" t="str">
        <f t="shared" si="52"/>
        <v>Sin riesgo &lt;85%</v>
      </c>
      <c r="J1151" s="1" t="s">
        <v>13</v>
      </c>
      <c r="K1151" s="1" t="str">
        <f t="shared" si="53"/>
        <v>Sin riesgo</v>
      </c>
    </row>
    <row r="1152" spans="1:11">
      <c r="A1152" s="1" t="s">
        <v>397</v>
      </c>
      <c r="B1152" s="6" t="s">
        <v>14</v>
      </c>
      <c r="C1152" s="3">
        <v>5.21</v>
      </c>
      <c r="D1152" s="3">
        <v>5.68</v>
      </c>
      <c r="E1152" s="3">
        <v>25</v>
      </c>
      <c r="F1152" s="4">
        <v>7.8746191314285401</v>
      </c>
      <c r="G1152" s="4">
        <v>-76.610158956682398</v>
      </c>
      <c r="H1152" s="9">
        <f t="shared" si="51"/>
        <v>0.22719999999999999</v>
      </c>
      <c r="I1152" s="4" t="str">
        <f t="shared" si="52"/>
        <v>Sin riesgo &lt;85%</v>
      </c>
      <c r="J1152" s="1" t="s">
        <v>13</v>
      </c>
      <c r="K1152" s="1" t="str">
        <f t="shared" si="53"/>
        <v>Sin riesgo</v>
      </c>
    </row>
    <row r="1153" spans="1:11">
      <c r="A1153" s="1" t="s">
        <v>397</v>
      </c>
      <c r="B1153" s="6" t="s">
        <v>15</v>
      </c>
      <c r="C1153" s="3">
        <v>5.21</v>
      </c>
      <c r="D1153" s="3">
        <v>5.68</v>
      </c>
      <c r="E1153" s="3">
        <v>25</v>
      </c>
      <c r="F1153" s="4">
        <v>7.8746191314285401</v>
      </c>
      <c r="G1153" s="4">
        <v>-76.610158956682398</v>
      </c>
      <c r="H1153" s="9">
        <f t="shared" si="51"/>
        <v>0.22719999999999999</v>
      </c>
      <c r="I1153" s="4" t="str">
        <f t="shared" si="52"/>
        <v>Sin riesgo &lt;85%</v>
      </c>
      <c r="J1153" s="1" t="s">
        <v>13</v>
      </c>
      <c r="K1153" s="1" t="str">
        <f t="shared" si="53"/>
        <v>Sin riesgo</v>
      </c>
    </row>
    <row r="1154" spans="1:11">
      <c r="A1154" s="1" t="s">
        <v>398</v>
      </c>
      <c r="B1154" s="6" t="s">
        <v>12</v>
      </c>
      <c r="C1154" s="3">
        <v>13.35</v>
      </c>
      <c r="D1154" s="3">
        <v>16.34</v>
      </c>
      <c r="E1154" s="3">
        <v>31.5</v>
      </c>
      <c r="F1154" s="4">
        <v>9.2991180084047595</v>
      </c>
      <c r="G1154" s="4">
        <v>-75.378392698126603</v>
      </c>
      <c r="H1154" s="9">
        <f t="shared" si="51"/>
        <v>0.51873015873015871</v>
      </c>
      <c r="I1154" s="4" t="str">
        <f t="shared" si="52"/>
        <v>Sin riesgo &lt;85%</v>
      </c>
      <c r="J1154" s="1">
        <v>1.21</v>
      </c>
      <c r="K1154" s="1" t="str">
        <f t="shared" si="53"/>
        <v>Estado critico</v>
      </c>
    </row>
    <row r="1155" spans="1:11">
      <c r="A1155" s="1" t="s">
        <v>398</v>
      </c>
      <c r="B1155" s="6" t="s">
        <v>14</v>
      </c>
      <c r="C1155" s="3">
        <v>13.49</v>
      </c>
      <c r="D1155" s="3">
        <v>16.86</v>
      </c>
      <c r="E1155" s="3">
        <v>31.5</v>
      </c>
      <c r="F1155" s="4">
        <v>9.2991180084047595</v>
      </c>
      <c r="G1155" s="4">
        <v>-75.378392698126603</v>
      </c>
      <c r="H1155" s="9">
        <f t="shared" ref="H1155:H1218" si="54">IF(C1155&gt;D1155,C1155/E1155,D1155/E1155)</f>
        <v>0.53523809523809518</v>
      </c>
      <c r="I1155" s="4" t="str">
        <f t="shared" ref="I1155:I1218" si="55">IF(H1155&gt;100%,"Altamente critico &gt;100%",IF(H1155&gt;95%,"Critico &gt;95%",IF(H1155&gt;85%,"En riesgo &gt;85%","Sin riesgo &lt;85%")))</f>
        <v>Sin riesgo &lt;85%</v>
      </c>
      <c r="J1155" s="1">
        <v>1.21</v>
      </c>
      <c r="K1155" s="1" t="str">
        <f t="shared" ref="K1155:K1218" si="56">IF(J1155="&gt;5","Sin riesgo",IF(J1155&gt;1.5,"Estado de alerta","Estado critico"))</f>
        <v>Estado critico</v>
      </c>
    </row>
    <row r="1156" spans="1:11">
      <c r="A1156" s="1" t="s">
        <v>398</v>
      </c>
      <c r="B1156" s="6" t="s">
        <v>15</v>
      </c>
      <c r="C1156" s="3">
        <v>13.49</v>
      </c>
      <c r="D1156" s="3">
        <v>16.86</v>
      </c>
      <c r="E1156" s="3">
        <v>31.5</v>
      </c>
      <c r="F1156" s="4">
        <v>9.2991180084047595</v>
      </c>
      <c r="G1156" s="4">
        <v>-75.378392698126603</v>
      </c>
      <c r="H1156" s="9">
        <f t="shared" si="54"/>
        <v>0.53523809523809518</v>
      </c>
      <c r="I1156" s="4" t="str">
        <f t="shared" si="55"/>
        <v>Sin riesgo &lt;85%</v>
      </c>
      <c r="J1156" s="1">
        <v>1.21</v>
      </c>
      <c r="K1156" s="1" t="str">
        <f t="shared" si="56"/>
        <v>Estado critico</v>
      </c>
    </row>
    <row r="1157" spans="1:11">
      <c r="A1157" s="1" t="s">
        <v>399</v>
      </c>
      <c r="B1157" s="6" t="s">
        <v>12</v>
      </c>
      <c r="C1157" s="3">
        <v>6.32</v>
      </c>
      <c r="D1157" s="3">
        <v>8.31</v>
      </c>
      <c r="E1157" s="3">
        <v>40</v>
      </c>
      <c r="F1157" s="4">
        <v>8.8812193750968902</v>
      </c>
      <c r="G1157" s="4">
        <v>-75.788682971369894</v>
      </c>
      <c r="H1157" s="9">
        <f t="shared" si="54"/>
        <v>0.20775000000000002</v>
      </c>
      <c r="I1157" s="4" t="str">
        <f t="shared" si="55"/>
        <v>Sin riesgo &lt;85%</v>
      </c>
      <c r="J1157" s="1" t="s">
        <v>13</v>
      </c>
      <c r="K1157" s="1" t="str">
        <f t="shared" si="56"/>
        <v>Sin riesgo</v>
      </c>
    </row>
    <row r="1158" spans="1:11">
      <c r="A1158" s="1" t="s">
        <v>399</v>
      </c>
      <c r="B1158" s="6" t="s">
        <v>14</v>
      </c>
      <c r="C1158" s="3">
        <v>6.63</v>
      </c>
      <c r="D1158" s="3">
        <v>9.11</v>
      </c>
      <c r="E1158" s="3">
        <v>40</v>
      </c>
      <c r="F1158" s="4">
        <v>8.8812193750968902</v>
      </c>
      <c r="G1158" s="4">
        <v>-75.788682971369894</v>
      </c>
      <c r="H1158" s="9">
        <f t="shared" si="54"/>
        <v>0.22774999999999998</v>
      </c>
      <c r="I1158" s="4" t="str">
        <f t="shared" si="55"/>
        <v>Sin riesgo &lt;85%</v>
      </c>
      <c r="J1158" s="1" t="s">
        <v>13</v>
      </c>
      <c r="K1158" s="1" t="str">
        <f t="shared" si="56"/>
        <v>Sin riesgo</v>
      </c>
    </row>
    <row r="1159" spans="1:11">
      <c r="A1159" s="1" t="s">
        <v>399</v>
      </c>
      <c r="B1159" s="6" t="s">
        <v>15</v>
      </c>
      <c r="C1159" s="3">
        <v>6.63</v>
      </c>
      <c r="D1159" s="3">
        <v>9.11</v>
      </c>
      <c r="E1159" s="3">
        <v>40</v>
      </c>
      <c r="F1159" s="4">
        <v>8.8812193750968902</v>
      </c>
      <c r="G1159" s="4">
        <v>-75.788682971369894</v>
      </c>
      <c r="H1159" s="9">
        <f t="shared" si="54"/>
        <v>0.22774999999999998</v>
      </c>
      <c r="I1159" s="4" t="str">
        <f t="shared" si="55"/>
        <v>Sin riesgo &lt;85%</v>
      </c>
      <c r="J1159" s="1" t="s">
        <v>13</v>
      </c>
      <c r="K1159" s="1" t="str">
        <f t="shared" si="56"/>
        <v>Sin riesgo</v>
      </c>
    </row>
    <row r="1160" spans="1:11">
      <c r="A1160" s="1" t="s">
        <v>400</v>
      </c>
      <c r="B1160" s="6" t="s">
        <v>12</v>
      </c>
      <c r="C1160" s="3">
        <v>5.45</v>
      </c>
      <c r="D1160" s="3">
        <v>12.82</v>
      </c>
      <c r="E1160" s="3">
        <v>20</v>
      </c>
      <c r="F1160" s="4">
        <v>7.9357853397417797</v>
      </c>
      <c r="G1160" s="4">
        <v>-75.4954517139807</v>
      </c>
      <c r="H1160" s="9">
        <f t="shared" si="54"/>
        <v>0.64100000000000001</v>
      </c>
      <c r="I1160" s="4" t="str">
        <f t="shared" si="55"/>
        <v>Sin riesgo &lt;85%</v>
      </c>
      <c r="J1160" s="1" t="s">
        <v>13</v>
      </c>
      <c r="K1160" s="1" t="str">
        <f t="shared" si="56"/>
        <v>Sin riesgo</v>
      </c>
    </row>
    <row r="1161" spans="1:11">
      <c r="A1161" s="1" t="s">
        <v>400</v>
      </c>
      <c r="B1161" s="6" t="s">
        <v>14</v>
      </c>
      <c r="C1161" s="3">
        <v>5.46</v>
      </c>
      <c r="D1161" s="3">
        <v>13</v>
      </c>
      <c r="E1161" s="3">
        <v>20</v>
      </c>
      <c r="F1161" s="4">
        <v>7.9357853397417797</v>
      </c>
      <c r="G1161" s="4">
        <v>-75.4954517139807</v>
      </c>
      <c r="H1161" s="9">
        <f t="shared" si="54"/>
        <v>0.65</v>
      </c>
      <c r="I1161" s="4" t="str">
        <f t="shared" si="55"/>
        <v>Sin riesgo &lt;85%</v>
      </c>
      <c r="J1161" s="1" t="s">
        <v>13</v>
      </c>
      <c r="K1161" s="1" t="str">
        <f t="shared" si="56"/>
        <v>Sin riesgo</v>
      </c>
    </row>
    <row r="1162" spans="1:11">
      <c r="A1162" s="1" t="s">
        <v>400</v>
      </c>
      <c r="B1162" s="6" t="s">
        <v>15</v>
      </c>
      <c r="C1162" s="3">
        <v>5.46</v>
      </c>
      <c r="D1162" s="3">
        <v>13</v>
      </c>
      <c r="E1162" s="3">
        <v>20</v>
      </c>
      <c r="F1162" s="4">
        <v>7.9357853397417797</v>
      </c>
      <c r="G1162" s="4">
        <v>-75.4954517139807</v>
      </c>
      <c r="H1162" s="9">
        <f t="shared" si="54"/>
        <v>0.65</v>
      </c>
      <c r="I1162" s="4" t="str">
        <f t="shared" si="55"/>
        <v>Sin riesgo &lt;85%</v>
      </c>
      <c r="J1162" s="1" t="s">
        <v>13</v>
      </c>
      <c r="K1162" s="1" t="str">
        <f t="shared" si="56"/>
        <v>Sin riesgo</v>
      </c>
    </row>
    <row r="1163" spans="1:11">
      <c r="A1163" s="1" t="s">
        <v>401</v>
      </c>
      <c r="B1163" s="6" t="s">
        <v>12</v>
      </c>
      <c r="C1163" s="3">
        <v>39.950000000000003</v>
      </c>
      <c r="D1163" s="3">
        <v>31.28</v>
      </c>
      <c r="E1163" s="3">
        <v>31.5</v>
      </c>
      <c r="F1163" s="4">
        <v>9.1235040000000005</v>
      </c>
      <c r="G1163" s="4">
        <v>-75.422399999999996</v>
      </c>
      <c r="H1163" s="9">
        <f t="shared" si="54"/>
        <v>1.2682539682539684</v>
      </c>
      <c r="I1163" s="4" t="str">
        <f t="shared" si="55"/>
        <v>Altamente critico &gt;100%</v>
      </c>
      <c r="J1163" s="1">
        <v>0.99</v>
      </c>
      <c r="K1163" s="1" t="str">
        <f t="shared" si="56"/>
        <v>Estado critico</v>
      </c>
    </row>
    <row r="1164" spans="1:11">
      <c r="A1164" s="1" t="s">
        <v>401</v>
      </c>
      <c r="B1164" s="6" t="s">
        <v>14</v>
      </c>
      <c r="C1164" s="3">
        <v>43.02</v>
      </c>
      <c r="D1164" s="3">
        <v>34.229999999999997</v>
      </c>
      <c r="E1164" s="3">
        <v>31.5</v>
      </c>
      <c r="F1164" s="4">
        <v>9.1235040000000005</v>
      </c>
      <c r="G1164" s="4">
        <v>-75.422399999999996</v>
      </c>
      <c r="H1164" s="9">
        <f t="shared" si="54"/>
        <v>1.3657142857142859</v>
      </c>
      <c r="I1164" s="4" t="str">
        <f t="shared" si="55"/>
        <v>Altamente critico &gt;100%</v>
      </c>
      <c r="J1164" s="1">
        <v>0.99</v>
      </c>
      <c r="K1164" s="1" t="str">
        <f t="shared" si="56"/>
        <v>Estado critico</v>
      </c>
    </row>
    <row r="1165" spans="1:11">
      <c r="A1165" s="1" t="s">
        <v>401</v>
      </c>
      <c r="B1165" s="6" t="s">
        <v>15</v>
      </c>
      <c r="C1165" s="3">
        <v>43.01</v>
      </c>
      <c r="D1165" s="3">
        <v>34.229999999999997</v>
      </c>
      <c r="E1165" s="3">
        <v>31.5</v>
      </c>
      <c r="F1165" s="4">
        <v>9.1235040000000005</v>
      </c>
      <c r="G1165" s="4">
        <v>-75.422399999999996</v>
      </c>
      <c r="H1165" s="9">
        <f t="shared" si="54"/>
        <v>1.3653968253968254</v>
      </c>
      <c r="I1165" s="4" t="str">
        <f t="shared" si="55"/>
        <v>Altamente critico &gt;100%</v>
      </c>
      <c r="J1165" s="1">
        <v>0.99</v>
      </c>
      <c r="K1165" s="1" t="str">
        <f t="shared" si="56"/>
        <v>Estado critico</v>
      </c>
    </row>
    <row r="1166" spans="1:11">
      <c r="A1166" s="1" t="s">
        <v>402</v>
      </c>
      <c r="B1166" s="6" t="s">
        <v>12</v>
      </c>
      <c r="C1166" s="3">
        <v>20.5</v>
      </c>
      <c r="D1166" s="3">
        <v>18.329999999999998</v>
      </c>
      <c r="E1166" s="3">
        <v>40</v>
      </c>
      <c r="F1166" s="4">
        <v>9.1235040000000005</v>
      </c>
      <c r="G1166" s="4">
        <v>-75.422399999999996</v>
      </c>
      <c r="H1166" s="9">
        <f t="shared" si="54"/>
        <v>0.51249999999999996</v>
      </c>
      <c r="I1166" s="4" t="str">
        <f t="shared" si="55"/>
        <v>Sin riesgo &lt;85%</v>
      </c>
      <c r="J1166" s="1">
        <v>1.03</v>
      </c>
      <c r="K1166" s="1" t="str">
        <f t="shared" si="56"/>
        <v>Estado critico</v>
      </c>
    </row>
    <row r="1167" spans="1:11">
      <c r="A1167" s="1" t="s">
        <v>402</v>
      </c>
      <c r="B1167" s="6" t="s">
        <v>14</v>
      </c>
      <c r="C1167" s="3">
        <v>20.94</v>
      </c>
      <c r="D1167" s="3">
        <v>18.71</v>
      </c>
      <c r="E1167" s="3">
        <v>40</v>
      </c>
      <c r="F1167" s="4">
        <v>9.1235040000000005</v>
      </c>
      <c r="G1167" s="4">
        <v>-75.422399999999996</v>
      </c>
      <c r="H1167" s="9">
        <f t="shared" si="54"/>
        <v>0.52350000000000008</v>
      </c>
      <c r="I1167" s="4" t="str">
        <f t="shared" si="55"/>
        <v>Sin riesgo &lt;85%</v>
      </c>
      <c r="J1167" s="1">
        <v>1.03</v>
      </c>
      <c r="K1167" s="1" t="str">
        <f t="shared" si="56"/>
        <v>Estado critico</v>
      </c>
    </row>
    <row r="1168" spans="1:11">
      <c r="A1168" s="1" t="s">
        <v>402</v>
      </c>
      <c r="B1168" s="6" t="s">
        <v>15</v>
      </c>
      <c r="C1168" s="3">
        <v>20.94</v>
      </c>
      <c r="D1168" s="3">
        <v>18.71</v>
      </c>
      <c r="E1168" s="3">
        <v>40</v>
      </c>
      <c r="F1168" s="4">
        <v>9.1235040000000005</v>
      </c>
      <c r="G1168" s="4">
        <v>-75.422399999999996</v>
      </c>
      <c r="H1168" s="9">
        <f t="shared" si="54"/>
        <v>0.52350000000000008</v>
      </c>
      <c r="I1168" s="4" t="str">
        <f t="shared" si="55"/>
        <v>Sin riesgo &lt;85%</v>
      </c>
      <c r="J1168" s="1">
        <v>1.03</v>
      </c>
      <c r="K1168" s="1" t="str">
        <f t="shared" si="56"/>
        <v>Estado critico</v>
      </c>
    </row>
    <row r="1169" spans="1:11">
      <c r="A1169" s="1" t="s">
        <v>403</v>
      </c>
      <c r="B1169" s="6" t="s">
        <v>12</v>
      </c>
      <c r="C1169" s="3">
        <v>28.67</v>
      </c>
      <c r="D1169" s="3">
        <v>25.18</v>
      </c>
      <c r="E1169" s="3">
        <v>40</v>
      </c>
      <c r="F1169" s="4">
        <v>9.1235040000000005</v>
      </c>
      <c r="G1169" s="4">
        <v>-75.422399999999996</v>
      </c>
      <c r="H1169" s="9">
        <f t="shared" si="54"/>
        <v>0.71675</v>
      </c>
      <c r="I1169" s="4" t="str">
        <f t="shared" si="55"/>
        <v>Sin riesgo &lt;85%</v>
      </c>
      <c r="J1169" s="1">
        <v>1.1100000000000001</v>
      </c>
      <c r="K1169" s="1" t="str">
        <f t="shared" si="56"/>
        <v>Estado critico</v>
      </c>
    </row>
    <row r="1170" spans="1:11">
      <c r="A1170" s="1" t="s">
        <v>403</v>
      </c>
      <c r="B1170" s="6" t="s">
        <v>14</v>
      </c>
      <c r="C1170" s="3">
        <v>31.44</v>
      </c>
      <c r="D1170" s="3">
        <v>27.22</v>
      </c>
      <c r="E1170" s="3">
        <v>40</v>
      </c>
      <c r="F1170" s="4">
        <v>9.1235040000000005</v>
      </c>
      <c r="G1170" s="4">
        <v>-75.422399999999996</v>
      </c>
      <c r="H1170" s="9">
        <f t="shared" si="54"/>
        <v>0.78600000000000003</v>
      </c>
      <c r="I1170" s="4" t="str">
        <f t="shared" si="55"/>
        <v>Sin riesgo &lt;85%</v>
      </c>
      <c r="J1170" s="1">
        <v>1.1100000000000001</v>
      </c>
      <c r="K1170" s="1" t="str">
        <f t="shared" si="56"/>
        <v>Estado critico</v>
      </c>
    </row>
    <row r="1171" spans="1:11">
      <c r="A1171" s="1" t="s">
        <v>403</v>
      </c>
      <c r="B1171" s="6" t="s">
        <v>15</v>
      </c>
      <c r="C1171" s="3">
        <v>31.44</v>
      </c>
      <c r="D1171" s="3">
        <v>27.22</v>
      </c>
      <c r="E1171" s="3">
        <v>40</v>
      </c>
      <c r="F1171" s="4">
        <v>9.1235040000000005</v>
      </c>
      <c r="G1171" s="4">
        <v>-75.422399999999996</v>
      </c>
      <c r="H1171" s="9">
        <f t="shared" si="54"/>
        <v>0.78600000000000003</v>
      </c>
      <c r="I1171" s="4" t="str">
        <f t="shared" si="55"/>
        <v>Sin riesgo &lt;85%</v>
      </c>
      <c r="J1171" s="1">
        <v>1.1100000000000001</v>
      </c>
      <c r="K1171" s="1" t="str">
        <f t="shared" si="56"/>
        <v>Estado critico</v>
      </c>
    </row>
    <row r="1172" spans="1:11">
      <c r="A1172" s="1" t="s">
        <v>404</v>
      </c>
      <c r="B1172" s="6" t="s">
        <v>12</v>
      </c>
      <c r="C1172" s="3">
        <v>33.46</v>
      </c>
      <c r="D1172" s="3">
        <v>28.15</v>
      </c>
      <c r="E1172" s="3">
        <v>31.5</v>
      </c>
      <c r="F1172" s="4">
        <v>9.1235040000000005</v>
      </c>
      <c r="G1172" s="4">
        <v>-75.422399999999996</v>
      </c>
      <c r="H1172" s="9">
        <f t="shared" si="54"/>
        <v>1.0622222222222222</v>
      </c>
      <c r="I1172" s="4" t="str">
        <f t="shared" si="55"/>
        <v>Altamente critico &gt;100%</v>
      </c>
      <c r="J1172" s="1">
        <v>0.99</v>
      </c>
      <c r="K1172" s="1" t="str">
        <f t="shared" si="56"/>
        <v>Estado critico</v>
      </c>
    </row>
    <row r="1173" spans="1:11">
      <c r="A1173" s="1" t="s">
        <v>404</v>
      </c>
      <c r="B1173" s="6" t="s">
        <v>14</v>
      </c>
      <c r="C1173" s="3">
        <v>35.69</v>
      </c>
      <c r="D1173" s="3">
        <v>30.64</v>
      </c>
      <c r="E1173" s="3">
        <v>31.5</v>
      </c>
      <c r="F1173" s="4">
        <v>9.1235040000000005</v>
      </c>
      <c r="G1173" s="4">
        <v>-75.422399999999996</v>
      </c>
      <c r="H1173" s="9">
        <f t="shared" si="54"/>
        <v>1.133015873015873</v>
      </c>
      <c r="I1173" s="4" t="str">
        <f t="shared" si="55"/>
        <v>Altamente critico &gt;100%</v>
      </c>
      <c r="J1173" s="1">
        <v>0.99</v>
      </c>
      <c r="K1173" s="1" t="str">
        <f t="shared" si="56"/>
        <v>Estado critico</v>
      </c>
    </row>
    <row r="1174" spans="1:11">
      <c r="A1174" s="1" t="s">
        <v>404</v>
      </c>
      <c r="B1174" s="6" t="s">
        <v>15</v>
      </c>
      <c r="C1174" s="3">
        <v>35.69</v>
      </c>
      <c r="D1174" s="3">
        <v>30.64</v>
      </c>
      <c r="E1174" s="3">
        <v>31.5</v>
      </c>
      <c r="F1174" s="4">
        <v>9.1235040000000005</v>
      </c>
      <c r="G1174" s="4">
        <v>-75.422399999999996</v>
      </c>
      <c r="H1174" s="9">
        <f t="shared" si="54"/>
        <v>1.133015873015873</v>
      </c>
      <c r="I1174" s="4" t="str">
        <f t="shared" si="55"/>
        <v>Altamente critico &gt;100%</v>
      </c>
      <c r="J1174" s="1">
        <v>0.99</v>
      </c>
      <c r="K1174" s="1" t="str">
        <f t="shared" si="56"/>
        <v>Estado critico</v>
      </c>
    </row>
    <row r="1175" spans="1:11">
      <c r="A1175" s="1" t="s">
        <v>405</v>
      </c>
      <c r="B1175" s="6" t="s">
        <v>12</v>
      </c>
      <c r="C1175" s="3">
        <v>6.34</v>
      </c>
      <c r="D1175" s="3">
        <v>9.3699999999999992</v>
      </c>
      <c r="E1175" s="3">
        <v>40</v>
      </c>
      <c r="F1175" s="4">
        <v>9.3923400000000008</v>
      </c>
      <c r="G1175" s="4">
        <v>-75.690603999999993</v>
      </c>
      <c r="H1175" s="9">
        <f t="shared" si="54"/>
        <v>0.23424999999999999</v>
      </c>
      <c r="I1175" s="4" t="str">
        <f t="shared" si="55"/>
        <v>Sin riesgo &lt;85%</v>
      </c>
      <c r="J1175" s="1" t="s">
        <v>13</v>
      </c>
      <c r="K1175" s="1" t="str">
        <f t="shared" si="56"/>
        <v>Sin riesgo</v>
      </c>
    </row>
    <row r="1176" spans="1:11">
      <c r="A1176" s="1" t="s">
        <v>405</v>
      </c>
      <c r="B1176" s="6" t="s">
        <v>14</v>
      </c>
      <c r="C1176" s="3">
        <v>7.54</v>
      </c>
      <c r="D1176" s="3">
        <v>11.17</v>
      </c>
      <c r="E1176" s="3">
        <v>40</v>
      </c>
      <c r="F1176" s="4">
        <v>9.3923400000000008</v>
      </c>
      <c r="G1176" s="4">
        <v>-75.690603999999993</v>
      </c>
      <c r="H1176" s="9">
        <f t="shared" si="54"/>
        <v>0.27925</v>
      </c>
      <c r="I1176" s="4" t="str">
        <f t="shared" si="55"/>
        <v>Sin riesgo &lt;85%</v>
      </c>
      <c r="J1176" s="1" t="s">
        <v>13</v>
      </c>
      <c r="K1176" s="1" t="str">
        <f t="shared" si="56"/>
        <v>Sin riesgo</v>
      </c>
    </row>
    <row r="1177" spans="1:11">
      <c r="A1177" s="1" t="s">
        <v>405</v>
      </c>
      <c r="B1177" s="6" t="s">
        <v>15</v>
      </c>
      <c r="C1177" s="3">
        <v>7.54</v>
      </c>
      <c r="D1177" s="3">
        <v>11.16</v>
      </c>
      <c r="E1177" s="3">
        <v>40</v>
      </c>
      <c r="F1177" s="4">
        <v>9.3923400000000008</v>
      </c>
      <c r="G1177" s="4">
        <v>-75.690603999999993</v>
      </c>
      <c r="H1177" s="9">
        <f t="shared" si="54"/>
        <v>0.27900000000000003</v>
      </c>
      <c r="I1177" s="4" t="str">
        <f t="shared" si="55"/>
        <v>Sin riesgo &lt;85%</v>
      </c>
      <c r="J1177" s="1" t="s">
        <v>13</v>
      </c>
      <c r="K1177" s="1" t="str">
        <f t="shared" si="56"/>
        <v>Sin riesgo</v>
      </c>
    </row>
    <row r="1178" spans="1:11">
      <c r="A1178" s="1" t="s">
        <v>406</v>
      </c>
      <c r="B1178" s="6" t="s">
        <v>12</v>
      </c>
      <c r="C1178" s="3">
        <v>2.2599999999999998</v>
      </c>
      <c r="D1178" s="3">
        <v>1.97</v>
      </c>
      <c r="E1178" s="3">
        <v>31.5</v>
      </c>
      <c r="F1178" s="4">
        <v>8.4842812576420794</v>
      </c>
      <c r="G1178" s="4">
        <v>-74.874166980860394</v>
      </c>
      <c r="H1178" s="9">
        <f t="shared" si="54"/>
        <v>7.1746031746031738E-2</v>
      </c>
      <c r="I1178" s="4" t="str">
        <f t="shared" si="55"/>
        <v>Sin riesgo &lt;85%</v>
      </c>
      <c r="J1178" s="1" t="s">
        <v>13</v>
      </c>
      <c r="K1178" s="1" t="str">
        <f t="shared" si="56"/>
        <v>Sin riesgo</v>
      </c>
    </row>
    <row r="1179" spans="1:11">
      <c r="A1179" s="1" t="s">
        <v>406</v>
      </c>
      <c r="B1179" s="6" t="s">
        <v>14</v>
      </c>
      <c r="C1179" s="3">
        <v>4.16</v>
      </c>
      <c r="D1179" s="3">
        <v>4.79</v>
      </c>
      <c r="E1179" s="3">
        <v>31.5</v>
      </c>
      <c r="F1179" s="4">
        <v>8.4842812576420794</v>
      </c>
      <c r="G1179" s="4">
        <v>-74.874166980860394</v>
      </c>
      <c r="H1179" s="9">
        <f t="shared" si="54"/>
        <v>0.15206349206349207</v>
      </c>
      <c r="I1179" s="4" t="str">
        <f t="shared" si="55"/>
        <v>Sin riesgo &lt;85%</v>
      </c>
      <c r="J1179" s="1" t="s">
        <v>13</v>
      </c>
      <c r="K1179" s="1" t="str">
        <f t="shared" si="56"/>
        <v>Sin riesgo</v>
      </c>
    </row>
    <row r="1180" spans="1:11">
      <c r="A1180" s="1" t="s">
        <v>406</v>
      </c>
      <c r="B1180" s="6" t="s">
        <v>15</v>
      </c>
      <c r="C1180" s="3">
        <v>4.16</v>
      </c>
      <c r="D1180" s="3">
        <v>4.79</v>
      </c>
      <c r="E1180" s="3">
        <v>31.5</v>
      </c>
      <c r="F1180" s="4">
        <v>8.4842812576420794</v>
      </c>
      <c r="G1180" s="4">
        <v>-74.874166980860394</v>
      </c>
      <c r="H1180" s="9">
        <f t="shared" si="54"/>
        <v>0.15206349206349207</v>
      </c>
      <c r="I1180" s="4" t="str">
        <f t="shared" si="55"/>
        <v>Sin riesgo &lt;85%</v>
      </c>
      <c r="J1180" s="1" t="s">
        <v>13</v>
      </c>
      <c r="K1180" s="1" t="str">
        <f t="shared" si="56"/>
        <v>Sin riesgo</v>
      </c>
    </row>
    <row r="1181" spans="1:11">
      <c r="A1181" s="1" t="s">
        <v>407</v>
      </c>
      <c r="B1181" s="6" t="s">
        <v>12</v>
      </c>
      <c r="C1181" s="3">
        <v>2.66</v>
      </c>
      <c r="D1181" s="3">
        <v>2.84</v>
      </c>
      <c r="E1181" s="3">
        <v>31.5</v>
      </c>
      <c r="F1181" s="4">
        <v>9.25394625521505</v>
      </c>
      <c r="G1181" s="4">
        <v>-74.776517886518704</v>
      </c>
      <c r="H1181" s="9">
        <f t="shared" si="54"/>
        <v>9.015873015873016E-2</v>
      </c>
      <c r="I1181" s="4" t="str">
        <f t="shared" si="55"/>
        <v>Sin riesgo &lt;85%</v>
      </c>
      <c r="J1181" s="1" t="s">
        <v>13</v>
      </c>
      <c r="K1181" s="1" t="str">
        <f t="shared" si="56"/>
        <v>Sin riesgo</v>
      </c>
    </row>
    <row r="1182" spans="1:11">
      <c r="A1182" s="1" t="s">
        <v>407</v>
      </c>
      <c r="B1182" s="6" t="s">
        <v>14</v>
      </c>
      <c r="C1182" s="3">
        <v>24.06</v>
      </c>
      <c r="D1182" s="3">
        <v>20.260000000000002</v>
      </c>
      <c r="E1182" s="3">
        <v>31.5</v>
      </c>
      <c r="F1182" s="4">
        <v>9.25394625521505</v>
      </c>
      <c r="G1182" s="4">
        <v>-74.776517886518704</v>
      </c>
      <c r="H1182" s="9">
        <f t="shared" si="54"/>
        <v>0.76380952380952372</v>
      </c>
      <c r="I1182" s="4" t="str">
        <f t="shared" si="55"/>
        <v>Sin riesgo &lt;85%</v>
      </c>
      <c r="J1182" s="1" t="s">
        <v>13</v>
      </c>
      <c r="K1182" s="1" t="str">
        <f t="shared" si="56"/>
        <v>Sin riesgo</v>
      </c>
    </row>
    <row r="1183" spans="1:11">
      <c r="A1183" s="1" t="s">
        <v>407</v>
      </c>
      <c r="B1183" s="6" t="s">
        <v>15</v>
      </c>
      <c r="C1183" s="3">
        <v>24.06</v>
      </c>
      <c r="D1183" s="3">
        <v>20.260000000000002</v>
      </c>
      <c r="E1183" s="3">
        <v>31.5</v>
      </c>
      <c r="F1183" s="4">
        <v>9.25394625521505</v>
      </c>
      <c r="G1183" s="4">
        <v>-74.776517886518704</v>
      </c>
      <c r="H1183" s="9">
        <f t="shared" si="54"/>
        <v>0.76380952380952372</v>
      </c>
      <c r="I1183" s="4" t="str">
        <f t="shared" si="55"/>
        <v>Sin riesgo &lt;85%</v>
      </c>
      <c r="J1183" s="1" t="s">
        <v>13</v>
      </c>
      <c r="K1183" s="1" t="str">
        <f t="shared" si="56"/>
        <v>Sin riesgo</v>
      </c>
    </row>
    <row r="1184" spans="1:11">
      <c r="A1184" s="1" t="s">
        <v>408</v>
      </c>
      <c r="B1184" s="6" t="s">
        <v>12</v>
      </c>
      <c r="C1184" s="3">
        <v>0</v>
      </c>
      <c r="D1184" s="3">
        <v>0</v>
      </c>
      <c r="E1184" s="3">
        <v>40</v>
      </c>
      <c r="F1184" s="4">
        <v>9.25394625521505</v>
      </c>
      <c r="G1184" s="4">
        <v>-74.776517886518704</v>
      </c>
      <c r="H1184" s="9">
        <f t="shared" si="54"/>
        <v>0</v>
      </c>
      <c r="I1184" s="4" t="str">
        <f t="shared" si="55"/>
        <v>Sin riesgo &lt;85%</v>
      </c>
      <c r="J1184" s="1" t="s">
        <v>13</v>
      </c>
      <c r="K1184" s="1" t="str">
        <f t="shared" si="56"/>
        <v>Sin riesgo</v>
      </c>
    </row>
    <row r="1185" spans="1:11">
      <c r="A1185" s="1" t="s">
        <v>408</v>
      </c>
      <c r="B1185" s="6" t="s">
        <v>14</v>
      </c>
      <c r="C1185" s="3">
        <v>14.6</v>
      </c>
      <c r="D1185" s="3">
        <v>17.170000000000002</v>
      </c>
      <c r="E1185" s="3">
        <v>40</v>
      </c>
      <c r="F1185" s="4">
        <v>9.25394625521505</v>
      </c>
      <c r="G1185" s="4">
        <v>-74.776517886518704</v>
      </c>
      <c r="H1185" s="9">
        <f t="shared" si="54"/>
        <v>0.42925000000000002</v>
      </c>
      <c r="I1185" s="4" t="str">
        <f t="shared" si="55"/>
        <v>Sin riesgo &lt;85%</v>
      </c>
      <c r="J1185" s="1" t="s">
        <v>13</v>
      </c>
      <c r="K1185" s="1" t="str">
        <f t="shared" si="56"/>
        <v>Sin riesgo</v>
      </c>
    </row>
    <row r="1186" spans="1:11">
      <c r="A1186" s="1" t="s">
        <v>408</v>
      </c>
      <c r="B1186" s="6" t="s">
        <v>15</v>
      </c>
      <c r="C1186" s="3">
        <v>14.6</v>
      </c>
      <c r="D1186" s="3">
        <v>17.170000000000002</v>
      </c>
      <c r="E1186" s="3">
        <v>40</v>
      </c>
      <c r="F1186" s="4">
        <v>9.25394625521505</v>
      </c>
      <c r="G1186" s="4">
        <v>-74.776517886518704</v>
      </c>
      <c r="H1186" s="9">
        <f t="shared" si="54"/>
        <v>0.42925000000000002</v>
      </c>
      <c r="I1186" s="4" t="str">
        <f t="shared" si="55"/>
        <v>Sin riesgo &lt;85%</v>
      </c>
      <c r="J1186" s="1" t="s">
        <v>13</v>
      </c>
      <c r="K1186" s="1" t="str">
        <f t="shared" si="56"/>
        <v>Sin riesgo</v>
      </c>
    </row>
    <row r="1187" spans="1:11">
      <c r="A1187" s="1" t="s">
        <v>409</v>
      </c>
      <c r="B1187" s="6" t="s">
        <v>12</v>
      </c>
      <c r="C1187" s="3">
        <v>2.0299999999999998</v>
      </c>
      <c r="D1187" s="3">
        <v>1.7</v>
      </c>
      <c r="E1187" s="3">
        <v>31.5</v>
      </c>
      <c r="F1187" s="4">
        <v>9.2260670000000005</v>
      </c>
      <c r="G1187" s="4">
        <v>-74.418166999999997</v>
      </c>
      <c r="H1187" s="9">
        <f t="shared" si="54"/>
        <v>6.4444444444444443E-2</v>
      </c>
      <c r="I1187" s="4" t="str">
        <f t="shared" si="55"/>
        <v>Sin riesgo &lt;85%</v>
      </c>
      <c r="J1187" s="1" t="s">
        <v>13</v>
      </c>
      <c r="K1187" s="1" t="str">
        <f t="shared" si="56"/>
        <v>Sin riesgo</v>
      </c>
    </row>
    <row r="1188" spans="1:11">
      <c r="A1188" s="1" t="s">
        <v>409</v>
      </c>
      <c r="B1188" s="6" t="s">
        <v>14</v>
      </c>
      <c r="C1188" s="3">
        <v>7.62</v>
      </c>
      <c r="D1188" s="3">
        <v>9.09</v>
      </c>
      <c r="E1188" s="3">
        <v>31.5</v>
      </c>
      <c r="F1188" s="4">
        <v>9.2260670000000005</v>
      </c>
      <c r="G1188" s="4">
        <v>-74.418166999999997</v>
      </c>
      <c r="H1188" s="9">
        <f t="shared" si="54"/>
        <v>0.28857142857142859</v>
      </c>
      <c r="I1188" s="4" t="str">
        <f t="shared" si="55"/>
        <v>Sin riesgo &lt;85%</v>
      </c>
      <c r="J1188" s="1" t="s">
        <v>13</v>
      </c>
      <c r="K1188" s="1" t="str">
        <f t="shared" si="56"/>
        <v>Sin riesgo</v>
      </c>
    </row>
    <row r="1189" spans="1:11">
      <c r="A1189" s="1" t="s">
        <v>409</v>
      </c>
      <c r="B1189" s="6" t="s">
        <v>15</v>
      </c>
      <c r="C1189" s="3">
        <v>7.62</v>
      </c>
      <c r="D1189" s="3">
        <v>9.09</v>
      </c>
      <c r="E1189" s="3">
        <v>31.5</v>
      </c>
      <c r="F1189" s="4">
        <v>9.2260670000000005</v>
      </c>
      <c r="G1189" s="4">
        <v>-74.418166999999997</v>
      </c>
      <c r="H1189" s="9">
        <f t="shared" si="54"/>
        <v>0.28857142857142859</v>
      </c>
      <c r="I1189" s="4" t="str">
        <f t="shared" si="55"/>
        <v>Sin riesgo &lt;85%</v>
      </c>
      <c r="J1189" s="1" t="s">
        <v>13</v>
      </c>
      <c r="K1189" s="1" t="str">
        <f t="shared" si="56"/>
        <v>Sin riesgo</v>
      </c>
    </row>
    <row r="1190" spans="1:11">
      <c r="A1190" s="1" t="s">
        <v>410</v>
      </c>
      <c r="B1190" s="6" t="s">
        <v>12</v>
      </c>
      <c r="C1190" s="3">
        <v>12.96</v>
      </c>
      <c r="D1190" s="3">
        <v>11.34</v>
      </c>
      <c r="E1190" s="3">
        <v>25</v>
      </c>
      <c r="F1190" s="4">
        <v>8.7637499999999999</v>
      </c>
      <c r="G1190" s="4">
        <v>-75.866833</v>
      </c>
      <c r="H1190" s="9">
        <f t="shared" si="54"/>
        <v>0.51840000000000008</v>
      </c>
      <c r="I1190" s="4" t="str">
        <f t="shared" si="55"/>
        <v>Sin riesgo &lt;85%</v>
      </c>
      <c r="J1190" s="1" t="s">
        <v>13</v>
      </c>
      <c r="K1190" s="1" t="str">
        <f t="shared" si="56"/>
        <v>Sin riesgo</v>
      </c>
    </row>
    <row r="1191" spans="1:11">
      <c r="A1191" s="1" t="s">
        <v>410</v>
      </c>
      <c r="B1191" s="6" t="s">
        <v>14</v>
      </c>
      <c r="C1191" s="3">
        <v>16.04</v>
      </c>
      <c r="D1191" s="3">
        <v>14.74</v>
      </c>
      <c r="E1191" s="3">
        <v>25</v>
      </c>
      <c r="F1191" s="4">
        <v>8.7637499999999999</v>
      </c>
      <c r="G1191" s="4">
        <v>-75.866833</v>
      </c>
      <c r="H1191" s="9">
        <f t="shared" si="54"/>
        <v>0.64159999999999995</v>
      </c>
      <c r="I1191" s="4" t="str">
        <f t="shared" si="55"/>
        <v>Sin riesgo &lt;85%</v>
      </c>
      <c r="J1191" s="1" t="s">
        <v>13</v>
      </c>
      <c r="K1191" s="1" t="str">
        <f t="shared" si="56"/>
        <v>Sin riesgo</v>
      </c>
    </row>
    <row r="1192" spans="1:11">
      <c r="A1192" s="1" t="s">
        <v>410</v>
      </c>
      <c r="B1192" s="6" t="s">
        <v>15</v>
      </c>
      <c r="C1192" s="3">
        <v>16.04</v>
      </c>
      <c r="D1192" s="3">
        <v>14.74</v>
      </c>
      <c r="E1192" s="3">
        <v>25</v>
      </c>
      <c r="F1192" s="4">
        <v>8.7637499999999999</v>
      </c>
      <c r="G1192" s="4">
        <v>-75.866833</v>
      </c>
      <c r="H1192" s="9">
        <f t="shared" si="54"/>
        <v>0.64159999999999995</v>
      </c>
      <c r="I1192" s="4" t="str">
        <f t="shared" si="55"/>
        <v>Sin riesgo &lt;85%</v>
      </c>
      <c r="J1192" s="1" t="s">
        <v>13</v>
      </c>
      <c r="K1192" s="1" t="str">
        <f t="shared" si="56"/>
        <v>Sin riesgo</v>
      </c>
    </row>
    <row r="1193" spans="1:11">
      <c r="A1193" s="1" t="s">
        <v>411</v>
      </c>
      <c r="B1193" s="6" t="s">
        <v>12</v>
      </c>
      <c r="C1193" s="3">
        <v>7.41</v>
      </c>
      <c r="D1193" s="3">
        <v>8.84</v>
      </c>
      <c r="E1193" s="3">
        <v>40</v>
      </c>
      <c r="F1193" s="4">
        <v>8.7637499999999999</v>
      </c>
      <c r="G1193" s="4">
        <v>-75.866833</v>
      </c>
      <c r="H1193" s="9">
        <f t="shared" si="54"/>
        <v>0.221</v>
      </c>
      <c r="I1193" s="4" t="str">
        <f t="shared" si="55"/>
        <v>Sin riesgo &lt;85%</v>
      </c>
      <c r="J1193" s="1" t="s">
        <v>13</v>
      </c>
      <c r="K1193" s="1" t="str">
        <f t="shared" si="56"/>
        <v>Sin riesgo</v>
      </c>
    </row>
    <row r="1194" spans="1:11">
      <c r="A1194" s="1" t="s">
        <v>411</v>
      </c>
      <c r="B1194" s="6" t="s">
        <v>14</v>
      </c>
      <c r="C1194" s="3">
        <v>7.98</v>
      </c>
      <c r="D1194" s="3">
        <v>9.7200000000000006</v>
      </c>
      <c r="E1194" s="3">
        <v>40</v>
      </c>
      <c r="F1194" s="4">
        <v>8.7637499999999999</v>
      </c>
      <c r="G1194" s="4">
        <v>-75.866833</v>
      </c>
      <c r="H1194" s="9">
        <f t="shared" si="54"/>
        <v>0.24300000000000002</v>
      </c>
      <c r="I1194" s="4" t="str">
        <f t="shared" si="55"/>
        <v>Sin riesgo &lt;85%</v>
      </c>
      <c r="J1194" s="1" t="s">
        <v>13</v>
      </c>
      <c r="K1194" s="1" t="str">
        <f t="shared" si="56"/>
        <v>Sin riesgo</v>
      </c>
    </row>
    <row r="1195" spans="1:11">
      <c r="A1195" s="1" t="s">
        <v>411</v>
      </c>
      <c r="B1195" s="6" t="s">
        <v>15</v>
      </c>
      <c r="C1195" s="3">
        <v>7.98</v>
      </c>
      <c r="D1195" s="3">
        <v>9.7200000000000006</v>
      </c>
      <c r="E1195" s="3">
        <v>40</v>
      </c>
      <c r="F1195" s="4">
        <v>8.7637499999999999</v>
      </c>
      <c r="G1195" s="4">
        <v>-75.866833</v>
      </c>
      <c r="H1195" s="9">
        <f t="shared" si="54"/>
        <v>0.24300000000000002</v>
      </c>
      <c r="I1195" s="4" t="str">
        <f t="shared" si="55"/>
        <v>Sin riesgo &lt;85%</v>
      </c>
      <c r="J1195" s="1" t="s">
        <v>13</v>
      </c>
      <c r="K1195" s="1" t="str">
        <f t="shared" si="56"/>
        <v>Sin riesgo</v>
      </c>
    </row>
    <row r="1196" spans="1:11">
      <c r="A1196" s="1" t="s">
        <v>412</v>
      </c>
      <c r="B1196" s="6" t="s">
        <v>12</v>
      </c>
      <c r="C1196" s="3">
        <v>0</v>
      </c>
      <c r="D1196" s="3">
        <v>0</v>
      </c>
      <c r="E1196" s="3">
        <v>40</v>
      </c>
      <c r="F1196" s="4">
        <v>9.2753888464338896</v>
      </c>
      <c r="G1196" s="4">
        <v>-75.823156558286698</v>
      </c>
      <c r="H1196" s="9">
        <f t="shared" si="54"/>
        <v>0</v>
      </c>
      <c r="I1196" s="4" t="str">
        <f t="shared" si="55"/>
        <v>Sin riesgo &lt;85%</v>
      </c>
      <c r="J1196" s="1" t="s">
        <v>13</v>
      </c>
      <c r="K1196" s="1" t="str">
        <f t="shared" si="56"/>
        <v>Sin riesgo</v>
      </c>
    </row>
    <row r="1197" spans="1:11">
      <c r="A1197" s="1" t="s">
        <v>412</v>
      </c>
      <c r="B1197" s="6" t="s">
        <v>14</v>
      </c>
      <c r="C1197" s="3">
        <v>4.67</v>
      </c>
      <c r="D1197" s="3">
        <v>7.48</v>
      </c>
      <c r="E1197" s="3">
        <v>40</v>
      </c>
      <c r="F1197" s="4">
        <v>9.2753888464338896</v>
      </c>
      <c r="G1197" s="4">
        <v>-75.823156558286698</v>
      </c>
      <c r="H1197" s="9">
        <f t="shared" si="54"/>
        <v>0.187</v>
      </c>
      <c r="I1197" s="4" t="str">
        <f t="shared" si="55"/>
        <v>Sin riesgo &lt;85%</v>
      </c>
      <c r="J1197" s="1" t="s">
        <v>13</v>
      </c>
      <c r="K1197" s="1" t="str">
        <f t="shared" si="56"/>
        <v>Sin riesgo</v>
      </c>
    </row>
    <row r="1198" spans="1:11">
      <c r="A1198" s="1" t="s">
        <v>412</v>
      </c>
      <c r="B1198" s="6" t="s">
        <v>15</v>
      </c>
      <c r="C1198" s="3">
        <v>4.67</v>
      </c>
      <c r="D1198" s="3">
        <v>7.48</v>
      </c>
      <c r="E1198" s="3">
        <v>40</v>
      </c>
      <c r="F1198" s="4">
        <v>9.2753888464338896</v>
      </c>
      <c r="G1198" s="4">
        <v>-75.823156558286698</v>
      </c>
      <c r="H1198" s="9">
        <f t="shared" si="54"/>
        <v>0.187</v>
      </c>
      <c r="I1198" s="4" t="str">
        <f t="shared" si="55"/>
        <v>Sin riesgo &lt;85%</v>
      </c>
      <c r="J1198" s="1" t="s">
        <v>13</v>
      </c>
      <c r="K1198" s="1" t="str">
        <f t="shared" si="56"/>
        <v>Sin riesgo</v>
      </c>
    </row>
    <row r="1199" spans="1:11">
      <c r="A1199" s="1" t="s">
        <v>413</v>
      </c>
      <c r="B1199" s="6" t="s">
        <v>12</v>
      </c>
      <c r="C1199" s="3">
        <v>5.54</v>
      </c>
      <c r="D1199" s="3">
        <v>5.84</v>
      </c>
      <c r="E1199" s="3">
        <v>15</v>
      </c>
      <c r="F1199" s="4">
        <v>7.9347089999999998</v>
      </c>
      <c r="G1199" s="4">
        <v>-76.709622999999993</v>
      </c>
      <c r="H1199" s="9">
        <f t="shared" si="54"/>
        <v>0.38933333333333331</v>
      </c>
      <c r="I1199" s="4" t="str">
        <f t="shared" si="55"/>
        <v>Sin riesgo &lt;85%</v>
      </c>
      <c r="J1199" s="1" t="s">
        <v>13</v>
      </c>
      <c r="K1199" s="1" t="str">
        <f t="shared" si="56"/>
        <v>Sin riesgo</v>
      </c>
    </row>
    <row r="1200" spans="1:11">
      <c r="A1200" s="1" t="s">
        <v>413</v>
      </c>
      <c r="B1200" s="6" t="s">
        <v>14</v>
      </c>
      <c r="C1200" s="3">
        <v>5.57</v>
      </c>
      <c r="D1200" s="3">
        <v>5.88</v>
      </c>
      <c r="E1200" s="3">
        <v>15</v>
      </c>
      <c r="F1200" s="4">
        <v>7.9347089999999998</v>
      </c>
      <c r="G1200" s="4">
        <v>-76.709622999999993</v>
      </c>
      <c r="H1200" s="9">
        <f t="shared" si="54"/>
        <v>0.39200000000000002</v>
      </c>
      <c r="I1200" s="4" t="str">
        <f t="shared" si="55"/>
        <v>Sin riesgo &lt;85%</v>
      </c>
      <c r="J1200" s="1" t="s">
        <v>13</v>
      </c>
      <c r="K1200" s="1" t="str">
        <f t="shared" si="56"/>
        <v>Sin riesgo</v>
      </c>
    </row>
    <row r="1201" spans="1:11">
      <c r="A1201" s="1" t="s">
        <v>413</v>
      </c>
      <c r="B1201" s="6" t="s">
        <v>15</v>
      </c>
      <c r="C1201" s="3">
        <v>5.57</v>
      </c>
      <c r="D1201" s="3">
        <v>5.88</v>
      </c>
      <c r="E1201" s="3">
        <v>15</v>
      </c>
      <c r="F1201" s="4">
        <v>7.9347089999999998</v>
      </c>
      <c r="G1201" s="4">
        <v>-76.709622999999993</v>
      </c>
      <c r="H1201" s="9">
        <f t="shared" si="54"/>
        <v>0.39200000000000002</v>
      </c>
      <c r="I1201" s="4" t="str">
        <f t="shared" si="55"/>
        <v>Sin riesgo &lt;85%</v>
      </c>
      <c r="J1201" s="1" t="s">
        <v>13</v>
      </c>
      <c r="K1201" s="1" t="str">
        <f t="shared" si="56"/>
        <v>Sin riesgo</v>
      </c>
    </row>
    <row r="1202" spans="1:11">
      <c r="A1202" s="1" t="s">
        <v>414</v>
      </c>
      <c r="B1202" s="6" t="s">
        <v>12</v>
      </c>
      <c r="C1202" s="3">
        <v>14</v>
      </c>
      <c r="D1202" s="3">
        <v>11.85</v>
      </c>
      <c r="E1202" s="3">
        <v>40</v>
      </c>
      <c r="F1202" s="4">
        <v>8.7558989999999994</v>
      </c>
      <c r="G1202" s="4">
        <v>-75.857207000000002</v>
      </c>
      <c r="H1202" s="9">
        <f t="shared" si="54"/>
        <v>0.35</v>
      </c>
      <c r="I1202" s="4" t="str">
        <f t="shared" si="55"/>
        <v>Sin riesgo &lt;85%</v>
      </c>
      <c r="J1202" s="1" t="s">
        <v>13</v>
      </c>
      <c r="K1202" s="1" t="str">
        <f t="shared" si="56"/>
        <v>Sin riesgo</v>
      </c>
    </row>
    <row r="1203" spans="1:11">
      <c r="A1203" s="1" t="s">
        <v>414</v>
      </c>
      <c r="B1203" s="6" t="s">
        <v>14</v>
      </c>
      <c r="C1203" s="3">
        <v>17.690000000000001</v>
      </c>
      <c r="D1203" s="3">
        <v>15.62</v>
      </c>
      <c r="E1203" s="3">
        <v>40</v>
      </c>
      <c r="F1203" s="4">
        <v>8.7558989999999994</v>
      </c>
      <c r="G1203" s="4">
        <v>-75.857207000000002</v>
      </c>
      <c r="H1203" s="9">
        <f t="shared" si="54"/>
        <v>0.44225000000000003</v>
      </c>
      <c r="I1203" s="4" t="str">
        <f t="shared" si="55"/>
        <v>Sin riesgo &lt;85%</v>
      </c>
      <c r="J1203" s="1" t="s">
        <v>13</v>
      </c>
      <c r="K1203" s="1" t="str">
        <f t="shared" si="56"/>
        <v>Sin riesgo</v>
      </c>
    </row>
    <row r="1204" spans="1:11">
      <c r="A1204" s="1" t="s">
        <v>414</v>
      </c>
      <c r="B1204" s="6" t="s">
        <v>15</v>
      </c>
      <c r="C1204" s="3">
        <v>17.690000000000001</v>
      </c>
      <c r="D1204" s="3">
        <v>15.62</v>
      </c>
      <c r="E1204" s="3">
        <v>40</v>
      </c>
      <c r="F1204" s="4">
        <v>8.7558989999999994</v>
      </c>
      <c r="G1204" s="4">
        <v>-75.857207000000002</v>
      </c>
      <c r="H1204" s="9">
        <f t="shared" si="54"/>
        <v>0.44225000000000003</v>
      </c>
      <c r="I1204" s="4" t="str">
        <f t="shared" si="55"/>
        <v>Sin riesgo &lt;85%</v>
      </c>
      <c r="J1204" s="1" t="s">
        <v>13</v>
      </c>
      <c r="K1204" s="1" t="str">
        <f t="shared" si="56"/>
        <v>Sin riesgo</v>
      </c>
    </row>
    <row r="1205" spans="1:11">
      <c r="A1205" s="1" t="s">
        <v>415</v>
      </c>
      <c r="B1205" s="6" t="s">
        <v>12</v>
      </c>
      <c r="C1205" s="3">
        <v>24.47</v>
      </c>
      <c r="D1205" s="3">
        <v>18.190000000000001</v>
      </c>
      <c r="E1205" s="3">
        <v>40</v>
      </c>
      <c r="F1205" s="4">
        <v>9.4605329999999999</v>
      </c>
      <c r="G1205" s="4">
        <v>-75.476050000000001</v>
      </c>
      <c r="H1205" s="9">
        <f t="shared" si="54"/>
        <v>0.61175000000000002</v>
      </c>
      <c r="I1205" s="4" t="str">
        <f t="shared" si="55"/>
        <v>Sin riesgo &lt;85%</v>
      </c>
      <c r="J1205" s="1" t="s">
        <v>13</v>
      </c>
      <c r="K1205" s="1" t="str">
        <f t="shared" si="56"/>
        <v>Sin riesgo</v>
      </c>
    </row>
    <row r="1206" spans="1:11">
      <c r="A1206" s="1" t="s">
        <v>415</v>
      </c>
      <c r="B1206" s="6" t="s">
        <v>14</v>
      </c>
      <c r="C1206" s="3">
        <v>26.17</v>
      </c>
      <c r="D1206" s="3">
        <v>19.600000000000001</v>
      </c>
      <c r="E1206" s="3">
        <v>40</v>
      </c>
      <c r="F1206" s="4">
        <v>9.4605329999999999</v>
      </c>
      <c r="G1206" s="4">
        <v>-75.476050000000001</v>
      </c>
      <c r="H1206" s="9">
        <f t="shared" si="54"/>
        <v>0.65425</v>
      </c>
      <c r="I1206" s="4" t="str">
        <f t="shared" si="55"/>
        <v>Sin riesgo &lt;85%</v>
      </c>
      <c r="J1206" s="1" t="s">
        <v>13</v>
      </c>
      <c r="K1206" s="1" t="str">
        <f t="shared" si="56"/>
        <v>Sin riesgo</v>
      </c>
    </row>
    <row r="1207" spans="1:11">
      <c r="A1207" s="1" t="s">
        <v>415</v>
      </c>
      <c r="B1207" s="6" t="s">
        <v>15</v>
      </c>
      <c r="C1207" s="3">
        <v>26.17</v>
      </c>
      <c r="D1207" s="3">
        <v>19.600000000000001</v>
      </c>
      <c r="E1207" s="3">
        <v>40</v>
      </c>
      <c r="F1207" s="4">
        <v>9.4605329999999999</v>
      </c>
      <c r="G1207" s="4">
        <v>-75.476050000000001</v>
      </c>
      <c r="H1207" s="9">
        <f t="shared" si="54"/>
        <v>0.65425</v>
      </c>
      <c r="I1207" s="4" t="str">
        <f t="shared" si="55"/>
        <v>Sin riesgo &lt;85%</v>
      </c>
      <c r="J1207" s="1" t="s">
        <v>13</v>
      </c>
      <c r="K1207" s="1" t="str">
        <f t="shared" si="56"/>
        <v>Sin riesgo</v>
      </c>
    </row>
    <row r="1208" spans="1:11">
      <c r="A1208" s="1" t="s">
        <v>416</v>
      </c>
      <c r="B1208" s="6" t="s">
        <v>12</v>
      </c>
      <c r="C1208" s="3">
        <v>6.46</v>
      </c>
      <c r="D1208" s="3">
        <v>7.88</v>
      </c>
      <c r="E1208" s="3">
        <v>31.5</v>
      </c>
      <c r="F1208" s="4">
        <v>8.7210830000000001</v>
      </c>
      <c r="G1208" s="4">
        <v>-75.890167000000005</v>
      </c>
      <c r="H1208" s="9">
        <f t="shared" si="54"/>
        <v>0.25015873015873014</v>
      </c>
      <c r="I1208" s="4" t="str">
        <f t="shared" si="55"/>
        <v>Sin riesgo &lt;85%</v>
      </c>
      <c r="J1208" s="1" t="s">
        <v>13</v>
      </c>
      <c r="K1208" s="1" t="str">
        <f t="shared" si="56"/>
        <v>Sin riesgo</v>
      </c>
    </row>
    <row r="1209" spans="1:11">
      <c r="A1209" s="1" t="s">
        <v>416</v>
      </c>
      <c r="B1209" s="6" t="s">
        <v>14</v>
      </c>
      <c r="C1209" s="3">
        <v>7</v>
      </c>
      <c r="D1209" s="3">
        <v>9.07</v>
      </c>
      <c r="E1209" s="3">
        <v>31.5</v>
      </c>
      <c r="F1209" s="4">
        <v>8.7210830000000001</v>
      </c>
      <c r="G1209" s="4">
        <v>-75.890167000000005</v>
      </c>
      <c r="H1209" s="9">
        <f t="shared" si="54"/>
        <v>0.28793650793650793</v>
      </c>
      <c r="I1209" s="4" t="str">
        <f t="shared" si="55"/>
        <v>Sin riesgo &lt;85%</v>
      </c>
      <c r="J1209" s="1" t="s">
        <v>13</v>
      </c>
      <c r="K1209" s="1" t="str">
        <f t="shared" si="56"/>
        <v>Sin riesgo</v>
      </c>
    </row>
    <row r="1210" spans="1:11">
      <c r="A1210" s="1" t="s">
        <v>416</v>
      </c>
      <c r="B1210" s="6" t="s">
        <v>15</v>
      </c>
      <c r="C1210" s="3">
        <v>7</v>
      </c>
      <c r="D1210" s="3">
        <v>9.07</v>
      </c>
      <c r="E1210" s="3">
        <v>31.5</v>
      </c>
      <c r="F1210" s="4">
        <v>8.7210830000000001</v>
      </c>
      <c r="G1210" s="4">
        <v>-75.890167000000005</v>
      </c>
      <c r="H1210" s="9">
        <f t="shared" si="54"/>
        <v>0.28793650793650793</v>
      </c>
      <c r="I1210" s="4" t="str">
        <f t="shared" si="55"/>
        <v>Sin riesgo &lt;85%</v>
      </c>
      <c r="J1210" s="1" t="s">
        <v>13</v>
      </c>
      <c r="K1210" s="1" t="str">
        <f t="shared" si="56"/>
        <v>Sin riesgo</v>
      </c>
    </row>
    <row r="1211" spans="1:11">
      <c r="A1211" s="1" t="s">
        <v>417</v>
      </c>
      <c r="B1211" s="6" t="s">
        <v>12</v>
      </c>
      <c r="C1211" s="3">
        <v>23.78</v>
      </c>
      <c r="D1211" s="3">
        <v>19.899999999999999</v>
      </c>
      <c r="E1211" s="3">
        <v>40</v>
      </c>
      <c r="F1211" s="4">
        <v>8.9171483814556893</v>
      </c>
      <c r="G1211" s="4">
        <v>-75.445991512265195</v>
      </c>
      <c r="H1211" s="9">
        <f t="shared" si="54"/>
        <v>0.59450000000000003</v>
      </c>
      <c r="I1211" s="4" t="str">
        <f t="shared" si="55"/>
        <v>Sin riesgo &lt;85%</v>
      </c>
      <c r="J1211" s="1">
        <v>1.18</v>
      </c>
      <c r="K1211" s="1" t="str">
        <f t="shared" si="56"/>
        <v>Estado critico</v>
      </c>
    </row>
    <row r="1212" spans="1:11">
      <c r="A1212" s="1" t="s">
        <v>417</v>
      </c>
      <c r="B1212" s="6" t="s">
        <v>14</v>
      </c>
      <c r="C1212" s="3">
        <v>26.88</v>
      </c>
      <c r="D1212" s="3">
        <v>22.23</v>
      </c>
      <c r="E1212" s="3">
        <v>40</v>
      </c>
      <c r="F1212" s="4">
        <v>8.9171483814556893</v>
      </c>
      <c r="G1212" s="4">
        <v>-75.445991512265195</v>
      </c>
      <c r="H1212" s="9">
        <f t="shared" si="54"/>
        <v>0.67199999999999993</v>
      </c>
      <c r="I1212" s="4" t="str">
        <f t="shared" si="55"/>
        <v>Sin riesgo &lt;85%</v>
      </c>
      <c r="J1212" s="1">
        <v>1.18</v>
      </c>
      <c r="K1212" s="1" t="str">
        <f t="shared" si="56"/>
        <v>Estado critico</v>
      </c>
    </row>
    <row r="1213" spans="1:11">
      <c r="A1213" s="1" t="s">
        <v>417</v>
      </c>
      <c r="B1213" s="6" t="s">
        <v>15</v>
      </c>
      <c r="C1213" s="3">
        <v>26.88</v>
      </c>
      <c r="D1213" s="3">
        <v>22.23</v>
      </c>
      <c r="E1213" s="3">
        <v>40</v>
      </c>
      <c r="F1213" s="4">
        <v>8.9171483814556893</v>
      </c>
      <c r="G1213" s="4">
        <v>-75.445991512265195</v>
      </c>
      <c r="H1213" s="9">
        <f t="shared" si="54"/>
        <v>0.67199999999999993</v>
      </c>
      <c r="I1213" s="4" t="str">
        <f t="shared" si="55"/>
        <v>Sin riesgo &lt;85%</v>
      </c>
      <c r="J1213" s="1">
        <v>1.18</v>
      </c>
      <c r="K1213" s="1" t="str">
        <f t="shared" si="56"/>
        <v>Estado critico</v>
      </c>
    </row>
    <row r="1214" spans="1:11">
      <c r="A1214" s="1" t="s">
        <v>418</v>
      </c>
      <c r="B1214" s="6" t="s">
        <v>12</v>
      </c>
      <c r="C1214" s="3">
        <v>3.64</v>
      </c>
      <c r="D1214" s="3">
        <v>3.21</v>
      </c>
      <c r="E1214" s="3">
        <v>31.5</v>
      </c>
      <c r="F1214" s="4">
        <v>3.6068158776394199</v>
      </c>
      <c r="G1214" s="4">
        <v>-76.485557795737805</v>
      </c>
      <c r="H1214" s="9">
        <f t="shared" si="54"/>
        <v>0.11555555555555556</v>
      </c>
      <c r="I1214" s="4" t="str">
        <f t="shared" si="55"/>
        <v>Sin riesgo &lt;85%</v>
      </c>
      <c r="J1214" s="1" t="s">
        <v>13</v>
      </c>
      <c r="K1214" s="1" t="str">
        <f t="shared" si="56"/>
        <v>Sin riesgo</v>
      </c>
    </row>
    <row r="1215" spans="1:11">
      <c r="A1215" s="1" t="s">
        <v>418</v>
      </c>
      <c r="B1215" s="6" t="s">
        <v>14</v>
      </c>
      <c r="C1215" s="3">
        <v>4.62</v>
      </c>
      <c r="D1215" s="3">
        <v>4.82</v>
      </c>
      <c r="E1215" s="3">
        <v>31.5</v>
      </c>
      <c r="F1215" s="4">
        <v>3.6068158776394199</v>
      </c>
      <c r="G1215" s="4">
        <v>-76.485557795737805</v>
      </c>
      <c r="H1215" s="9">
        <f t="shared" si="54"/>
        <v>0.15301587301587302</v>
      </c>
      <c r="I1215" s="4" t="str">
        <f t="shared" si="55"/>
        <v>Sin riesgo &lt;85%</v>
      </c>
      <c r="J1215" s="1" t="s">
        <v>13</v>
      </c>
      <c r="K1215" s="1" t="str">
        <f t="shared" si="56"/>
        <v>Sin riesgo</v>
      </c>
    </row>
    <row r="1216" spans="1:11">
      <c r="A1216" s="1" t="s">
        <v>418</v>
      </c>
      <c r="B1216" s="6" t="s">
        <v>15</v>
      </c>
      <c r="C1216" s="3">
        <v>4.6100000000000003</v>
      </c>
      <c r="D1216" s="3">
        <v>4.82</v>
      </c>
      <c r="E1216" s="3">
        <v>31.5</v>
      </c>
      <c r="F1216" s="4">
        <v>3.6068158776394199</v>
      </c>
      <c r="G1216" s="4">
        <v>-76.485557795737805</v>
      </c>
      <c r="H1216" s="9">
        <f t="shared" si="54"/>
        <v>0.15301587301587302</v>
      </c>
      <c r="I1216" s="4" t="str">
        <f t="shared" si="55"/>
        <v>Sin riesgo &lt;85%</v>
      </c>
      <c r="J1216" s="1" t="s">
        <v>13</v>
      </c>
      <c r="K1216" s="1" t="str">
        <f t="shared" si="56"/>
        <v>Sin riesgo</v>
      </c>
    </row>
    <row r="1217" spans="1:11">
      <c r="A1217" s="1" t="s">
        <v>419</v>
      </c>
      <c r="B1217" s="6" t="s">
        <v>12</v>
      </c>
      <c r="C1217" s="3">
        <v>10.89</v>
      </c>
      <c r="D1217" s="3">
        <v>14.09</v>
      </c>
      <c r="E1217" s="3">
        <v>40</v>
      </c>
      <c r="F1217" s="4">
        <v>9.3252000000000006</v>
      </c>
      <c r="G1217" s="4">
        <v>-75.400017000000005</v>
      </c>
      <c r="H1217" s="9">
        <f t="shared" si="54"/>
        <v>0.35225000000000001</v>
      </c>
      <c r="I1217" s="4" t="str">
        <f t="shared" si="55"/>
        <v>Sin riesgo &lt;85%</v>
      </c>
      <c r="J1217" s="1" t="s">
        <v>13</v>
      </c>
      <c r="K1217" s="1" t="str">
        <f t="shared" si="56"/>
        <v>Sin riesgo</v>
      </c>
    </row>
    <row r="1218" spans="1:11">
      <c r="A1218" s="1" t="s">
        <v>419</v>
      </c>
      <c r="B1218" s="6" t="s">
        <v>14</v>
      </c>
      <c r="C1218" s="3">
        <v>10.97</v>
      </c>
      <c r="D1218" s="3">
        <v>14.47</v>
      </c>
      <c r="E1218" s="3">
        <v>40</v>
      </c>
      <c r="F1218" s="4">
        <v>9.3252000000000006</v>
      </c>
      <c r="G1218" s="4">
        <v>-75.400017000000005</v>
      </c>
      <c r="H1218" s="9">
        <f t="shared" si="54"/>
        <v>0.36175000000000002</v>
      </c>
      <c r="I1218" s="4" t="str">
        <f t="shared" si="55"/>
        <v>Sin riesgo &lt;85%</v>
      </c>
      <c r="J1218" s="1" t="s">
        <v>13</v>
      </c>
      <c r="K1218" s="1" t="str">
        <f t="shared" si="56"/>
        <v>Sin riesgo</v>
      </c>
    </row>
    <row r="1219" spans="1:11">
      <c r="A1219" s="1" t="s">
        <v>419</v>
      </c>
      <c r="B1219" s="6" t="s">
        <v>15</v>
      </c>
      <c r="C1219" s="3">
        <v>10.97</v>
      </c>
      <c r="D1219" s="3">
        <v>14.47</v>
      </c>
      <c r="E1219" s="3">
        <v>40</v>
      </c>
      <c r="F1219" s="4">
        <v>9.3252000000000006</v>
      </c>
      <c r="G1219" s="4">
        <v>-75.400017000000005</v>
      </c>
      <c r="H1219" s="9">
        <f t="shared" ref="H1219:H1282" si="57">IF(C1219&gt;D1219,C1219/E1219,D1219/E1219)</f>
        <v>0.36175000000000002</v>
      </c>
      <c r="I1219" s="4" t="str">
        <f t="shared" ref="I1219:I1282" si="58">IF(H1219&gt;100%,"Altamente critico &gt;100%",IF(H1219&gt;95%,"Critico &gt;95%",IF(H1219&gt;85%,"En riesgo &gt;85%","Sin riesgo &lt;85%")))</f>
        <v>Sin riesgo &lt;85%</v>
      </c>
      <c r="J1219" s="1" t="s">
        <v>13</v>
      </c>
      <c r="K1219" s="1" t="str">
        <f t="shared" ref="K1219:K1282" si="59">IF(J1219="&gt;5","Sin riesgo",IF(J1219&gt;1.5,"Estado de alerta","Estado critico"))</f>
        <v>Sin riesgo</v>
      </c>
    </row>
    <row r="1220" spans="1:11">
      <c r="A1220" s="1" t="s">
        <v>420</v>
      </c>
      <c r="B1220" s="6" t="s">
        <v>12</v>
      </c>
      <c r="C1220" s="3">
        <v>5.22</v>
      </c>
      <c r="D1220" s="3">
        <v>5.28</v>
      </c>
      <c r="E1220" s="3">
        <v>40</v>
      </c>
      <c r="F1220" s="4">
        <v>9.2442170000000008</v>
      </c>
      <c r="G1220" s="4">
        <v>-75.140133000000006</v>
      </c>
      <c r="H1220" s="9">
        <f t="shared" si="57"/>
        <v>0.13200000000000001</v>
      </c>
      <c r="I1220" s="4" t="str">
        <f t="shared" si="58"/>
        <v>Sin riesgo &lt;85%</v>
      </c>
      <c r="J1220" s="1" t="s">
        <v>13</v>
      </c>
      <c r="K1220" s="1" t="str">
        <f t="shared" si="59"/>
        <v>Sin riesgo</v>
      </c>
    </row>
    <row r="1221" spans="1:11">
      <c r="A1221" s="1" t="s">
        <v>420</v>
      </c>
      <c r="B1221" s="6" t="s">
        <v>14</v>
      </c>
      <c r="C1221" s="3">
        <v>7.75</v>
      </c>
      <c r="D1221" s="3">
        <v>9.2200000000000006</v>
      </c>
      <c r="E1221" s="3">
        <v>40</v>
      </c>
      <c r="F1221" s="4">
        <v>9.2442170000000008</v>
      </c>
      <c r="G1221" s="4">
        <v>-75.140133000000006</v>
      </c>
      <c r="H1221" s="9">
        <f t="shared" si="57"/>
        <v>0.23050000000000001</v>
      </c>
      <c r="I1221" s="4" t="str">
        <f t="shared" si="58"/>
        <v>Sin riesgo &lt;85%</v>
      </c>
      <c r="J1221" s="1" t="s">
        <v>13</v>
      </c>
      <c r="K1221" s="1" t="str">
        <f t="shared" si="59"/>
        <v>Sin riesgo</v>
      </c>
    </row>
    <row r="1222" spans="1:11">
      <c r="A1222" s="1" t="s">
        <v>420</v>
      </c>
      <c r="B1222" s="6" t="s">
        <v>15</v>
      </c>
      <c r="C1222" s="3">
        <v>7.75</v>
      </c>
      <c r="D1222" s="3">
        <v>9.2200000000000006</v>
      </c>
      <c r="E1222" s="3">
        <v>40</v>
      </c>
      <c r="F1222" s="4">
        <v>9.2442170000000008</v>
      </c>
      <c r="G1222" s="4">
        <v>-75.140133000000006</v>
      </c>
      <c r="H1222" s="9">
        <f t="shared" si="57"/>
        <v>0.23050000000000001</v>
      </c>
      <c r="I1222" s="4" t="str">
        <f t="shared" si="58"/>
        <v>Sin riesgo &lt;85%</v>
      </c>
      <c r="J1222" s="1" t="s">
        <v>13</v>
      </c>
      <c r="K1222" s="1" t="str">
        <f t="shared" si="59"/>
        <v>Sin riesgo</v>
      </c>
    </row>
    <row r="1223" spans="1:11">
      <c r="A1223" s="1" t="s">
        <v>421</v>
      </c>
      <c r="B1223" s="6" t="s">
        <v>12</v>
      </c>
      <c r="C1223" s="3">
        <v>4.83</v>
      </c>
      <c r="D1223" s="3">
        <v>4.9800000000000004</v>
      </c>
      <c r="E1223" s="3">
        <v>40</v>
      </c>
      <c r="F1223" s="4">
        <v>8.1602829999999997</v>
      </c>
      <c r="G1223" s="4">
        <v>-76.037850000000006</v>
      </c>
      <c r="H1223" s="9">
        <f t="shared" si="57"/>
        <v>0.12450000000000001</v>
      </c>
      <c r="I1223" s="4" t="str">
        <f t="shared" si="58"/>
        <v>Sin riesgo &lt;85%</v>
      </c>
      <c r="J1223" s="1" t="s">
        <v>13</v>
      </c>
      <c r="K1223" s="1" t="str">
        <f t="shared" si="59"/>
        <v>Sin riesgo</v>
      </c>
    </row>
    <row r="1224" spans="1:11">
      <c r="A1224" s="1" t="s">
        <v>421</v>
      </c>
      <c r="B1224" s="6" t="s">
        <v>14</v>
      </c>
      <c r="C1224" s="3">
        <v>4.91</v>
      </c>
      <c r="D1224" s="3">
        <v>5.09</v>
      </c>
      <c r="E1224" s="3">
        <v>40</v>
      </c>
      <c r="F1224" s="4">
        <v>8.1602829999999997</v>
      </c>
      <c r="G1224" s="4">
        <v>-76.037850000000006</v>
      </c>
      <c r="H1224" s="9">
        <f t="shared" si="57"/>
        <v>0.12725</v>
      </c>
      <c r="I1224" s="4" t="str">
        <f t="shared" si="58"/>
        <v>Sin riesgo &lt;85%</v>
      </c>
      <c r="J1224" s="1" t="s">
        <v>13</v>
      </c>
      <c r="K1224" s="1" t="str">
        <f t="shared" si="59"/>
        <v>Sin riesgo</v>
      </c>
    </row>
    <row r="1225" spans="1:11">
      <c r="A1225" s="1" t="s">
        <v>421</v>
      </c>
      <c r="B1225" s="6" t="s">
        <v>15</v>
      </c>
      <c r="C1225" s="3">
        <v>4.91</v>
      </c>
      <c r="D1225" s="3">
        <v>5.09</v>
      </c>
      <c r="E1225" s="3">
        <v>40</v>
      </c>
      <c r="F1225" s="4">
        <v>8.1602829999999997</v>
      </c>
      <c r="G1225" s="4">
        <v>-76.037850000000006</v>
      </c>
      <c r="H1225" s="9">
        <f t="shared" si="57"/>
        <v>0.12725</v>
      </c>
      <c r="I1225" s="4" t="str">
        <f t="shared" si="58"/>
        <v>Sin riesgo &lt;85%</v>
      </c>
      <c r="J1225" s="1" t="s">
        <v>13</v>
      </c>
      <c r="K1225" s="1" t="str">
        <f t="shared" si="59"/>
        <v>Sin riesgo</v>
      </c>
    </row>
    <row r="1226" spans="1:11">
      <c r="A1226" s="1" t="s">
        <v>422</v>
      </c>
      <c r="B1226" s="6" t="s">
        <v>12</v>
      </c>
      <c r="C1226" s="3">
        <v>23.44</v>
      </c>
      <c r="D1226" s="3">
        <v>17.77</v>
      </c>
      <c r="E1226" s="3">
        <v>31.5</v>
      </c>
      <c r="F1226" s="4">
        <v>9.4605329999999999</v>
      </c>
      <c r="G1226" s="4">
        <v>-75.476050000000001</v>
      </c>
      <c r="H1226" s="9">
        <f t="shared" si="57"/>
        <v>0.74412698412698419</v>
      </c>
      <c r="I1226" s="4" t="str">
        <f t="shared" si="58"/>
        <v>Sin riesgo &lt;85%</v>
      </c>
      <c r="J1226" s="1">
        <v>1.03</v>
      </c>
      <c r="K1226" s="1" t="str">
        <f t="shared" si="59"/>
        <v>Estado critico</v>
      </c>
    </row>
    <row r="1227" spans="1:11">
      <c r="A1227" s="1" t="s">
        <v>422</v>
      </c>
      <c r="B1227" s="6" t="s">
        <v>14</v>
      </c>
      <c r="C1227" s="3">
        <v>25.02</v>
      </c>
      <c r="D1227" s="3">
        <v>19.100000000000001</v>
      </c>
      <c r="E1227" s="3">
        <v>31.5</v>
      </c>
      <c r="F1227" s="4">
        <v>9.4605329999999999</v>
      </c>
      <c r="G1227" s="4">
        <v>-75.476050000000001</v>
      </c>
      <c r="H1227" s="9">
        <f t="shared" si="57"/>
        <v>0.79428571428571426</v>
      </c>
      <c r="I1227" s="4" t="str">
        <f t="shared" si="58"/>
        <v>Sin riesgo &lt;85%</v>
      </c>
      <c r="J1227" s="1">
        <v>1.03</v>
      </c>
      <c r="K1227" s="1" t="str">
        <f t="shared" si="59"/>
        <v>Estado critico</v>
      </c>
    </row>
    <row r="1228" spans="1:11">
      <c r="A1228" s="1" t="s">
        <v>422</v>
      </c>
      <c r="B1228" s="6" t="s">
        <v>15</v>
      </c>
      <c r="C1228" s="3">
        <v>25.02</v>
      </c>
      <c r="D1228" s="3">
        <v>19.100000000000001</v>
      </c>
      <c r="E1228" s="3">
        <v>31.5</v>
      </c>
      <c r="F1228" s="4">
        <v>9.4605329999999999</v>
      </c>
      <c r="G1228" s="4">
        <v>-75.476050000000001</v>
      </c>
      <c r="H1228" s="9">
        <f t="shared" si="57"/>
        <v>0.79428571428571426</v>
      </c>
      <c r="I1228" s="4" t="str">
        <f t="shared" si="58"/>
        <v>Sin riesgo &lt;85%</v>
      </c>
      <c r="J1228" s="1">
        <v>1.03</v>
      </c>
      <c r="K1228" s="1" t="str">
        <f t="shared" si="59"/>
        <v>Estado critico</v>
      </c>
    </row>
    <row r="1229" spans="1:11">
      <c r="A1229" s="1" t="s">
        <v>423</v>
      </c>
      <c r="B1229" s="6" t="s">
        <v>12</v>
      </c>
      <c r="C1229" s="3">
        <v>17.670000000000002</v>
      </c>
      <c r="D1229" s="3">
        <v>13.81</v>
      </c>
      <c r="E1229" s="3">
        <v>40</v>
      </c>
      <c r="F1229" s="4">
        <v>9.4605329999999999</v>
      </c>
      <c r="G1229" s="4">
        <v>-75.476050000000001</v>
      </c>
      <c r="H1229" s="9">
        <f t="shared" si="57"/>
        <v>0.44175000000000003</v>
      </c>
      <c r="I1229" s="4" t="str">
        <f t="shared" si="58"/>
        <v>Sin riesgo &lt;85%</v>
      </c>
      <c r="J1229" s="1">
        <v>0.97</v>
      </c>
      <c r="K1229" s="1" t="str">
        <f t="shared" si="59"/>
        <v>Estado critico</v>
      </c>
    </row>
    <row r="1230" spans="1:11">
      <c r="A1230" s="1" t="s">
        <v>423</v>
      </c>
      <c r="B1230" s="6" t="s">
        <v>14</v>
      </c>
      <c r="C1230" s="3">
        <v>17.100000000000001</v>
      </c>
      <c r="D1230" s="3">
        <v>13.28</v>
      </c>
      <c r="E1230" s="3">
        <v>40</v>
      </c>
      <c r="F1230" s="4">
        <v>9.4605329999999999</v>
      </c>
      <c r="G1230" s="4">
        <v>-75.476050000000001</v>
      </c>
      <c r="H1230" s="9">
        <f t="shared" si="57"/>
        <v>0.42750000000000005</v>
      </c>
      <c r="I1230" s="4" t="str">
        <f t="shared" si="58"/>
        <v>Sin riesgo &lt;85%</v>
      </c>
      <c r="J1230" s="1">
        <v>0.97</v>
      </c>
      <c r="K1230" s="1" t="str">
        <f t="shared" si="59"/>
        <v>Estado critico</v>
      </c>
    </row>
    <row r="1231" spans="1:11">
      <c r="A1231" s="1" t="s">
        <v>423</v>
      </c>
      <c r="B1231" s="6" t="s">
        <v>15</v>
      </c>
      <c r="C1231" s="3">
        <v>17.100000000000001</v>
      </c>
      <c r="D1231" s="3">
        <v>13.28</v>
      </c>
      <c r="E1231" s="3">
        <v>40</v>
      </c>
      <c r="F1231" s="4">
        <v>9.4605329999999999</v>
      </c>
      <c r="G1231" s="4">
        <v>-75.476050000000001</v>
      </c>
      <c r="H1231" s="9">
        <f t="shared" si="57"/>
        <v>0.42750000000000005</v>
      </c>
      <c r="I1231" s="4" t="str">
        <f t="shared" si="58"/>
        <v>Sin riesgo &lt;85%</v>
      </c>
      <c r="J1231" s="1">
        <v>0.97</v>
      </c>
      <c r="K1231" s="1" t="str">
        <f t="shared" si="59"/>
        <v>Estado critico</v>
      </c>
    </row>
    <row r="1232" spans="1:11">
      <c r="A1232" s="1" t="s">
        <v>424</v>
      </c>
      <c r="B1232" s="6" t="s">
        <v>12</v>
      </c>
      <c r="C1232" s="3">
        <v>11.3</v>
      </c>
      <c r="D1232" s="3">
        <v>8.4499999999999993</v>
      </c>
      <c r="E1232" s="3">
        <v>31.5</v>
      </c>
      <c r="F1232" s="11"/>
      <c r="G1232" s="11"/>
      <c r="H1232" s="9">
        <f t="shared" si="57"/>
        <v>0.35873015873015873</v>
      </c>
      <c r="I1232" s="4" t="str">
        <f t="shared" si="58"/>
        <v>Sin riesgo &lt;85%</v>
      </c>
      <c r="J1232" s="1" t="s">
        <v>13</v>
      </c>
      <c r="K1232" s="1" t="str">
        <f t="shared" si="59"/>
        <v>Sin riesgo</v>
      </c>
    </row>
    <row r="1233" spans="1:11">
      <c r="A1233" s="1" t="s">
        <v>424</v>
      </c>
      <c r="B1233" s="6" t="s">
        <v>14</v>
      </c>
      <c r="C1233" s="3">
        <v>11.46</v>
      </c>
      <c r="D1233" s="3">
        <v>8.57</v>
      </c>
      <c r="E1233" s="3">
        <v>31.5</v>
      </c>
      <c r="F1233" s="11"/>
      <c r="G1233" s="11"/>
      <c r="H1233" s="9">
        <f t="shared" si="57"/>
        <v>0.36380952380952386</v>
      </c>
      <c r="I1233" s="4" t="str">
        <f t="shared" si="58"/>
        <v>Sin riesgo &lt;85%</v>
      </c>
      <c r="J1233" s="1" t="s">
        <v>13</v>
      </c>
      <c r="K1233" s="1" t="str">
        <f t="shared" si="59"/>
        <v>Sin riesgo</v>
      </c>
    </row>
    <row r="1234" spans="1:11">
      <c r="A1234" s="1" t="s">
        <v>424</v>
      </c>
      <c r="B1234" s="6" t="s">
        <v>15</v>
      </c>
      <c r="C1234" s="3">
        <v>11.46</v>
      </c>
      <c r="D1234" s="3">
        <v>8.57</v>
      </c>
      <c r="E1234" s="3">
        <v>31.5</v>
      </c>
      <c r="F1234" s="11"/>
      <c r="G1234" s="11"/>
      <c r="H1234" s="9">
        <f t="shared" si="57"/>
        <v>0.36380952380952386</v>
      </c>
      <c r="I1234" s="4" t="str">
        <f t="shared" si="58"/>
        <v>Sin riesgo &lt;85%</v>
      </c>
      <c r="J1234" s="1" t="s">
        <v>13</v>
      </c>
      <c r="K1234" s="1" t="str">
        <f t="shared" si="59"/>
        <v>Sin riesgo</v>
      </c>
    </row>
    <row r="1235" spans="1:11">
      <c r="A1235" s="1" t="s">
        <v>425</v>
      </c>
      <c r="B1235" s="6" t="s">
        <v>12</v>
      </c>
      <c r="C1235" s="3">
        <v>7.39</v>
      </c>
      <c r="D1235" s="3">
        <v>6.42</v>
      </c>
      <c r="E1235" s="3">
        <v>20</v>
      </c>
      <c r="F1235" s="11"/>
      <c r="G1235" s="11"/>
      <c r="H1235" s="9">
        <f t="shared" si="57"/>
        <v>0.3695</v>
      </c>
      <c r="I1235" s="4" t="str">
        <f t="shared" si="58"/>
        <v>Sin riesgo &lt;85%</v>
      </c>
      <c r="J1235" s="1" t="s">
        <v>13</v>
      </c>
      <c r="K1235" s="1" t="str">
        <f t="shared" si="59"/>
        <v>Sin riesgo</v>
      </c>
    </row>
    <row r="1236" spans="1:11">
      <c r="A1236" s="1" t="s">
        <v>425</v>
      </c>
      <c r="B1236" s="6" t="s">
        <v>14</v>
      </c>
      <c r="C1236" s="3">
        <v>7.53</v>
      </c>
      <c r="D1236" s="3">
        <v>6.57</v>
      </c>
      <c r="E1236" s="3">
        <v>20</v>
      </c>
      <c r="F1236" s="11"/>
      <c r="G1236" s="11"/>
      <c r="H1236" s="9">
        <f t="shared" si="57"/>
        <v>0.3765</v>
      </c>
      <c r="I1236" s="4" t="str">
        <f t="shared" si="58"/>
        <v>Sin riesgo &lt;85%</v>
      </c>
      <c r="J1236" s="1" t="s">
        <v>13</v>
      </c>
      <c r="K1236" s="1" t="str">
        <f t="shared" si="59"/>
        <v>Sin riesgo</v>
      </c>
    </row>
    <row r="1237" spans="1:11">
      <c r="A1237" s="1" t="s">
        <v>425</v>
      </c>
      <c r="B1237" s="6" t="s">
        <v>15</v>
      </c>
      <c r="C1237" s="3">
        <v>7.53</v>
      </c>
      <c r="D1237" s="3">
        <v>6.57</v>
      </c>
      <c r="E1237" s="3">
        <v>20</v>
      </c>
      <c r="F1237" s="11"/>
      <c r="G1237" s="11"/>
      <c r="H1237" s="9">
        <f t="shared" si="57"/>
        <v>0.3765</v>
      </c>
      <c r="I1237" s="4" t="str">
        <f t="shared" si="58"/>
        <v>Sin riesgo &lt;85%</v>
      </c>
      <c r="J1237" s="1" t="s">
        <v>13</v>
      </c>
      <c r="K1237" s="1" t="str">
        <f t="shared" si="59"/>
        <v>Sin riesgo</v>
      </c>
    </row>
    <row r="1238" spans="1:11">
      <c r="A1238" s="1" t="s">
        <v>426</v>
      </c>
      <c r="B1238" s="6" t="s">
        <v>12</v>
      </c>
      <c r="C1238" s="3">
        <v>6.39</v>
      </c>
      <c r="D1238" s="3">
        <v>6.23</v>
      </c>
      <c r="E1238" s="3">
        <v>10</v>
      </c>
      <c r="F1238" s="11"/>
      <c r="G1238" s="11"/>
      <c r="H1238" s="9">
        <f t="shared" si="57"/>
        <v>0.63900000000000001</v>
      </c>
      <c r="I1238" s="4" t="str">
        <f t="shared" si="58"/>
        <v>Sin riesgo &lt;85%</v>
      </c>
      <c r="J1238" s="1" t="s">
        <v>13</v>
      </c>
      <c r="K1238" s="1" t="str">
        <f t="shared" si="59"/>
        <v>Sin riesgo</v>
      </c>
    </row>
    <row r="1239" spans="1:11">
      <c r="A1239" s="1" t="s">
        <v>426</v>
      </c>
      <c r="B1239" s="6" t="s">
        <v>14</v>
      </c>
      <c r="C1239" s="3">
        <v>6.45</v>
      </c>
      <c r="D1239" s="3">
        <v>6.32</v>
      </c>
      <c r="E1239" s="3">
        <v>10</v>
      </c>
      <c r="F1239" s="11"/>
      <c r="G1239" s="11"/>
      <c r="H1239" s="9">
        <f t="shared" si="57"/>
        <v>0.64500000000000002</v>
      </c>
      <c r="I1239" s="4" t="str">
        <f t="shared" si="58"/>
        <v>Sin riesgo &lt;85%</v>
      </c>
      <c r="J1239" s="1" t="s">
        <v>13</v>
      </c>
      <c r="K1239" s="1" t="str">
        <f t="shared" si="59"/>
        <v>Sin riesgo</v>
      </c>
    </row>
    <row r="1240" spans="1:11">
      <c r="A1240" s="1" t="s">
        <v>426</v>
      </c>
      <c r="B1240" s="6" t="s">
        <v>15</v>
      </c>
      <c r="C1240" s="3">
        <v>6.45</v>
      </c>
      <c r="D1240" s="3">
        <v>6.32</v>
      </c>
      <c r="E1240" s="3">
        <v>10</v>
      </c>
      <c r="F1240" s="11"/>
      <c r="G1240" s="11"/>
      <c r="H1240" s="9">
        <f t="shared" si="57"/>
        <v>0.64500000000000002</v>
      </c>
      <c r="I1240" s="4" t="str">
        <f t="shared" si="58"/>
        <v>Sin riesgo &lt;85%</v>
      </c>
      <c r="J1240" s="1" t="s">
        <v>13</v>
      </c>
      <c r="K1240" s="1" t="str">
        <f t="shared" si="59"/>
        <v>Sin riesgo</v>
      </c>
    </row>
    <row r="1241" spans="1:11">
      <c r="A1241" s="1" t="s">
        <v>427</v>
      </c>
      <c r="B1241" s="6" t="s">
        <v>12</v>
      </c>
      <c r="C1241" s="3">
        <v>11.39</v>
      </c>
      <c r="D1241" s="3">
        <v>9.6</v>
      </c>
      <c r="E1241" s="3">
        <v>25</v>
      </c>
      <c r="F1241" s="11"/>
      <c r="G1241" s="11"/>
      <c r="H1241" s="9">
        <f t="shared" si="57"/>
        <v>0.4556</v>
      </c>
      <c r="I1241" s="4" t="str">
        <f t="shared" si="58"/>
        <v>Sin riesgo &lt;85%</v>
      </c>
      <c r="J1241" s="1" t="s">
        <v>13</v>
      </c>
      <c r="K1241" s="1" t="str">
        <f t="shared" si="59"/>
        <v>Sin riesgo</v>
      </c>
    </row>
    <row r="1242" spans="1:11">
      <c r="A1242" s="1" t="s">
        <v>427</v>
      </c>
      <c r="B1242" s="6" t="s">
        <v>14</v>
      </c>
      <c r="C1242" s="3">
        <v>11.53</v>
      </c>
      <c r="D1242" s="3">
        <v>9.75</v>
      </c>
      <c r="E1242" s="3">
        <v>25</v>
      </c>
      <c r="F1242" s="11"/>
      <c r="G1242" s="11"/>
      <c r="H1242" s="9">
        <f t="shared" si="57"/>
        <v>0.4612</v>
      </c>
      <c r="I1242" s="4" t="str">
        <f t="shared" si="58"/>
        <v>Sin riesgo &lt;85%</v>
      </c>
      <c r="J1242" s="1" t="s">
        <v>13</v>
      </c>
      <c r="K1242" s="1" t="str">
        <f t="shared" si="59"/>
        <v>Sin riesgo</v>
      </c>
    </row>
    <row r="1243" spans="1:11">
      <c r="A1243" s="1" t="s">
        <v>427</v>
      </c>
      <c r="B1243" s="6" t="s">
        <v>15</v>
      </c>
      <c r="C1243" s="3">
        <v>11.53</v>
      </c>
      <c r="D1243" s="3">
        <v>9.74</v>
      </c>
      <c r="E1243" s="3">
        <v>25</v>
      </c>
      <c r="F1243" s="11"/>
      <c r="G1243" s="11"/>
      <c r="H1243" s="9">
        <f t="shared" si="57"/>
        <v>0.4612</v>
      </c>
      <c r="I1243" s="4" t="str">
        <f t="shared" si="58"/>
        <v>Sin riesgo &lt;85%</v>
      </c>
      <c r="J1243" s="1" t="s">
        <v>13</v>
      </c>
      <c r="K1243" s="1" t="str">
        <f t="shared" si="59"/>
        <v>Sin riesgo</v>
      </c>
    </row>
    <row r="1244" spans="1:11">
      <c r="A1244" s="1" t="s">
        <v>428</v>
      </c>
      <c r="B1244" s="6" t="s">
        <v>12</v>
      </c>
      <c r="C1244" s="3">
        <v>13.33</v>
      </c>
      <c r="D1244" s="3">
        <v>12.02</v>
      </c>
      <c r="E1244" s="3">
        <v>40</v>
      </c>
      <c r="F1244" s="11"/>
      <c r="G1244" s="11"/>
      <c r="H1244" s="9">
        <f t="shared" si="57"/>
        <v>0.33324999999999999</v>
      </c>
      <c r="I1244" s="4" t="str">
        <f t="shared" si="58"/>
        <v>Sin riesgo &lt;85%</v>
      </c>
      <c r="J1244" s="1" t="s">
        <v>13</v>
      </c>
      <c r="K1244" s="1" t="str">
        <f t="shared" si="59"/>
        <v>Sin riesgo</v>
      </c>
    </row>
    <row r="1245" spans="1:11">
      <c r="A1245" s="1" t="s">
        <v>428</v>
      </c>
      <c r="B1245" s="6" t="s">
        <v>14</v>
      </c>
      <c r="C1245" s="3">
        <v>13.68</v>
      </c>
      <c r="D1245" s="3">
        <v>12.25</v>
      </c>
      <c r="E1245" s="3">
        <v>40</v>
      </c>
      <c r="F1245" s="11"/>
      <c r="G1245" s="11"/>
      <c r="H1245" s="9">
        <f t="shared" si="57"/>
        <v>0.34199999999999997</v>
      </c>
      <c r="I1245" s="4" t="str">
        <f t="shared" si="58"/>
        <v>Sin riesgo &lt;85%</v>
      </c>
      <c r="J1245" s="1" t="s">
        <v>13</v>
      </c>
      <c r="K1245" s="1" t="str">
        <f t="shared" si="59"/>
        <v>Sin riesgo</v>
      </c>
    </row>
    <row r="1246" spans="1:11">
      <c r="A1246" s="1" t="s">
        <v>428</v>
      </c>
      <c r="B1246" s="6" t="s">
        <v>15</v>
      </c>
      <c r="C1246" s="3">
        <v>13.68</v>
      </c>
      <c r="D1246" s="3">
        <v>12.25</v>
      </c>
      <c r="E1246" s="3">
        <v>40</v>
      </c>
      <c r="F1246" s="11"/>
      <c r="G1246" s="11"/>
      <c r="H1246" s="9">
        <f t="shared" si="57"/>
        <v>0.34199999999999997</v>
      </c>
      <c r="I1246" s="4" t="str">
        <f t="shared" si="58"/>
        <v>Sin riesgo &lt;85%</v>
      </c>
      <c r="J1246" s="1" t="s">
        <v>13</v>
      </c>
      <c r="K1246" s="1" t="str">
        <f t="shared" si="59"/>
        <v>Sin riesgo</v>
      </c>
    </row>
    <row r="1247" spans="1:11">
      <c r="A1247" s="1" t="s">
        <v>429</v>
      </c>
      <c r="B1247" s="6" t="s">
        <v>12</v>
      </c>
      <c r="C1247" s="3">
        <v>11.91</v>
      </c>
      <c r="D1247" s="3">
        <v>12.86</v>
      </c>
      <c r="E1247" s="3">
        <v>31.5</v>
      </c>
      <c r="F1247" s="4">
        <v>11.009181999999999</v>
      </c>
      <c r="G1247" s="4">
        <v>-74.234076999999999</v>
      </c>
      <c r="H1247" s="9">
        <f t="shared" si="57"/>
        <v>0.40825396825396826</v>
      </c>
      <c r="I1247" s="4" t="str">
        <f t="shared" si="58"/>
        <v>Sin riesgo &lt;85%</v>
      </c>
      <c r="J1247" s="1" t="s">
        <v>13</v>
      </c>
      <c r="K1247" s="1" t="str">
        <f t="shared" si="59"/>
        <v>Sin riesgo</v>
      </c>
    </row>
    <row r="1248" spans="1:11">
      <c r="A1248" s="1" t="s">
        <v>429</v>
      </c>
      <c r="B1248" s="6" t="s">
        <v>14</v>
      </c>
      <c r="C1248" s="3">
        <v>13.48</v>
      </c>
      <c r="D1248" s="3">
        <v>13.15</v>
      </c>
      <c r="E1248" s="3">
        <v>31.5</v>
      </c>
      <c r="F1248" s="4">
        <v>11.009181999999999</v>
      </c>
      <c r="G1248" s="4">
        <v>-74.234076999999999</v>
      </c>
      <c r="H1248" s="9">
        <f t="shared" si="57"/>
        <v>0.42793650793650795</v>
      </c>
      <c r="I1248" s="4" t="str">
        <f t="shared" si="58"/>
        <v>Sin riesgo &lt;85%</v>
      </c>
      <c r="J1248" s="1" t="s">
        <v>13</v>
      </c>
      <c r="K1248" s="1" t="str">
        <f t="shared" si="59"/>
        <v>Sin riesgo</v>
      </c>
    </row>
    <row r="1249" spans="1:11">
      <c r="A1249" s="1" t="s">
        <v>429</v>
      </c>
      <c r="B1249" s="6" t="s">
        <v>15</v>
      </c>
      <c r="C1249" s="3">
        <v>13.48</v>
      </c>
      <c r="D1249" s="3">
        <v>13.15</v>
      </c>
      <c r="E1249" s="3">
        <v>31.5</v>
      </c>
      <c r="F1249" s="4">
        <v>11.009181999999999</v>
      </c>
      <c r="G1249" s="4">
        <v>-74.234076999999999</v>
      </c>
      <c r="H1249" s="9">
        <f t="shared" si="57"/>
        <v>0.42793650793650795</v>
      </c>
      <c r="I1249" s="4" t="str">
        <f t="shared" si="58"/>
        <v>Sin riesgo &lt;85%</v>
      </c>
      <c r="J1249" s="1" t="s">
        <v>13</v>
      </c>
      <c r="K1249" s="1" t="str">
        <f t="shared" si="59"/>
        <v>Sin riesgo</v>
      </c>
    </row>
    <row r="1250" spans="1:11">
      <c r="A1250" s="1" t="s">
        <v>430</v>
      </c>
      <c r="B1250" s="6" t="s">
        <v>12</v>
      </c>
      <c r="C1250" s="3">
        <v>7.19</v>
      </c>
      <c r="D1250" s="3">
        <v>5.85</v>
      </c>
      <c r="E1250" s="3">
        <v>31.5</v>
      </c>
      <c r="F1250" s="4">
        <v>3.5205944056108902</v>
      </c>
      <c r="G1250" s="4">
        <v>-76.276966546542496</v>
      </c>
      <c r="H1250" s="9">
        <f t="shared" si="57"/>
        <v>0.22825396825396826</v>
      </c>
      <c r="I1250" s="4" t="str">
        <f t="shared" si="58"/>
        <v>Sin riesgo &lt;85%</v>
      </c>
      <c r="J1250" s="1" t="s">
        <v>13</v>
      </c>
      <c r="K1250" s="1" t="str">
        <f t="shared" si="59"/>
        <v>Sin riesgo</v>
      </c>
    </row>
    <row r="1251" spans="1:11">
      <c r="A1251" s="1" t="s">
        <v>430</v>
      </c>
      <c r="B1251" s="6" t="s">
        <v>14</v>
      </c>
      <c r="C1251" s="3">
        <v>7.24</v>
      </c>
      <c r="D1251" s="3">
        <v>5.87</v>
      </c>
      <c r="E1251" s="3">
        <v>31.5</v>
      </c>
      <c r="F1251" s="4">
        <v>3.5205944056108902</v>
      </c>
      <c r="G1251" s="4">
        <v>-76.276966546542496</v>
      </c>
      <c r="H1251" s="9">
        <f t="shared" si="57"/>
        <v>0.22984126984126985</v>
      </c>
      <c r="I1251" s="4" t="str">
        <f t="shared" si="58"/>
        <v>Sin riesgo &lt;85%</v>
      </c>
      <c r="J1251" s="1" t="s">
        <v>13</v>
      </c>
      <c r="K1251" s="1" t="str">
        <f t="shared" si="59"/>
        <v>Sin riesgo</v>
      </c>
    </row>
    <row r="1252" spans="1:11">
      <c r="A1252" s="1" t="s">
        <v>430</v>
      </c>
      <c r="B1252" s="6" t="s">
        <v>15</v>
      </c>
      <c r="C1252" s="3">
        <v>7.24</v>
      </c>
      <c r="D1252" s="3">
        <v>5.87</v>
      </c>
      <c r="E1252" s="3">
        <v>31.5</v>
      </c>
      <c r="F1252" s="4">
        <v>3.5205944056108902</v>
      </c>
      <c r="G1252" s="4">
        <v>-76.276966546542496</v>
      </c>
      <c r="H1252" s="9">
        <f t="shared" si="57"/>
        <v>0.22984126984126985</v>
      </c>
      <c r="I1252" s="4" t="str">
        <f t="shared" si="58"/>
        <v>Sin riesgo &lt;85%</v>
      </c>
      <c r="J1252" s="1" t="s">
        <v>13</v>
      </c>
      <c r="K1252" s="1" t="str">
        <f t="shared" si="59"/>
        <v>Sin riesgo</v>
      </c>
    </row>
    <row r="1253" spans="1:11">
      <c r="A1253" s="1" t="s">
        <v>431</v>
      </c>
      <c r="B1253" s="6" t="s">
        <v>12</v>
      </c>
      <c r="C1253" s="3">
        <v>13.37</v>
      </c>
      <c r="D1253" s="3">
        <v>10.28</v>
      </c>
      <c r="E1253" s="3">
        <v>40</v>
      </c>
      <c r="F1253" s="4">
        <v>11.915020999999999</v>
      </c>
      <c r="G1253" s="4">
        <v>-72.048743999999999</v>
      </c>
      <c r="H1253" s="9">
        <f t="shared" si="57"/>
        <v>0.33424999999999999</v>
      </c>
      <c r="I1253" s="4" t="str">
        <f t="shared" si="58"/>
        <v>Sin riesgo &lt;85%</v>
      </c>
      <c r="J1253" s="1">
        <v>0.84</v>
      </c>
      <c r="K1253" s="1" t="str">
        <f t="shared" si="59"/>
        <v>Estado critico</v>
      </c>
    </row>
    <row r="1254" spans="1:11">
      <c r="A1254" s="1" t="s">
        <v>431</v>
      </c>
      <c r="B1254" s="6" t="s">
        <v>14</v>
      </c>
      <c r="C1254" s="3">
        <v>13.68</v>
      </c>
      <c r="D1254" s="3">
        <v>10.53</v>
      </c>
      <c r="E1254" s="3">
        <v>40</v>
      </c>
      <c r="F1254" s="4">
        <v>11.915020999999999</v>
      </c>
      <c r="G1254" s="4">
        <v>-72.048743999999999</v>
      </c>
      <c r="H1254" s="9">
        <f t="shared" si="57"/>
        <v>0.34199999999999997</v>
      </c>
      <c r="I1254" s="4" t="str">
        <f t="shared" si="58"/>
        <v>Sin riesgo &lt;85%</v>
      </c>
      <c r="J1254" s="1">
        <v>0.84</v>
      </c>
      <c r="K1254" s="1" t="str">
        <f t="shared" si="59"/>
        <v>Estado critico</v>
      </c>
    </row>
    <row r="1255" spans="1:11">
      <c r="A1255" s="1" t="s">
        <v>431</v>
      </c>
      <c r="B1255" s="6" t="s">
        <v>15</v>
      </c>
      <c r="C1255" s="3">
        <v>13.68</v>
      </c>
      <c r="D1255" s="3">
        <v>10.53</v>
      </c>
      <c r="E1255" s="3">
        <v>40</v>
      </c>
      <c r="F1255" s="4">
        <v>11.915020999999999</v>
      </c>
      <c r="G1255" s="4">
        <v>-72.048743999999999</v>
      </c>
      <c r="H1255" s="9">
        <f t="shared" si="57"/>
        <v>0.34199999999999997</v>
      </c>
      <c r="I1255" s="4" t="str">
        <f t="shared" si="58"/>
        <v>Sin riesgo &lt;85%</v>
      </c>
      <c r="J1255" s="1">
        <v>0.84</v>
      </c>
      <c r="K1255" s="1" t="str">
        <f t="shared" si="59"/>
        <v>Estado critico</v>
      </c>
    </row>
    <row r="1256" spans="1:11">
      <c r="A1256" s="1" t="s">
        <v>432</v>
      </c>
      <c r="B1256" s="6" t="s">
        <v>12</v>
      </c>
      <c r="C1256" s="3">
        <v>11.34</v>
      </c>
      <c r="D1256" s="3">
        <v>13.36</v>
      </c>
      <c r="E1256" s="3">
        <v>12.5</v>
      </c>
      <c r="F1256" s="11"/>
      <c r="G1256" s="11"/>
      <c r="H1256" s="9">
        <f t="shared" si="57"/>
        <v>1.0688</v>
      </c>
      <c r="I1256" s="4" t="str">
        <f t="shared" si="58"/>
        <v>Altamente critico &gt;100%</v>
      </c>
      <c r="J1256" s="1">
        <v>1.38</v>
      </c>
      <c r="K1256" s="1" t="str">
        <f t="shared" si="59"/>
        <v>Estado critico</v>
      </c>
    </row>
    <row r="1257" spans="1:11">
      <c r="A1257" s="1" t="s">
        <v>432</v>
      </c>
      <c r="B1257" s="6" t="s">
        <v>14</v>
      </c>
      <c r="C1257" s="3">
        <v>11.5</v>
      </c>
      <c r="D1257" s="3">
        <v>13.58</v>
      </c>
      <c r="E1257" s="3">
        <v>12.5</v>
      </c>
      <c r="F1257" s="11"/>
      <c r="G1257" s="11"/>
      <c r="H1257" s="9">
        <f t="shared" si="57"/>
        <v>1.0864</v>
      </c>
      <c r="I1257" s="4" t="str">
        <f t="shared" si="58"/>
        <v>Altamente critico &gt;100%</v>
      </c>
      <c r="J1257" s="1">
        <v>1.38</v>
      </c>
      <c r="K1257" s="1" t="str">
        <f t="shared" si="59"/>
        <v>Estado critico</v>
      </c>
    </row>
    <row r="1258" spans="1:11">
      <c r="A1258" s="1" t="s">
        <v>432</v>
      </c>
      <c r="B1258" s="6" t="s">
        <v>15</v>
      </c>
      <c r="C1258" s="3">
        <v>11.5</v>
      </c>
      <c r="D1258" s="3">
        <v>13.57</v>
      </c>
      <c r="E1258" s="3">
        <v>12.5</v>
      </c>
      <c r="F1258" s="11"/>
      <c r="G1258" s="11"/>
      <c r="H1258" s="9">
        <f t="shared" si="57"/>
        <v>1.0856000000000001</v>
      </c>
      <c r="I1258" s="4" t="str">
        <f t="shared" si="58"/>
        <v>Altamente critico &gt;100%</v>
      </c>
      <c r="J1258" s="1">
        <v>1.38</v>
      </c>
      <c r="K1258" s="1" t="str">
        <f t="shared" si="59"/>
        <v>Estado critico</v>
      </c>
    </row>
    <row r="1259" spans="1:11">
      <c r="A1259" s="1" t="s">
        <v>433</v>
      </c>
      <c r="B1259" s="6" t="s">
        <v>12</v>
      </c>
      <c r="C1259" s="3">
        <v>31.77</v>
      </c>
      <c r="D1259" s="3">
        <v>27.85</v>
      </c>
      <c r="E1259" s="3">
        <v>25</v>
      </c>
      <c r="F1259" s="11"/>
      <c r="G1259" s="11"/>
      <c r="H1259" s="9">
        <f t="shared" si="57"/>
        <v>1.2707999999999999</v>
      </c>
      <c r="I1259" s="4" t="str">
        <f t="shared" si="58"/>
        <v>Altamente critico &gt;100%</v>
      </c>
      <c r="J1259" s="1">
        <v>0.89</v>
      </c>
      <c r="K1259" s="1" t="str">
        <f t="shared" si="59"/>
        <v>Estado critico</v>
      </c>
    </row>
    <row r="1260" spans="1:11">
      <c r="A1260" s="1" t="s">
        <v>433</v>
      </c>
      <c r="B1260" s="6" t="s">
        <v>14</v>
      </c>
      <c r="C1260" s="3">
        <v>32.57</v>
      </c>
      <c r="D1260" s="3">
        <v>28.56</v>
      </c>
      <c r="E1260" s="3">
        <v>25</v>
      </c>
      <c r="F1260" s="11"/>
      <c r="G1260" s="11"/>
      <c r="H1260" s="9">
        <f t="shared" si="57"/>
        <v>1.3028</v>
      </c>
      <c r="I1260" s="4" t="str">
        <f t="shared" si="58"/>
        <v>Altamente critico &gt;100%</v>
      </c>
      <c r="J1260" s="1">
        <v>0.89</v>
      </c>
      <c r="K1260" s="1" t="str">
        <f t="shared" si="59"/>
        <v>Estado critico</v>
      </c>
    </row>
    <row r="1261" spans="1:11">
      <c r="A1261" s="1" t="s">
        <v>433</v>
      </c>
      <c r="B1261" s="6" t="s">
        <v>15</v>
      </c>
      <c r="C1261" s="3">
        <v>32.57</v>
      </c>
      <c r="D1261" s="3">
        <v>28.55</v>
      </c>
      <c r="E1261" s="3">
        <v>25</v>
      </c>
      <c r="F1261" s="11"/>
      <c r="G1261" s="11"/>
      <c r="H1261" s="9">
        <f t="shared" si="57"/>
        <v>1.3028</v>
      </c>
      <c r="I1261" s="4" t="str">
        <f t="shared" si="58"/>
        <v>Altamente critico &gt;100%</v>
      </c>
      <c r="J1261" s="1">
        <v>0.89</v>
      </c>
      <c r="K1261" s="1" t="str">
        <f t="shared" si="59"/>
        <v>Estado critico</v>
      </c>
    </row>
    <row r="1262" spans="1:11">
      <c r="A1262" s="1" t="s">
        <v>434</v>
      </c>
      <c r="B1262" s="6" t="s">
        <v>12</v>
      </c>
      <c r="C1262" s="3">
        <v>21.56</v>
      </c>
      <c r="D1262" s="3">
        <v>17.03</v>
      </c>
      <c r="E1262" s="3">
        <v>25</v>
      </c>
      <c r="F1262" s="4">
        <v>11.183147999999999</v>
      </c>
      <c r="G1262" s="4">
        <v>-72.609538999999998</v>
      </c>
      <c r="H1262" s="9">
        <f t="shared" si="57"/>
        <v>0.86239999999999994</v>
      </c>
      <c r="I1262" s="4" t="str">
        <f t="shared" si="58"/>
        <v>En riesgo &gt;85%</v>
      </c>
      <c r="J1262" s="1">
        <v>0.82</v>
      </c>
      <c r="K1262" s="1" t="str">
        <f t="shared" si="59"/>
        <v>Estado critico</v>
      </c>
    </row>
    <row r="1263" spans="1:11">
      <c r="A1263" s="1" t="s">
        <v>434</v>
      </c>
      <c r="B1263" s="6" t="s">
        <v>14</v>
      </c>
      <c r="C1263" s="3">
        <v>22.19</v>
      </c>
      <c r="D1263" s="3">
        <v>17.54</v>
      </c>
      <c r="E1263" s="3">
        <v>25</v>
      </c>
      <c r="F1263" s="4">
        <v>11.183147999999999</v>
      </c>
      <c r="G1263" s="4">
        <v>-72.609538999999998</v>
      </c>
      <c r="H1263" s="9">
        <f t="shared" si="57"/>
        <v>0.88760000000000006</v>
      </c>
      <c r="I1263" s="4" t="str">
        <f t="shared" si="58"/>
        <v>En riesgo &gt;85%</v>
      </c>
      <c r="J1263" s="1">
        <v>0.82</v>
      </c>
      <c r="K1263" s="1" t="str">
        <f t="shared" si="59"/>
        <v>Estado critico</v>
      </c>
    </row>
    <row r="1264" spans="1:11">
      <c r="A1264" s="1" t="s">
        <v>434</v>
      </c>
      <c r="B1264" s="6" t="s">
        <v>15</v>
      </c>
      <c r="C1264" s="3">
        <v>22.19</v>
      </c>
      <c r="D1264" s="3">
        <v>17.54</v>
      </c>
      <c r="E1264" s="3">
        <v>25</v>
      </c>
      <c r="F1264" s="4">
        <v>11.183147999999999</v>
      </c>
      <c r="G1264" s="4">
        <v>-72.609538999999998</v>
      </c>
      <c r="H1264" s="9">
        <f t="shared" si="57"/>
        <v>0.88760000000000006</v>
      </c>
      <c r="I1264" s="4" t="str">
        <f t="shared" si="58"/>
        <v>En riesgo &gt;85%</v>
      </c>
      <c r="J1264" s="1">
        <v>0.82</v>
      </c>
      <c r="K1264" s="1" t="str">
        <f t="shared" si="59"/>
        <v>Estado critico</v>
      </c>
    </row>
    <row r="1265" spans="1:11">
      <c r="A1265" s="1" t="s">
        <v>435</v>
      </c>
      <c r="B1265" s="6" t="s">
        <v>12</v>
      </c>
      <c r="C1265" s="3">
        <v>21.59</v>
      </c>
      <c r="D1265" s="3">
        <v>17.09</v>
      </c>
      <c r="E1265" s="3">
        <v>40</v>
      </c>
      <c r="F1265" s="4">
        <v>11.183147999999999</v>
      </c>
      <c r="G1265" s="4">
        <v>-72.609538999999998</v>
      </c>
      <c r="H1265" s="9">
        <f t="shared" si="57"/>
        <v>0.53974999999999995</v>
      </c>
      <c r="I1265" s="4" t="str">
        <f t="shared" si="58"/>
        <v>Sin riesgo &lt;85%</v>
      </c>
      <c r="J1265" s="1" t="s">
        <v>13</v>
      </c>
      <c r="K1265" s="1" t="str">
        <f t="shared" si="59"/>
        <v>Sin riesgo</v>
      </c>
    </row>
    <row r="1266" spans="1:11">
      <c r="A1266" s="1" t="s">
        <v>435</v>
      </c>
      <c r="B1266" s="6" t="s">
        <v>14</v>
      </c>
      <c r="C1266" s="3">
        <v>22.22</v>
      </c>
      <c r="D1266" s="3">
        <v>17.600000000000001</v>
      </c>
      <c r="E1266" s="3">
        <v>40</v>
      </c>
      <c r="F1266" s="4">
        <v>11.183147999999999</v>
      </c>
      <c r="G1266" s="4">
        <v>-72.609538999999998</v>
      </c>
      <c r="H1266" s="9">
        <f t="shared" si="57"/>
        <v>0.55549999999999999</v>
      </c>
      <c r="I1266" s="4" t="str">
        <f t="shared" si="58"/>
        <v>Sin riesgo &lt;85%</v>
      </c>
      <c r="J1266" s="1" t="s">
        <v>13</v>
      </c>
      <c r="K1266" s="1" t="str">
        <f t="shared" si="59"/>
        <v>Sin riesgo</v>
      </c>
    </row>
    <row r="1267" spans="1:11">
      <c r="A1267" s="1" t="s">
        <v>435</v>
      </c>
      <c r="B1267" s="6" t="s">
        <v>15</v>
      </c>
      <c r="C1267" s="3">
        <v>22.22</v>
      </c>
      <c r="D1267" s="3">
        <v>17.600000000000001</v>
      </c>
      <c r="E1267" s="3">
        <v>40</v>
      </c>
      <c r="F1267" s="4">
        <v>11.183147999999999</v>
      </c>
      <c r="G1267" s="4">
        <v>-72.609538999999998</v>
      </c>
      <c r="H1267" s="9">
        <f t="shared" si="57"/>
        <v>0.55549999999999999</v>
      </c>
      <c r="I1267" s="4" t="str">
        <f t="shared" si="58"/>
        <v>Sin riesgo &lt;85%</v>
      </c>
      <c r="J1267" s="1" t="s">
        <v>13</v>
      </c>
      <c r="K1267" s="1" t="str">
        <f t="shared" si="59"/>
        <v>Sin riesgo</v>
      </c>
    </row>
    <row r="1268" spans="1:11">
      <c r="A1268" s="1" t="s">
        <v>436</v>
      </c>
      <c r="B1268" s="6" t="s">
        <v>12</v>
      </c>
      <c r="C1268" s="3">
        <v>22.45</v>
      </c>
      <c r="D1268" s="3">
        <v>15.82</v>
      </c>
      <c r="E1268" s="3">
        <v>31.5</v>
      </c>
      <c r="F1268" s="4">
        <v>11.183147999999999</v>
      </c>
      <c r="G1268" s="4">
        <v>-72.609538999999998</v>
      </c>
      <c r="H1268" s="9">
        <f t="shared" si="57"/>
        <v>0.71269841269841272</v>
      </c>
      <c r="I1268" s="4" t="str">
        <f t="shared" si="58"/>
        <v>Sin riesgo &lt;85%</v>
      </c>
      <c r="J1268" s="1">
        <v>1.19</v>
      </c>
      <c r="K1268" s="1" t="str">
        <f t="shared" si="59"/>
        <v>Estado critico</v>
      </c>
    </row>
    <row r="1269" spans="1:11">
      <c r="A1269" s="1" t="s">
        <v>436</v>
      </c>
      <c r="B1269" s="6" t="s">
        <v>14</v>
      </c>
      <c r="C1269" s="3">
        <v>22.98</v>
      </c>
      <c r="D1269" s="3">
        <v>16.190000000000001</v>
      </c>
      <c r="E1269" s="3">
        <v>31.5</v>
      </c>
      <c r="F1269" s="4">
        <v>11.183147999999999</v>
      </c>
      <c r="G1269" s="4">
        <v>-72.609538999999998</v>
      </c>
      <c r="H1269" s="9">
        <f t="shared" si="57"/>
        <v>0.72952380952380957</v>
      </c>
      <c r="I1269" s="4" t="str">
        <f t="shared" si="58"/>
        <v>Sin riesgo &lt;85%</v>
      </c>
      <c r="J1269" s="1">
        <v>1.19</v>
      </c>
      <c r="K1269" s="1" t="str">
        <f t="shared" si="59"/>
        <v>Estado critico</v>
      </c>
    </row>
    <row r="1270" spans="1:11">
      <c r="A1270" s="1" t="s">
        <v>436</v>
      </c>
      <c r="B1270" s="6" t="s">
        <v>15</v>
      </c>
      <c r="C1270" s="3">
        <v>22.98</v>
      </c>
      <c r="D1270" s="3">
        <v>16.190000000000001</v>
      </c>
      <c r="E1270" s="3">
        <v>31.5</v>
      </c>
      <c r="F1270" s="4">
        <v>11.183147999999999</v>
      </c>
      <c r="G1270" s="4">
        <v>-72.609538999999998</v>
      </c>
      <c r="H1270" s="9">
        <f t="shared" si="57"/>
        <v>0.72952380952380957</v>
      </c>
      <c r="I1270" s="4" t="str">
        <f t="shared" si="58"/>
        <v>Sin riesgo &lt;85%</v>
      </c>
      <c r="J1270" s="1">
        <v>1.19</v>
      </c>
      <c r="K1270" s="1" t="str">
        <f t="shared" si="59"/>
        <v>Estado critico</v>
      </c>
    </row>
    <row r="1271" spans="1:11">
      <c r="A1271" s="1" t="s">
        <v>437</v>
      </c>
      <c r="B1271" s="6" t="s">
        <v>12</v>
      </c>
      <c r="C1271" s="3">
        <v>21.59</v>
      </c>
      <c r="D1271" s="3">
        <v>17.09</v>
      </c>
      <c r="E1271" s="3">
        <v>40</v>
      </c>
      <c r="F1271" s="4">
        <v>11.183147999999999</v>
      </c>
      <c r="G1271" s="4">
        <v>-72.609538999999998</v>
      </c>
      <c r="H1271" s="9">
        <f t="shared" si="57"/>
        <v>0.53974999999999995</v>
      </c>
      <c r="I1271" s="4" t="str">
        <f t="shared" si="58"/>
        <v>Sin riesgo &lt;85%</v>
      </c>
      <c r="J1271" s="1">
        <v>0.91</v>
      </c>
      <c r="K1271" s="1" t="str">
        <f t="shared" si="59"/>
        <v>Estado critico</v>
      </c>
    </row>
    <row r="1272" spans="1:11">
      <c r="A1272" s="1" t="s">
        <v>437</v>
      </c>
      <c r="B1272" s="6" t="s">
        <v>14</v>
      </c>
      <c r="C1272" s="3">
        <v>22.22</v>
      </c>
      <c r="D1272" s="3">
        <v>17.600000000000001</v>
      </c>
      <c r="E1272" s="3">
        <v>40</v>
      </c>
      <c r="F1272" s="4">
        <v>11.183147999999999</v>
      </c>
      <c r="G1272" s="4">
        <v>-72.609538999999998</v>
      </c>
      <c r="H1272" s="9">
        <f t="shared" si="57"/>
        <v>0.55549999999999999</v>
      </c>
      <c r="I1272" s="4" t="str">
        <f t="shared" si="58"/>
        <v>Sin riesgo &lt;85%</v>
      </c>
      <c r="J1272" s="1">
        <v>0.91</v>
      </c>
      <c r="K1272" s="1" t="str">
        <f t="shared" si="59"/>
        <v>Estado critico</v>
      </c>
    </row>
    <row r="1273" spans="1:11">
      <c r="A1273" s="1" t="s">
        <v>437</v>
      </c>
      <c r="B1273" s="6" t="s">
        <v>15</v>
      </c>
      <c r="C1273" s="3">
        <v>22.22</v>
      </c>
      <c r="D1273" s="3">
        <v>17.600000000000001</v>
      </c>
      <c r="E1273" s="3">
        <v>40</v>
      </c>
      <c r="F1273" s="4">
        <v>11.183147999999999</v>
      </c>
      <c r="G1273" s="4">
        <v>-72.609538999999998</v>
      </c>
      <c r="H1273" s="9">
        <f t="shared" si="57"/>
        <v>0.55549999999999999</v>
      </c>
      <c r="I1273" s="4" t="str">
        <f t="shared" si="58"/>
        <v>Sin riesgo &lt;85%</v>
      </c>
      <c r="J1273" s="1">
        <v>0.91</v>
      </c>
      <c r="K1273" s="1" t="str">
        <f t="shared" si="59"/>
        <v>Estado critico</v>
      </c>
    </row>
    <row r="1274" spans="1:11">
      <c r="A1274" s="1" t="s">
        <v>438</v>
      </c>
      <c r="B1274" s="6" t="s">
        <v>12</v>
      </c>
      <c r="C1274" s="3">
        <v>1.49</v>
      </c>
      <c r="D1274" s="3">
        <v>2.2400000000000002</v>
      </c>
      <c r="E1274" s="3">
        <v>31.5</v>
      </c>
      <c r="F1274" s="4">
        <v>9.2035099999999996</v>
      </c>
      <c r="G1274" s="4">
        <v>-73.967436000000006</v>
      </c>
      <c r="H1274" s="9">
        <f t="shared" si="57"/>
        <v>7.1111111111111111E-2</v>
      </c>
      <c r="I1274" s="4" t="str">
        <f t="shared" si="58"/>
        <v>Sin riesgo &lt;85%</v>
      </c>
      <c r="J1274" s="1" t="s">
        <v>13</v>
      </c>
      <c r="K1274" s="1" t="str">
        <f t="shared" si="59"/>
        <v>Sin riesgo</v>
      </c>
    </row>
    <row r="1275" spans="1:11">
      <c r="A1275" s="1" t="s">
        <v>438</v>
      </c>
      <c r="B1275" s="6" t="s">
        <v>14</v>
      </c>
      <c r="C1275" s="3">
        <v>4.13</v>
      </c>
      <c r="D1275" s="3">
        <v>6.12</v>
      </c>
      <c r="E1275" s="3">
        <v>31.5</v>
      </c>
      <c r="F1275" s="4">
        <v>9.2035099999999996</v>
      </c>
      <c r="G1275" s="4">
        <v>-73.967436000000006</v>
      </c>
      <c r="H1275" s="9">
        <f t="shared" si="57"/>
        <v>0.19428571428571428</v>
      </c>
      <c r="I1275" s="4" t="str">
        <f t="shared" si="58"/>
        <v>Sin riesgo &lt;85%</v>
      </c>
      <c r="J1275" s="1" t="s">
        <v>13</v>
      </c>
      <c r="K1275" s="1" t="str">
        <f t="shared" si="59"/>
        <v>Sin riesgo</v>
      </c>
    </row>
    <row r="1276" spans="1:11">
      <c r="A1276" s="1" t="s">
        <v>438</v>
      </c>
      <c r="B1276" s="6" t="s">
        <v>15</v>
      </c>
      <c r="C1276" s="3">
        <v>4.13</v>
      </c>
      <c r="D1276" s="3">
        <v>6.12</v>
      </c>
      <c r="E1276" s="3">
        <v>31.5</v>
      </c>
      <c r="F1276" s="4">
        <v>9.2035099999999996</v>
      </c>
      <c r="G1276" s="4">
        <v>-73.967436000000006</v>
      </c>
      <c r="H1276" s="9">
        <f t="shared" si="57"/>
        <v>0.19428571428571428</v>
      </c>
      <c r="I1276" s="4" t="str">
        <f t="shared" si="58"/>
        <v>Sin riesgo &lt;85%</v>
      </c>
      <c r="J1276" s="1" t="s">
        <v>13</v>
      </c>
      <c r="K1276" s="1" t="str">
        <f t="shared" si="59"/>
        <v>Sin riesgo</v>
      </c>
    </row>
    <row r="1277" spans="1:11">
      <c r="A1277" s="1" t="s">
        <v>439</v>
      </c>
      <c r="B1277" s="6" t="s">
        <v>12</v>
      </c>
      <c r="C1277" s="3">
        <v>18.68</v>
      </c>
      <c r="D1277" s="3">
        <v>18.86</v>
      </c>
      <c r="E1277" s="3">
        <v>40</v>
      </c>
      <c r="F1277" s="11"/>
      <c r="G1277" s="11"/>
      <c r="H1277" s="9">
        <f t="shared" si="57"/>
        <v>0.47149999999999997</v>
      </c>
      <c r="I1277" s="4" t="str">
        <f t="shared" si="58"/>
        <v>Sin riesgo &lt;85%</v>
      </c>
      <c r="J1277" s="1">
        <v>0.93</v>
      </c>
      <c r="K1277" s="1" t="str">
        <f t="shared" si="59"/>
        <v>Estado critico</v>
      </c>
    </row>
    <row r="1278" spans="1:11">
      <c r="A1278" s="1" t="s">
        <v>439</v>
      </c>
      <c r="B1278" s="6" t="s">
        <v>14</v>
      </c>
      <c r="C1278" s="3">
        <v>19.53</v>
      </c>
      <c r="D1278" s="3">
        <v>19.670000000000002</v>
      </c>
      <c r="E1278" s="3">
        <v>40</v>
      </c>
      <c r="F1278" s="11"/>
      <c r="G1278" s="11"/>
      <c r="H1278" s="9">
        <f t="shared" si="57"/>
        <v>0.49175000000000002</v>
      </c>
      <c r="I1278" s="4" t="str">
        <f t="shared" si="58"/>
        <v>Sin riesgo &lt;85%</v>
      </c>
      <c r="J1278" s="1">
        <v>0.93</v>
      </c>
      <c r="K1278" s="1" t="str">
        <f t="shared" si="59"/>
        <v>Estado critico</v>
      </c>
    </row>
    <row r="1279" spans="1:11">
      <c r="A1279" s="1" t="s">
        <v>439</v>
      </c>
      <c r="B1279" s="6" t="s">
        <v>15</v>
      </c>
      <c r="C1279" s="3">
        <v>19.53</v>
      </c>
      <c r="D1279" s="3">
        <v>19.670000000000002</v>
      </c>
      <c r="E1279" s="3">
        <v>40</v>
      </c>
      <c r="F1279" s="11"/>
      <c r="G1279" s="11"/>
      <c r="H1279" s="9">
        <f t="shared" si="57"/>
        <v>0.49175000000000002</v>
      </c>
      <c r="I1279" s="4" t="str">
        <f t="shared" si="58"/>
        <v>Sin riesgo &lt;85%</v>
      </c>
      <c r="J1279" s="1">
        <v>0.93</v>
      </c>
      <c r="K1279" s="1" t="str">
        <f t="shared" si="59"/>
        <v>Estado critico</v>
      </c>
    </row>
    <row r="1280" spans="1:11">
      <c r="A1280" s="1" t="s">
        <v>440</v>
      </c>
      <c r="B1280" s="6" t="s">
        <v>12</v>
      </c>
      <c r="C1280" s="3">
        <v>11.73</v>
      </c>
      <c r="D1280" s="3">
        <v>11.49</v>
      </c>
      <c r="E1280" s="3">
        <v>31.5</v>
      </c>
      <c r="F1280" s="11"/>
      <c r="G1280" s="11"/>
      <c r="H1280" s="9">
        <f t="shared" si="57"/>
        <v>0.37238095238095237</v>
      </c>
      <c r="I1280" s="4" t="str">
        <f t="shared" si="58"/>
        <v>Sin riesgo &lt;85%</v>
      </c>
      <c r="J1280" s="1">
        <v>1.2</v>
      </c>
      <c r="K1280" s="1" t="str">
        <f t="shared" si="59"/>
        <v>Estado critico</v>
      </c>
    </row>
    <row r="1281" spans="1:11">
      <c r="A1281" s="1" t="s">
        <v>440</v>
      </c>
      <c r="B1281" s="6" t="s">
        <v>14</v>
      </c>
      <c r="C1281" s="3">
        <v>13.62</v>
      </c>
      <c r="D1281" s="3">
        <v>12.88</v>
      </c>
      <c r="E1281" s="3">
        <v>31.5</v>
      </c>
      <c r="F1281" s="11"/>
      <c r="G1281" s="11"/>
      <c r="H1281" s="9">
        <f t="shared" si="57"/>
        <v>0.43238095238095237</v>
      </c>
      <c r="I1281" s="4" t="str">
        <f t="shared" si="58"/>
        <v>Sin riesgo &lt;85%</v>
      </c>
      <c r="J1281" s="1">
        <v>1.2</v>
      </c>
      <c r="K1281" s="1" t="str">
        <f t="shared" si="59"/>
        <v>Estado critico</v>
      </c>
    </row>
    <row r="1282" spans="1:11">
      <c r="A1282" s="1" t="s">
        <v>440</v>
      </c>
      <c r="B1282" s="6" t="s">
        <v>15</v>
      </c>
      <c r="C1282" s="3">
        <v>13.62</v>
      </c>
      <c r="D1282" s="3">
        <v>12.88</v>
      </c>
      <c r="E1282" s="3">
        <v>31.5</v>
      </c>
      <c r="F1282" s="11"/>
      <c r="G1282" s="11"/>
      <c r="H1282" s="9">
        <f t="shared" si="57"/>
        <v>0.43238095238095237</v>
      </c>
      <c r="I1282" s="4" t="str">
        <f t="shared" si="58"/>
        <v>Sin riesgo &lt;85%</v>
      </c>
      <c r="J1282" s="1">
        <v>1.2</v>
      </c>
      <c r="K1282" s="1" t="str">
        <f t="shared" si="59"/>
        <v>Estado critico</v>
      </c>
    </row>
    <row r="1283" spans="1:11">
      <c r="A1283" s="1" t="s">
        <v>441</v>
      </c>
      <c r="B1283" s="6" t="s">
        <v>12</v>
      </c>
      <c r="C1283" s="3">
        <v>12.7</v>
      </c>
      <c r="D1283" s="3">
        <v>10.19</v>
      </c>
      <c r="E1283" s="3">
        <v>26</v>
      </c>
      <c r="F1283" s="4">
        <v>10.50737</v>
      </c>
      <c r="G1283" s="4">
        <v>-74.174753999999993</v>
      </c>
      <c r="H1283" s="9">
        <f t="shared" ref="H1283:H1346" si="60">IF(C1283&gt;D1283,C1283/E1283,D1283/E1283)</f>
        <v>0.48846153846153845</v>
      </c>
      <c r="I1283" s="4" t="str">
        <f t="shared" ref="I1283:I1346" si="61">IF(H1283&gt;100%,"Altamente critico &gt;100%",IF(H1283&gt;95%,"Critico &gt;95%",IF(H1283&gt;85%,"En riesgo &gt;85%","Sin riesgo &lt;85%")))</f>
        <v>Sin riesgo &lt;85%</v>
      </c>
      <c r="J1283" s="1" t="s">
        <v>13</v>
      </c>
      <c r="K1283" s="1" t="str">
        <f t="shared" ref="K1283:K1346" si="62">IF(J1283="&gt;5","Sin riesgo",IF(J1283&gt;1.5,"Estado de alerta","Estado critico"))</f>
        <v>Sin riesgo</v>
      </c>
    </row>
    <row r="1284" spans="1:11">
      <c r="A1284" s="1" t="s">
        <v>441</v>
      </c>
      <c r="B1284" s="6" t="s">
        <v>14</v>
      </c>
      <c r="C1284" s="3">
        <v>12.69</v>
      </c>
      <c r="D1284" s="3">
        <v>10.18</v>
      </c>
      <c r="E1284" s="3">
        <v>26</v>
      </c>
      <c r="F1284" s="4">
        <v>10.50737</v>
      </c>
      <c r="G1284" s="4">
        <v>-74.174753999999993</v>
      </c>
      <c r="H1284" s="9">
        <f t="shared" si="60"/>
        <v>0.48807692307692307</v>
      </c>
      <c r="I1284" s="4" t="str">
        <f t="shared" si="61"/>
        <v>Sin riesgo &lt;85%</v>
      </c>
      <c r="J1284" s="1" t="s">
        <v>13</v>
      </c>
      <c r="K1284" s="1" t="str">
        <f t="shared" si="62"/>
        <v>Sin riesgo</v>
      </c>
    </row>
    <row r="1285" spans="1:11">
      <c r="A1285" s="1" t="s">
        <v>441</v>
      </c>
      <c r="B1285" s="6" t="s">
        <v>15</v>
      </c>
      <c r="C1285" s="3">
        <v>12.69</v>
      </c>
      <c r="D1285" s="3">
        <v>10.18</v>
      </c>
      <c r="E1285" s="3">
        <v>26</v>
      </c>
      <c r="F1285" s="4">
        <v>10.50737</v>
      </c>
      <c r="G1285" s="4">
        <v>-74.174753999999993</v>
      </c>
      <c r="H1285" s="9">
        <f t="shared" si="60"/>
        <v>0.48807692307692307</v>
      </c>
      <c r="I1285" s="4" t="str">
        <f t="shared" si="61"/>
        <v>Sin riesgo &lt;85%</v>
      </c>
      <c r="J1285" s="1" t="s">
        <v>13</v>
      </c>
      <c r="K1285" s="1" t="str">
        <f t="shared" si="62"/>
        <v>Sin riesgo</v>
      </c>
    </row>
    <row r="1286" spans="1:11">
      <c r="A1286" s="1" t="s">
        <v>442</v>
      </c>
      <c r="B1286" s="6" t="s">
        <v>12</v>
      </c>
      <c r="C1286" s="3">
        <v>23.08</v>
      </c>
      <c r="D1286" s="3">
        <v>23.73</v>
      </c>
      <c r="E1286" s="3">
        <v>40</v>
      </c>
      <c r="F1286" s="4">
        <v>10.50737</v>
      </c>
      <c r="G1286" s="4">
        <v>-74.174753999999993</v>
      </c>
      <c r="H1286" s="9">
        <f t="shared" si="60"/>
        <v>0.59325000000000006</v>
      </c>
      <c r="I1286" s="4" t="str">
        <f t="shared" si="61"/>
        <v>Sin riesgo &lt;85%</v>
      </c>
      <c r="J1286" s="1" t="s">
        <v>13</v>
      </c>
      <c r="K1286" s="1" t="str">
        <f t="shared" si="62"/>
        <v>Sin riesgo</v>
      </c>
    </row>
    <row r="1287" spans="1:11">
      <c r="A1287" s="1" t="s">
        <v>442</v>
      </c>
      <c r="B1287" s="6" t="s">
        <v>14</v>
      </c>
      <c r="C1287" s="3">
        <v>23.5</v>
      </c>
      <c r="D1287" s="3">
        <v>24.13</v>
      </c>
      <c r="E1287" s="3">
        <v>40</v>
      </c>
      <c r="F1287" s="4">
        <v>10.50737</v>
      </c>
      <c r="G1287" s="4">
        <v>-74.174753999999993</v>
      </c>
      <c r="H1287" s="9">
        <f t="shared" si="60"/>
        <v>0.60324999999999995</v>
      </c>
      <c r="I1287" s="4" t="str">
        <f t="shared" si="61"/>
        <v>Sin riesgo &lt;85%</v>
      </c>
      <c r="J1287" s="1" t="s">
        <v>13</v>
      </c>
      <c r="K1287" s="1" t="str">
        <f t="shared" si="62"/>
        <v>Sin riesgo</v>
      </c>
    </row>
    <row r="1288" spans="1:11">
      <c r="A1288" s="1" t="s">
        <v>442</v>
      </c>
      <c r="B1288" s="6" t="s">
        <v>15</v>
      </c>
      <c r="C1288" s="3">
        <v>23.5</v>
      </c>
      <c r="D1288" s="3">
        <v>24.13</v>
      </c>
      <c r="E1288" s="3">
        <v>40</v>
      </c>
      <c r="F1288" s="4">
        <v>10.50737</v>
      </c>
      <c r="G1288" s="4">
        <v>-74.174753999999993</v>
      </c>
      <c r="H1288" s="9">
        <f t="shared" si="60"/>
        <v>0.60324999999999995</v>
      </c>
      <c r="I1288" s="4" t="str">
        <f t="shared" si="61"/>
        <v>Sin riesgo &lt;85%</v>
      </c>
      <c r="J1288" s="1" t="s">
        <v>13</v>
      </c>
      <c r="K1288" s="1" t="str">
        <f t="shared" si="62"/>
        <v>Sin riesgo</v>
      </c>
    </row>
    <row r="1289" spans="1:11">
      <c r="A1289" s="1" t="s">
        <v>443</v>
      </c>
      <c r="B1289" s="6" t="s">
        <v>12</v>
      </c>
      <c r="C1289" s="3">
        <v>9.69</v>
      </c>
      <c r="D1289" s="3">
        <v>10.75</v>
      </c>
      <c r="E1289" s="3">
        <v>31.5</v>
      </c>
      <c r="F1289" s="4">
        <v>11.178368000000001</v>
      </c>
      <c r="G1289" s="4">
        <v>-74.227401999999998</v>
      </c>
      <c r="H1289" s="9">
        <f t="shared" si="60"/>
        <v>0.34126984126984128</v>
      </c>
      <c r="I1289" s="4" t="str">
        <f t="shared" si="61"/>
        <v>Sin riesgo &lt;85%</v>
      </c>
      <c r="J1289" s="1" t="s">
        <v>13</v>
      </c>
      <c r="K1289" s="1" t="str">
        <f t="shared" si="62"/>
        <v>Sin riesgo</v>
      </c>
    </row>
    <row r="1290" spans="1:11">
      <c r="A1290" s="1" t="s">
        <v>443</v>
      </c>
      <c r="B1290" s="6" t="s">
        <v>14</v>
      </c>
      <c r="C1290" s="3">
        <v>10.029999999999999</v>
      </c>
      <c r="D1290" s="3">
        <v>10.96</v>
      </c>
      <c r="E1290" s="3">
        <v>31.5</v>
      </c>
      <c r="F1290" s="4">
        <v>11.178368000000001</v>
      </c>
      <c r="G1290" s="4">
        <v>-74.227401999999998</v>
      </c>
      <c r="H1290" s="9">
        <f t="shared" si="60"/>
        <v>0.34793650793650799</v>
      </c>
      <c r="I1290" s="4" t="str">
        <f t="shared" si="61"/>
        <v>Sin riesgo &lt;85%</v>
      </c>
      <c r="J1290" s="1" t="s">
        <v>13</v>
      </c>
      <c r="K1290" s="1" t="str">
        <f t="shared" si="62"/>
        <v>Sin riesgo</v>
      </c>
    </row>
    <row r="1291" spans="1:11">
      <c r="A1291" s="1" t="s">
        <v>443</v>
      </c>
      <c r="B1291" s="6" t="s">
        <v>15</v>
      </c>
      <c r="C1291" s="3">
        <v>10.029999999999999</v>
      </c>
      <c r="D1291" s="3">
        <v>10.96</v>
      </c>
      <c r="E1291" s="3">
        <v>31.5</v>
      </c>
      <c r="F1291" s="4">
        <v>11.178368000000001</v>
      </c>
      <c r="G1291" s="4">
        <v>-74.227401999999998</v>
      </c>
      <c r="H1291" s="9">
        <f t="shared" si="60"/>
        <v>0.34793650793650799</v>
      </c>
      <c r="I1291" s="4" t="str">
        <f t="shared" si="61"/>
        <v>Sin riesgo &lt;85%</v>
      </c>
      <c r="J1291" s="1" t="s">
        <v>13</v>
      </c>
      <c r="K1291" s="1" t="str">
        <f t="shared" si="62"/>
        <v>Sin riesgo</v>
      </c>
    </row>
    <row r="1292" spans="1:11">
      <c r="A1292" s="1" t="s">
        <v>444</v>
      </c>
      <c r="B1292" s="6" t="s">
        <v>12</v>
      </c>
      <c r="C1292" s="3">
        <v>7.02</v>
      </c>
      <c r="D1292" s="3">
        <v>7.51</v>
      </c>
      <c r="E1292" s="3">
        <v>40</v>
      </c>
      <c r="F1292" s="4">
        <v>10.74377</v>
      </c>
      <c r="G1292" s="4">
        <v>-74.149373999999995</v>
      </c>
      <c r="H1292" s="9">
        <f t="shared" si="60"/>
        <v>0.18775</v>
      </c>
      <c r="I1292" s="4" t="str">
        <f t="shared" si="61"/>
        <v>Sin riesgo &lt;85%</v>
      </c>
      <c r="J1292" s="1" t="s">
        <v>13</v>
      </c>
      <c r="K1292" s="1" t="str">
        <f t="shared" si="62"/>
        <v>Sin riesgo</v>
      </c>
    </row>
    <row r="1293" spans="1:11">
      <c r="A1293" s="1" t="s">
        <v>444</v>
      </c>
      <c r="B1293" s="6" t="s">
        <v>14</v>
      </c>
      <c r="C1293" s="3">
        <v>7.11</v>
      </c>
      <c r="D1293" s="3">
        <v>7.57</v>
      </c>
      <c r="E1293" s="3">
        <v>40</v>
      </c>
      <c r="F1293" s="4">
        <v>10.74377</v>
      </c>
      <c r="G1293" s="4">
        <v>-74.149373999999995</v>
      </c>
      <c r="H1293" s="9">
        <f t="shared" si="60"/>
        <v>0.18925</v>
      </c>
      <c r="I1293" s="4" t="str">
        <f t="shared" si="61"/>
        <v>Sin riesgo &lt;85%</v>
      </c>
      <c r="J1293" s="1" t="s">
        <v>13</v>
      </c>
      <c r="K1293" s="1" t="str">
        <f t="shared" si="62"/>
        <v>Sin riesgo</v>
      </c>
    </row>
    <row r="1294" spans="1:11">
      <c r="A1294" s="1" t="s">
        <v>444</v>
      </c>
      <c r="B1294" s="6" t="s">
        <v>15</v>
      </c>
      <c r="C1294" s="3">
        <v>7.11</v>
      </c>
      <c r="D1294" s="3">
        <v>7.57</v>
      </c>
      <c r="E1294" s="3">
        <v>40</v>
      </c>
      <c r="F1294" s="4">
        <v>10.74377</v>
      </c>
      <c r="G1294" s="4">
        <v>-74.149373999999995</v>
      </c>
      <c r="H1294" s="9">
        <f t="shared" si="60"/>
        <v>0.18925</v>
      </c>
      <c r="I1294" s="4" t="str">
        <f t="shared" si="61"/>
        <v>Sin riesgo &lt;85%</v>
      </c>
      <c r="J1294" s="1" t="s">
        <v>13</v>
      </c>
      <c r="K1294" s="1" t="str">
        <f t="shared" si="62"/>
        <v>Sin riesgo</v>
      </c>
    </row>
    <row r="1295" spans="1:11">
      <c r="A1295" s="1" t="s">
        <v>445</v>
      </c>
      <c r="B1295" s="6" t="s">
        <v>12</v>
      </c>
      <c r="C1295" s="3">
        <v>13.13</v>
      </c>
      <c r="D1295" s="3">
        <v>12.93</v>
      </c>
      <c r="E1295" s="3">
        <v>40</v>
      </c>
      <c r="F1295" s="4">
        <v>11.260002999999999</v>
      </c>
      <c r="G1295" s="4">
        <v>-73.415587000000002</v>
      </c>
      <c r="H1295" s="9">
        <f t="shared" si="60"/>
        <v>0.32825000000000004</v>
      </c>
      <c r="I1295" s="4" t="str">
        <f t="shared" si="61"/>
        <v>Sin riesgo &lt;85%</v>
      </c>
      <c r="J1295" s="1" t="s">
        <v>13</v>
      </c>
      <c r="K1295" s="1" t="str">
        <f t="shared" si="62"/>
        <v>Sin riesgo</v>
      </c>
    </row>
    <row r="1296" spans="1:11">
      <c r="A1296" s="1" t="s">
        <v>445</v>
      </c>
      <c r="B1296" s="6" t="s">
        <v>14</v>
      </c>
      <c r="C1296" s="3">
        <v>13.39</v>
      </c>
      <c r="D1296" s="3">
        <v>13.19</v>
      </c>
      <c r="E1296" s="3">
        <v>40</v>
      </c>
      <c r="F1296" s="4">
        <v>11.260002999999999</v>
      </c>
      <c r="G1296" s="4">
        <v>-73.415587000000002</v>
      </c>
      <c r="H1296" s="9">
        <f t="shared" si="60"/>
        <v>0.33474999999999999</v>
      </c>
      <c r="I1296" s="4" t="str">
        <f t="shared" si="61"/>
        <v>Sin riesgo &lt;85%</v>
      </c>
      <c r="J1296" s="1" t="s">
        <v>13</v>
      </c>
      <c r="K1296" s="1" t="str">
        <f t="shared" si="62"/>
        <v>Sin riesgo</v>
      </c>
    </row>
    <row r="1297" spans="1:11">
      <c r="A1297" s="1" t="s">
        <v>445</v>
      </c>
      <c r="B1297" s="6" t="s">
        <v>15</v>
      </c>
      <c r="C1297" s="3">
        <v>13.39</v>
      </c>
      <c r="D1297" s="3">
        <v>13.19</v>
      </c>
      <c r="E1297" s="3">
        <v>40</v>
      </c>
      <c r="F1297" s="4">
        <v>11.260002999999999</v>
      </c>
      <c r="G1297" s="4">
        <v>-73.415587000000002</v>
      </c>
      <c r="H1297" s="9">
        <f t="shared" si="60"/>
        <v>0.33474999999999999</v>
      </c>
      <c r="I1297" s="4" t="str">
        <f t="shared" si="61"/>
        <v>Sin riesgo &lt;85%</v>
      </c>
      <c r="J1297" s="1" t="s">
        <v>13</v>
      </c>
      <c r="K1297" s="1" t="str">
        <f t="shared" si="62"/>
        <v>Sin riesgo</v>
      </c>
    </row>
    <row r="1298" spans="1:11">
      <c r="A1298" s="1" t="s">
        <v>446</v>
      </c>
      <c r="B1298" s="6" t="s">
        <v>12</v>
      </c>
      <c r="C1298" s="3">
        <v>6.45</v>
      </c>
      <c r="D1298" s="3">
        <v>7.74</v>
      </c>
      <c r="E1298" s="3">
        <v>31.5</v>
      </c>
      <c r="F1298" s="11"/>
      <c r="G1298" s="11"/>
      <c r="H1298" s="9">
        <f t="shared" si="60"/>
        <v>0.24571428571428572</v>
      </c>
      <c r="I1298" s="4" t="str">
        <f t="shared" si="61"/>
        <v>Sin riesgo &lt;85%</v>
      </c>
      <c r="J1298" s="1" t="s">
        <v>13</v>
      </c>
      <c r="K1298" s="1" t="str">
        <f t="shared" si="62"/>
        <v>Sin riesgo</v>
      </c>
    </row>
    <row r="1299" spans="1:11">
      <c r="A1299" s="1" t="s">
        <v>446</v>
      </c>
      <c r="B1299" s="6" t="s">
        <v>14</v>
      </c>
      <c r="C1299" s="3">
        <v>6.52</v>
      </c>
      <c r="D1299" s="3">
        <v>7.83</v>
      </c>
      <c r="E1299" s="3">
        <v>31.5</v>
      </c>
      <c r="F1299" s="11"/>
      <c r="G1299" s="11"/>
      <c r="H1299" s="9">
        <f t="shared" si="60"/>
        <v>0.24857142857142858</v>
      </c>
      <c r="I1299" s="4" t="str">
        <f t="shared" si="61"/>
        <v>Sin riesgo &lt;85%</v>
      </c>
      <c r="J1299" s="1" t="s">
        <v>13</v>
      </c>
      <c r="K1299" s="1" t="str">
        <f t="shared" si="62"/>
        <v>Sin riesgo</v>
      </c>
    </row>
    <row r="1300" spans="1:11">
      <c r="A1300" s="1" t="s">
        <v>446</v>
      </c>
      <c r="B1300" s="6" t="s">
        <v>15</v>
      </c>
      <c r="C1300" s="3">
        <v>6.52</v>
      </c>
      <c r="D1300" s="3">
        <v>7.83</v>
      </c>
      <c r="E1300" s="3">
        <v>31.5</v>
      </c>
      <c r="F1300" s="11"/>
      <c r="G1300" s="11"/>
      <c r="H1300" s="9">
        <f t="shared" si="60"/>
        <v>0.24857142857142858</v>
      </c>
      <c r="I1300" s="4" t="str">
        <f t="shared" si="61"/>
        <v>Sin riesgo &lt;85%</v>
      </c>
      <c r="J1300" s="1" t="s">
        <v>13</v>
      </c>
      <c r="K1300" s="1" t="str">
        <f t="shared" si="62"/>
        <v>Sin riesgo</v>
      </c>
    </row>
    <row r="1301" spans="1:11">
      <c r="A1301" s="1" t="s">
        <v>447</v>
      </c>
      <c r="B1301" s="6" t="s">
        <v>12</v>
      </c>
      <c r="C1301" s="3">
        <v>6.19</v>
      </c>
      <c r="D1301" s="3">
        <v>6.63</v>
      </c>
      <c r="E1301" s="3">
        <v>31.5</v>
      </c>
      <c r="F1301" s="11"/>
      <c r="G1301" s="11"/>
      <c r="H1301" s="9">
        <f t="shared" si="60"/>
        <v>0.21047619047619048</v>
      </c>
      <c r="I1301" s="4" t="str">
        <f t="shared" si="61"/>
        <v>Sin riesgo &lt;85%</v>
      </c>
      <c r="J1301" s="1" t="s">
        <v>13</v>
      </c>
      <c r="K1301" s="1" t="str">
        <f t="shared" si="62"/>
        <v>Sin riesgo</v>
      </c>
    </row>
    <row r="1302" spans="1:11">
      <c r="A1302" s="1" t="s">
        <v>447</v>
      </c>
      <c r="B1302" s="6" t="s">
        <v>14</v>
      </c>
      <c r="C1302" s="3">
        <v>6.21</v>
      </c>
      <c r="D1302" s="3">
        <v>6.64</v>
      </c>
      <c r="E1302" s="3">
        <v>31.5</v>
      </c>
      <c r="F1302" s="11"/>
      <c r="G1302" s="11"/>
      <c r="H1302" s="9">
        <f t="shared" si="60"/>
        <v>0.21079365079365078</v>
      </c>
      <c r="I1302" s="4" t="str">
        <f t="shared" si="61"/>
        <v>Sin riesgo &lt;85%</v>
      </c>
      <c r="J1302" s="1" t="s">
        <v>13</v>
      </c>
      <c r="K1302" s="1" t="str">
        <f t="shared" si="62"/>
        <v>Sin riesgo</v>
      </c>
    </row>
    <row r="1303" spans="1:11">
      <c r="A1303" s="1" t="s">
        <v>447</v>
      </c>
      <c r="B1303" s="6" t="s">
        <v>15</v>
      </c>
      <c r="C1303" s="3">
        <v>6.21</v>
      </c>
      <c r="D1303" s="3">
        <v>6.64</v>
      </c>
      <c r="E1303" s="3">
        <v>31.5</v>
      </c>
      <c r="F1303" s="11"/>
      <c r="G1303" s="11"/>
      <c r="H1303" s="9">
        <f t="shared" si="60"/>
        <v>0.21079365079365078</v>
      </c>
      <c r="I1303" s="4" t="str">
        <f t="shared" si="61"/>
        <v>Sin riesgo &lt;85%</v>
      </c>
      <c r="J1303" s="1" t="s">
        <v>13</v>
      </c>
      <c r="K1303" s="1" t="str">
        <f t="shared" si="62"/>
        <v>Sin riesgo</v>
      </c>
    </row>
    <row r="1304" spans="1:11">
      <c r="A1304" s="1" t="s">
        <v>448</v>
      </c>
      <c r="B1304" s="6" t="s">
        <v>12</v>
      </c>
      <c r="C1304" s="3">
        <v>30.52</v>
      </c>
      <c r="D1304" s="3">
        <v>23.1</v>
      </c>
      <c r="E1304" s="3">
        <v>40</v>
      </c>
      <c r="F1304" s="4">
        <v>9.6022470000000002</v>
      </c>
      <c r="G1304" s="4">
        <v>-73.618371999999994</v>
      </c>
      <c r="H1304" s="9">
        <f t="shared" si="60"/>
        <v>0.76300000000000001</v>
      </c>
      <c r="I1304" s="4" t="str">
        <f t="shared" si="61"/>
        <v>Sin riesgo &lt;85%</v>
      </c>
      <c r="J1304" s="1">
        <v>0.98</v>
      </c>
      <c r="K1304" s="1" t="str">
        <f t="shared" si="62"/>
        <v>Estado critico</v>
      </c>
    </row>
    <row r="1305" spans="1:11">
      <c r="A1305" s="1" t="s">
        <v>448</v>
      </c>
      <c r="B1305" s="6" t="s">
        <v>14</v>
      </c>
      <c r="C1305" s="3">
        <v>31.54</v>
      </c>
      <c r="D1305" s="3">
        <v>23.79</v>
      </c>
      <c r="E1305" s="3">
        <v>40</v>
      </c>
      <c r="F1305" s="4">
        <v>9.6022470000000002</v>
      </c>
      <c r="G1305" s="4">
        <v>-73.618371999999994</v>
      </c>
      <c r="H1305" s="9">
        <f t="shared" si="60"/>
        <v>0.78849999999999998</v>
      </c>
      <c r="I1305" s="4" t="str">
        <f t="shared" si="61"/>
        <v>Sin riesgo &lt;85%</v>
      </c>
      <c r="J1305" s="1">
        <v>0.98</v>
      </c>
      <c r="K1305" s="1" t="str">
        <f t="shared" si="62"/>
        <v>Estado critico</v>
      </c>
    </row>
    <row r="1306" spans="1:11">
      <c r="A1306" s="1" t="s">
        <v>448</v>
      </c>
      <c r="B1306" s="6" t="s">
        <v>15</v>
      </c>
      <c r="C1306" s="3">
        <v>31.53</v>
      </c>
      <c r="D1306" s="3">
        <v>23.79</v>
      </c>
      <c r="E1306" s="3">
        <v>40</v>
      </c>
      <c r="F1306" s="4">
        <v>9.6022470000000002</v>
      </c>
      <c r="G1306" s="4">
        <v>-73.618371999999994</v>
      </c>
      <c r="H1306" s="9">
        <f t="shared" si="60"/>
        <v>0.78825000000000001</v>
      </c>
      <c r="I1306" s="4" t="str">
        <f t="shared" si="61"/>
        <v>Sin riesgo &lt;85%</v>
      </c>
      <c r="J1306" s="1">
        <v>0.98</v>
      </c>
      <c r="K1306" s="1" t="str">
        <f t="shared" si="62"/>
        <v>Estado critico</v>
      </c>
    </row>
    <row r="1307" spans="1:11">
      <c r="A1307" s="1" t="s">
        <v>449</v>
      </c>
      <c r="B1307" s="6" t="s">
        <v>12</v>
      </c>
      <c r="C1307" s="3">
        <v>17.899999999999999</v>
      </c>
      <c r="D1307" s="3">
        <v>16.850000000000001</v>
      </c>
      <c r="E1307" s="3">
        <v>40</v>
      </c>
      <c r="F1307" s="4">
        <v>9.6022470000000002</v>
      </c>
      <c r="G1307" s="4">
        <v>-73.618371999999994</v>
      </c>
      <c r="H1307" s="9">
        <f t="shared" si="60"/>
        <v>0.44749999999999995</v>
      </c>
      <c r="I1307" s="4" t="str">
        <f t="shared" si="61"/>
        <v>Sin riesgo &lt;85%</v>
      </c>
      <c r="J1307" s="1">
        <v>1.04</v>
      </c>
      <c r="K1307" s="1" t="str">
        <f t="shared" si="62"/>
        <v>Estado critico</v>
      </c>
    </row>
    <row r="1308" spans="1:11">
      <c r="A1308" s="1" t="s">
        <v>449</v>
      </c>
      <c r="B1308" s="6" t="s">
        <v>14</v>
      </c>
      <c r="C1308" s="3">
        <v>19.32</v>
      </c>
      <c r="D1308" s="3">
        <v>17.48</v>
      </c>
      <c r="E1308" s="3">
        <v>40</v>
      </c>
      <c r="F1308" s="4">
        <v>9.6022470000000002</v>
      </c>
      <c r="G1308" s="4">
        <v>-73.618371999999994</v>
      </c>
      <c r="H1308" s="9">
        <f t="shared" si="60"/>
        <v>0.48299999999999998</v>
      </c>
      <c r="I1308" s="4" t="str">
        <f t="shared" si="61"/>
        <v>Sin riesgo &lt;85%</v>
      </c>
      <c r="J1308" s="1">
        <v>1.04</v>
      </c>
      <c r="K1308" s="1" t="str">
        <f t="shared" si="62"/>
        <v>Estado critico</v>
      </c>
    </row>
    <row r="1309" spans="1:11">
      <c r="A1309" s="1" t="s">
        <v>449</v>
      </c>
      <c r="B1309" s="6" t="s">
        <v>15</v>
      </c>
      <c r="C1309" s="3">
        <v>19.32</v>
      </c>
      <c r="D1309" s="3">
        <v>17.48</v>
      </c>
      <c r="E1309" s="3">
        <v>40</v>
      </c>
      <c r="F1309" s="4">
        <v>9.6022470000000002</v>
      </c>
      <c r="G1309" s="4">
        <v>-73.618371999999994</v>
      </c>
      <c r="H1309" s="9">
        <f t="shared" si="60"/>
        <v>0.48299999999999998</v>
      </c>
      <c r="I1309" s="4" t="str">
        <f t="shared" si="61"/>
        <v>Sin riesgo &lt;85%</v>
      </c>
      <c r="J1309" s="1">
        <v>1.04</v>
      </c>
      <c r="K1309" s="1" t="str">
        <f t="shared" si="62"/>
        <v>Estado critico</v>
      </c>
    </row>
    <row r="1310" spans="1:11">
      <c r="A1310" s="1" t="s">
        <v>450</v>
      </c>
      <c r="B1310" s="6" t="s">
        <v>12</v>
      </c>
      <c r="C1310" s="3">
        <v>12.03</v>
      </c>
      <c r="D1310" s="3">
        <v>11.18</v>
      </c>
      <c r="E1310" s="3">
        <v>25</v>
      </c>
      <c r="F1310" s="4">
        <v>11.241377</v>
      </c>
      <c r="G1310" s="4">
        <v>-74.183880000000002</v>
      </c>
      <c r="H1310" s="9">
        <f t="shared" si="60"/>
        <v>0.48119999999999996</v>
      </c>
      <c r="I1310" s="4" t="str">
        <f t="shared" si="61"/>
        <v>Sin riesgo &lt;85%</v>
      </c>
      <c r="J1310" s="1" t="s">
        <v>13</v>
      </c>
      <c r="K1310" s="1" t="str">
        <f t="shared" si="62"/>
        <v>Sin riesgo</v>
      </c>
    </row>
    <row r="1311" spans="1:11">
      <c r="A1311" s="1" t="s">
        <v>450</v>
      </c>
      <c r="B1311" s="6" t="s">
        <v>14</v>
      </c>
      <c r="C1311" s="3">
        <v>12.3</v>
      </c>
      <c r="D1311" s="3">
        <v>11.39</v>
      </c>
      <c r="E1311" s="3">
        <v>25</v>
      </c>
      <c r="F1311" s="4">
        <v>11.241377</v>
      </c>
      <c r="G1311" s="4">
        <v>-74.183880000000002</v>
      </c>
      <c r="H1311" s="9">
        <f t="shared" si="60"/>
        <v>0.49200000000000005</v>
      </c>
      <c r="I1311" s="4" t="str">
        <f t="shared" si="61"/>
        <v>Sin riesgo &lt;85%</v>
      </c>
      <c r="J1311" s="1" t="s">
        <v>13</v>
      </c>
      <c r="K1311" s="1" t="str">
        <f t="shared" si="62"/>
        <v>Sin riesgo</v>
      </c>
    </row>
    <row r="1312" spans="1:11">
      <c r="A1312" s="1" t="s">
        <v>450</v>
      </c>
      <c r="B1312" s="6" t="s">
        <v>15</v>
      </c>
      <c r="C1312" s="3">
        <v>12.3</v>
      </c>
      <c r="D1312" s="3">
        <v>11.39</v>
      </c>
      <c r="E1312" s="3">
        <v>25</v>
      </c>
      <c r="F1312" s="4">
        <v>11.241377</v>
      </c>
      <c r="G1312" s="4">
        <v>-74.183880000000002</v>
      </c>
      <c r="H1312" s="9">
        <f t="shared" si="60"/>
        <v>0.49200000000000005</v>
      </c>
      <c r="I1312" s="4" t="str">
        <f t="shared" si="61"/>
        <v>Sin riesgo &lt;85%</v>
      </c>
      <c r="J1312" s="1" t="s">
        <v>13</v>
      </c>
      <c r="K1312" s="1" t="str">
        <f t="shared" si="62"/>
        <v>Sin riesgo</v>
      </c>
    </row>
    <row r="1313" spans="1:11">
      <c r="A1313" s="1" t="s">
        <v>451</v>
      </c>
      <c r="B1313" s="6" t="s">
        <v>12</v>
      </c>
      <c r="C1313" s="3">
        <v>4.21</v>
      </c>
      <c r="D1313" s="3">
        <v>5.16</v>
      </c>
      <c r="E1313" s="3">
        <v>31.5</v>
      </c>
      <c r="F1313" s="4">
        <v>11.376814</v>
      </c>
      <c r="G1313" s="4">
        <v>-72.253552999999997</v>
      </c>
      <c r="H1313" s="9">
        <f t="shared" si="60"/>
        <v>0.16380952380952382</v>
      </c>
      <c r="I1313" s="4" t="str">
        <f t="shared" si="61"/>
        <v>Sin riesgo &lt;85%</v>
      </c>
      <c r="J1313" s="1" t="s">
        <v>13</v>
      </c>
      <c r="K1313" s="1" t="str">
        <f t="shared" si="62"/>
        <v>Sin riesgo</v>
      </c>
    </row>
    <row r="1314" spans="1:11">
      <c r="A1314" s="1" t="s">
        <v>451</v>
      </c>
      <c r="B1314" s="6" t="s">
        <v>14</v>
      </c>
      <c r="C1314" s="3">
        <v>4.29</v>
      </c>
      <c r="D1314" s="3">
        <v>5.27</v>
      </c>
      <c r="E1314" s="3">
        <v>31.5</v>
      </c>
      <c r="F1314" s="4">
        <v>11.376814</v>
      </c>
      <c r="G1314" s="4">
        <v>-72.253552999999997</v>
      </c>
      <c r="H1314" s="9">
        <f t="shared" si="60"/>
        <v>0.16730158730158728</v>
      </c>
      <c r="I1314" s="4" t="str">
        <f t="shared" si="61"/>
        <v>Sin riesgo &lt;85%</v>
      </c>
      <c r="J1314" s="1" t="s">
        <v>13</v>
      </c>
      <c r="K1314" s="1" t="str">
        <f t="shared" si="62"/>
        <v>Sin riesgo</v>
      </c>
    </row>
    <row r="1315" spans="1:11">
      <c r="A1315" s="1" t="s">
        <v>451</v>
      </c>
      <c r="B1315" s="6" t="s">
        <v>15</v>
      </c>
      <c r="C1315" s="3">
        <v>4.29</v>
      </c>
      <c r="D1315" s="3">
        <v>5.27</v>
      </c>
      <c r="E1315" s="3">
        <v>31.5</v>
      </c>
      <c r="F1315" s="4">
        <v>11.376814</v>
      </c>
      <c r="G1315" s="4">
        <v>-72.253552999999997</v>
      </c>
      <c r="H1315" s="9">
        <f t="shared" si="60"/>
        <v>0.16730158730158728</v>
      </c>
      <c r="I1315" s="4" t="str">
        <f t="shared" si="61"/>
        <v>Sin riesgo &lt;85%</v>
      </c>
      <c r="J1315" s="1" t="s">
        <v>13</v>
      </c>
      <c r="K1315" s="1" t="str">
        <f t="shared" si="62"/>
        <v>Sin riesgo</v>
      </c>
    </row>
    <row r="1316" spans="1:11">
      <c r="A1316" s="1" t="s">
        <v>452</v>
      </c>
      <c r="B1316" s="6" t="s">
        <v>12</v>
      </c>
      <c r="C1316" s="3">
        <v>12.51</v>
      </c>
      <c r="D1316" s="3">
        <v>11.39</v>
      </c>
      <c r="E1316" s="3">
        <v>31.5</v>
      </c>
      <c r="F1316" s="4">
        <v>11.236224999999999</v>
      </c>
      <c r="G1316" s="4">
        <v>-74.203669000000005</v>
      </c>
      <c r="H1316" s="9">
        <f t="shared" si="60"/>
        <v>0.39714285714285713</v>
      </c>
      <c r="I1316" s="4" t="str">
        <f t="shared" si="61"/>
        <v>Sin riesgo &lt;85%</v>
      </c>
      <c r="J1316" s="1" t="s">
        <v>13</v>
      </c>
      <c r="K1316" s="1" t="str">
        <f t="shared" si="62"/>
        <v>Sin riesgo</v>
      </c>
    </row>
    <row r="1317" spans="1:11">
      <c r="A1317" s="1" t="s">
        <v>452</v>
      </c>
      <c r="B1317" s="6" t="s">
        <v>14</v>
      </c>
      <c r="C1317" s="3">
        <v>12.79</v>
      </c>
      <c r="D1317" s="3">
        <v>11.6</v>
      </c>
      <c r="E1317" s="3">
        <v>31.5</v>
      </c>
      <c r="F1317" s="4">
        <v>11.236224999999999</v>
      </c>
      <c r="G1317" s="4">
        <v>-74.203669000000005</v>
      </c>
      <c r="H1317" s="9">
        <f t="shared" si="60"/>
        <v>0.40603174603174602</v>
      </c>
      <c r="I1317" s="4" t="str">
        <f t="shared" si="61"/>
        <v>Sin riesgo &lt;85%</v>
      </c>
      <c r="J1317" s="1" t="s">
        <v>13</v>
      </c>
      <c r="K1317" s="1" t="str">
        <f t="shared" si="62"/>
        <v>Sin riesgo</v>
      </c>
    </row>
    <row r="1318" spans="1:11">
      <c r="A1318" s="1" t="s">
        <v>452</v>
      </c>
      <c r="B1318" s="6" t="s">
        <v>15</v>
      </c>
      <c r="C1318" s="3">
        <v>12.79</v>
      </c>
      <c r="D1318" s="3">
        <v>11.6</v>
      </c>
      <c r="E1318" s="3">
        <v>31.5</v>
      </c>
      <c r="F1318" s="4">
        <v>11.236224999999999</v>
      </c>
      <c r="G1318" s="4">
        <v>-74.203669000000005</v>
      </c>
      <c r="H1318" s="9">
        <f t="shared" si="60"/>
        <v>0.40603174603174602</v>
      </c>
      <c r="I1318" s="4" t="str">
        <f t="shared" si="61"/>
        <v>Sin riesgo &lt;85%</v>
      </c>
      <c r="J1318" s="1" t="s">
        <v>13</v>
      </c>
      <c r="K1318" s="1" t="str">
        <f t="shared" si="62"/>
        <v>Sin riesgo</v>
      </c>
    </row>
    <row r="1319" spans="1:11">
      <c r="A1319" s="1" t="s">
        <v>453</v>
      </c>
      <c r="B1319" s="6" t="s">
        <v>12</v>
      </c>
      <c r="C1319" s="3">
        <v>8.5</v>
      </c>
      <c r="D1319" s="3">
        <v>9.27</v>
      </c>
      <c r="E1319" s="3">
        <v>40</v>
      </c>
      <c r="F1319" s="4">
        <v>10.766529999999999</v>
      </c>
      <c r="G1319" s="4">
        <v>-73.011067999999995</v>
      </c>
      <c r="H1319" s="9">
        <f t="shared" si="60"/>
        <v>0.23174999999999998</v>
      </c>
      <c r="I1319" s="4" t="str">
        <f t="shared" si="61"/>
        <v>Sin riesgo &lt;85%</v>
      </c>
      <c r="J1319" s="1" t="s">
        <v>13</v>
      </c>
      <c r="K1319" s="1" t="str">
        <f t="shared" si="62"/>
        <v>Sin riesgo</v>
      </c>
    </row>
    <row r="1320" spans="1:11">
      <c r="A1320" s="1" t="s">
        <v>453</v>
      </c>
      <c r="B1320" s="6" t="s">
        <v>14</v>
      </c>
      <c r="C1320" s="3">
        <v>8.6199999999999992</v>
      </c>
      <c r="D1320" s="3">
        <v>9.4</v>
      </c>
      <c r="E1320" s="3">
        <v>40</v>
      </c>
      <c r="F1320" s="4">
        <v>10.766529999999999</v>
      </c>
      <c r="G1320" s="4">
        <v>-73.011067999999995</v>
      </c>
      <c r="H1320" s="9">
        <f t="shared" si="60"/>
        <v>0.23500000000000001</v>
      </c>
      <c r="I1320" s="4" t="str">
        <f t="shared" si="61"/>
        <v>Sin riesgo &lt;85%</v>
      </c>
      <c r="J1320" s="1" t="s">
        <v>13</v>
      </c>
      <c r="K1320" s="1" t="str">
        <f t="shared" si="62"/>
        <v>Sin riesgo</v>
      </c>
    </row>
    <row r="1321" spans="1:11">
      <c r="A1321" s="1" t="s">
        <v>453</v>
      </c>
      <c r="B1321" s="6" t="s">
        <v>15</v>
      </c>
      <c r="C1321" s="3">
        <v>8.6199999999999992</v>
      </c>
      <c r="D1321" s="3">
        <v>9.4</v>
      </c>
      <c r="E1321" s="3">
        <v>40</v>
      </c>
      <c r="F1321" s="4">
        <v>10.766529999999999</v>
      </c>
      <c r="G1321" s="4">
        <v>-73.011067999999995</v>
      </c>
      <c r="H1321" s="9">
        <f t="shared" si="60"/>
        <v>0.23500000000000001</v>
      </c>
      <c r="I1321" s="4" t="str">
        <f t="shared" si="61"/>
        <v>Sin riesgo &lt;85%</v>
      </c>
      <c r="J1321" s="1" t="s">
        <v>13</v>
      </c>
      <c r="K1321" s="1" t="str">
        <f t="shared" si="62"/>
        <v>Sin riesgo</v>
      </c>
    </row>
    <row r="1322" spans="1:11">
      <c r="A1322" s="1" t="s">
        <v>454</v>
      </c>
      <c r="B1322" s="6" t="s">
        <v>12</v>
      </c>
      <c r="C1322" s="3">
        <v>11.55</v>
      </c>
      <c r="D1322" s="3">
        <v>12.69</v>
      </c>
      <c r="E1322" s="3">
        <v>40</v>
      </c>
      <c r="F1322" s="11"/>
      <c r="G1322" s="11"/>
      <c r="H1322" s="9">
        <f t="shared" si="60"/>
        <v>0.31724999999999998</v>
      </c>
      <c r="I1322" s="4" t="str">
        <f t="shared" si="61"/>
        <v>Sin riesgo &lt;85%</v>
      </c>
      <c r="J1322" s="1" t="s">
        <v>13</v>
      </c>
      <c r="K1322" s="1" t="str">
        <f t="shared" si="62"/>
        <v>Sin riesgo</v>
      </c>
    </row>
    <row r="1323" spans="1:11">
      <c r="A1323" s="1" t="s">
        <v>454</v>
      </c>
      <c r="B1323" s="6" t="s">
        <v>14</v>
      </c>
      <c r="C1323" s="3">
        <v>12.98</v>
      </c>
      <c r="D1323" s="3">
        <v>12.99</v>
      </c>
      <c r="E1323" s="3">
        <v>40</v>
      </c>
      <c r="F1323" s="11"/>
      <c r="G1323" s="11"/>
      <c r="H1323" s="9">
        <f t="shared" si="60"/>
        <v>0.32474999999999998</v>
      </c>
      <c r="I1323" s="4" t="str">
        <f t="shared" si="61"/>
        <v>Sin riesgo &lt;85%</v>
      </c>
      <c r="J1323" s="1" t="s">
        <v>13</v>
      </c>
      <c r="K1323" s="1" t="str">
        <f t="shared" si="62"/>
        <v>Sin riesgo</v>
      </c>
    </row>
    <row r="1324" spans="1:11">
      <c r="A1324" s="1" t="s">
        <v>454</v>
      </c>
      <c r="B1324" s="6" t="s">
        <v>15</v>
      </c>
      <c r="C1324" s="3">
        <v>12.98</v>
      </c>
      <c r="D1324" s="3">
        <v>12.99</v>
      </c>
      <c r="E1324" s="3">
        <v>40</v>
      </c>
      <c r="F1324" s="11"/>
      <c r="G1324" s="11"/>
      <c r="H1324" s="9">
        <f t="shared" si="60"/>
        <v>0.32474999999999998</v>
      </c>
      <c r="I1324" s="4" t="str">
        <f t="shared" si="61"/>
        <v>Sin riesgo &lt;85%</v>
      </c>
      <c r="J1324" s="1" t="s">
        <v>13</v>
      </c>
      <c r="K1324" s="1" t="str">
        <f t="shared" si="62"/>
        <v>Sin riesgo</v>
      </c>
    </row>
    <row r="1325" spans="1:11">
      <c r="A1325" s="1" t="s">
        <v>455</v>
      </c>
      <c r="B1325" s="6" t="s">
        <v>12</v>
      </c>
      <c r="C1325" s="3">
        <v>13.82</v>
      </c>
      <c r="D1325" s="3">
        <v>12.92</v>
      </c>
      <c r="E1325" s="3">
        <v>40</v>
      </c>
      <c r="F1325" s="4">
        <v>11.023216</v>
      </c>
      <c r="G1325" s="4">
        <v>-74.206014999999994</v>
      </c>
      <c r="H1325" s="9">
        <f t="shared" si="60"/>
        <v>0.34550000000000003</v>
      </c>
      <c r="I1325" s="4" t="str">
        <f t="shared" si="61"/>
        <v>Sin riesgo &lt;85%</v>
      </c>
      <c r="J1325" s="1" t="s">
        <v>13</v>
      </c>
      <c r="K1325" s="1" t="str">
        <f t="shared" si="62"/>
        <v>Sin riesgo</v>
      </c>
    </row>
    <row r="1326" spans="1:11">
      <c r="A1326" s="1" t="s">
        <v>455</v>
      </c>
      <c r="B1326" s="6" t="s">
        <v>14</v>
      </c>
      <c r="C1326" s="3">
        <v>14.55</v>
      </c>
      <c r="D1326" s="3">
        <v>13.16</v>
      </c>
      <c r="E1326" s="3">
        <v>40</v>
      </c>
      <c r="F1326" s="4">
        <v>11.023216</v>
      </c>
      <c r="G1326" s="4">
        <v>-74.206014999999994</v>
      </c>
      <c r="H1326" s="9">
        <f t="shared" si="60"/>
        <v>0.36375000000000002</v>
      </c>
      <c r="I1326" s="4" t="str">
        <f t="shared" si="61"/>
        <v>Sin riesgo &lt;85%</v>
      </c>
      <c r="J1326" s="1" t="s">
        <v>13</v>
      </c>
      <c r="K1326" s="1" t="str">
        <f t="shared" si="62"/>
        <v>Sin riesgo</v>
      </c>
    </row>
    <row r="1327" spans="1:11">
      <c r="A1327" s="1" t="s">
        <v>455</v>
      </c>
      <c r="B1327" s="6" t="s">
        <v>15</v>
      </c>
      <c r="C1327" s="3">
        <v>14.55</v>
      </c>
      <c r="D1327" s="3">
        <v>13.16</v>
      </c>
      <c r="E1327" s="3">
        <v>40</v>
      </c>
      <c r="F1327" s="4">
        <v>11.023216</v>
      </c>
      <c r="G1327" s="4">
        <v>-74.206014999999994</v>
      </c>
      <c r="H1327" s="9">
        <f t="shared" si="60"/>
        <v>0.36375000000000002</v>
      </c>
      <c r="I1327" s="4" t="str">
        <f t="shared" si="61"/>
        <v>Sin riesgo &lt;85%</v>
      </c>
      <c r="J1327" s="1" t="s">
        <v>13</v>
      </c>
      <c r="K1327" s="1" t="str">
        <f t="shared" si="62"/>
        <v>Sin riesgo</v>
      </c>
    </row>
    <row r="1328" spans="1:11">
      <c r="A1328" s="1" t="s">
        <v>456</v>
      </c>
      <c r="B1328" s="6" t="s">
        <v>12</v>
      </c>
      <c r="C1328" s="3">
        <v>14.46</v>
      </c>
      <c r="D1328" s="3">
        <v>14.38</v>
      </c>
      <c r="E1328" s="3">
        <v>25</v>
      </c>
      <c r="F1328" s="4">
        <v>11.023216</v>
      </c>
      <c r="G1328" s="4">
        <v>-74.206014999999994</v>
      </c>
      <c r="H1328" s="9">
        <f t="shared" si="60"/>
        <v>0.57840000000000003</v>
      </c>
      <c r="I1328" s="4" t="str">
        <f t="shared" si="61"/>
        <v>Sin riesgo &lt;85%</v>
      </c>
      <c r="J1328" s="1">
        <v>1.1399999999999999</v>
      </c>
      <c r="K1328" s="1" t="str">
        <f t="shared" si="62"/>
        <v>Estado critico</v>
      </c>
    </row>
    <row r="1329" spans="1:11">
      <c r="A1329" s="1" t="s">
        <v>456</v>
      </c>
      <c r="B1329" s="6" t="s">
        <v>14</v>
      </c>
      <c r="C1329" s="3">
        <v>17.010000000000002</v>
      </c>
      <c r="D1329" s="3">
        <v>14.73</v>
      </c>
      <c r="E1329" s="3">
        <v>25</v>
      </c>
      <c r="F1329" s="4">
        <v>11.023216</v>
      </c>
      <c r="G1329" s="4">
        <v>-74.206014999999994</v>
      </c>
      <c r="H1329" s="9">
        <f t="shared" si="60"/>
        <v>0.68040000000000012</v>
      </c>
      <c r="I1329" s="4" t="str">
        <f t="shared" si="61"/>
        <v>Sin riesgo &lt;85%</v>
      </c>
      <c r="J1329" s="1">
        <v>1.1399999999999999</v>
      </c>
      <c r="K1329" s="1" t="str">
        <f t="shared" si="62"/>
        <v>Estado critico</v>
      </c>
    </row>
    <row r="1330" spans="1:11">
      <c r="A1330" s="1" t="s">
        <v>456</v>
      </c>
      <c r="B1330" s="6" t="s">
        <v>15</v>
      </c>
      <c r="C1330" s="3">
        <v>17.010000000000002</v>
      </c>
      <c r="D1330" s="3">
        <v>14.73</v>
      </c>
      <c r="E1330" s="3">
        <v>25</v>
      </c>
      <c r="F1330" s="4">
        <v>11.023216</v>
      </c>
      <c r="G1330" s="4">
        <v>-74.206014999999994</v>
      </c>
      <c r="H1330" s="9">
        <f t="shared" si="60"/>
        <v>0.68040000000000012</v>
      </c>
      <c r="I1330" s="4" t="str">
        <f t="shared" si="61"/>
        <v>Sin riesgo &lt;85%</v>
      </c>
      <c r="J1330" s="1">
        <v>1.1399999999999999</v>
      </c>
      <c r="K1330" s="1" t="str">
        <f t="shared" si="62"/>
        <v>Estado critico</v>
      </c>
    </row>
    <row r="1331" spans="1:11">
      <c r="A1331" s="1" t="s">
        <v>457</v>
      </c>
      <c r="B1331" s="6" t="s">
        <v>12</v>
      </c>
      <c r="C1331" s="3">
        <v>8.32</v>
      </c>
      <c r="D1331" s="3">
        <v>6.42</v>
      </c>
      <c r="E1331" s="3">
        <v>14</v>
      </c>
      <c r="F1331" s="4">
        <v>11.388120000000001</v>
      </c>
      <c r="G1331" s="4">
        <v>-72.897436999999996</v>
      </c>
      <c r="H1331" s="9">
        <f t="shared" si="60"/>
        <v>0.59428571428571431</v>
      </c>
      <c r="I1331" s="4" t="str">
        <f t="shared" si="61"/>
        <v>Sin riesgo &lt;85%</v>
      </c>
      <c r="J1331" s="1" t="s">
        <v>13</v>
      </c>
      <c r="K1331" s="1" t="str">
        <f t="shared" si="62"/>
        <v>Sin riesgo</v>
      </c>
    </row>
    <row r="1332" spans="1:11">
      <c r="A1332" s="1" t="s">
        <v>457</v>
      </c>
      <c r="B1332" s="6" t="s">
        <v>14</v>
      </c>
      <c r="C1332" s="3">
        <v>8.49</v>
      </c>
      <c r="D1332" s="3">
        <v>6.55</v>
      </c>
      <c r="E1332" s="3">
        <v>14</v>
      </c>
      <c r="F1332" s="4">
        <v>11.388120000000001</v>
      </c>
      <c r="G1332" s="4">
        <v>-72.897436999999996</v>
      </c>
      <c r="H1332" s="9">
        <f t="shared" si="60"/>
        <v>0.60642857142857143</v>
      </c>
      <c r="I1332" s="4" t="str">
        <f t="shared" si="61"/>
        <v>Sin riesgo &lt;85%</v>
      </c>
      <c r="J1332" s="1" t="s">
        <v>13</v>
      </c>
      <c r="K1332" s="1" t="str">
        <f t="shared" si="62"/>
        <v>Sin riesgo</v>
      </c>
    </row>
    <row r="1333" spans="1:11">
      <c r="A1333" s="1" t="s">
        <v>457</v>
      </c>
      <c r="B1333" s="6" t="s">
        <v>15</v>
      </c>
      <c r="C1333" s="3">
        <v>8.49</v>
      </c>
      <c r="D1333" s="3">
        <v>6.55</v>
      </c>
      <c r="E1333" s="3">
        <v>14</v>
      </c>
      <c r="F1333" s="4">
        <v>11.388120000000001</v>
      </c>
      <c r="G1333" s="4">
        <v>-72.897436999999996</v>
      </c>
      <c r="H1333" s="9">
        <f t="shared" si="60"/>
        <v>0.60642857142857143</v>
      </c>
      <c r="I1333" s="4" t="str">
        <f t="shared" si="61"/>
        <v>Sin riesgo &lt;85%</v>
      </c>
      <c r="J1333" s="1" t="s">
        <v>13</v>
      </c>
      <c r="K1333" s="1" t="str">
        <f t="shared" si="62"/>
        <v>Sin riesgo</v>
      </c>
    </row>
    <row r="1334" spans="1:11">
      <c r="A1334" s="1" t="s">
        <v>458</v>
      </c>
      <c r="B1334" s="6" t="s">
        <v>12</v>
      </c>
      <c r="C1334" s="3">
        <v>8.15</v>
      </c>
      <c r="D1334" s="3">
        <v>9.0299999999999994</v>
      </c>
      <c r="E1334" s="3">
        <v>31.5</v>
      </c>
      <c r="F1334" s="4">
        <v>10.766529999999999</v>
      </c>
      <c r="G1334" s="4">
        <v>-73.011067999999995</v>
      </c>
      <c r="H1334" s="9">
        <f t="shared" si="60"/>
        <v>0.28666666666666663</v>
      </c>
      <c r="I1334" s="4" t="str">
        <f t="shared" si="61"/>
        <v>Sin riesgo &lt;85%</v>
      </c>
      <c r="J1334" s="1" t="s">
        <v>13</v>
      </c>
      <c r="K1334" s="1" t="str">
        <f t="shared" si="62"/>
        <v>Sin riesgo</v>
      </c>
    </row>
    <row r="1335" spans="1:11">
      <c r="A1335" s="1" t="s">
        <v>458</v>
      </c>
      <c r="B1335" s="6" t="s">
        <v>14</v>
      </c>
      <c r="C1335" s="3">
        <v>8.26</v>
      </c>
      <c r="D1335" s="3">
        <v>9.15</v>
      </c>
      <c r="E1335" s="3">
        <v>31.5</v>
      </c>
      <c r="F1335" s="4">
        <v>10.766529999999999</v>
      </c>
      <c r="G1335" s="4">
        <v>-73.011067999999995</v>
      </c>
      <c r="H1335" s="9">
        <f t="shared" si="60"/>
        <v>0.2904761904761905</v>
      </c>
      <c r="I1335" s="4" t="str">
        <f t="shared" si="61"/>
        <v>Sin riesgo &lt;85%</v>
      </c>
      <c r="J1335" s="1" t="s">
        <v>13</v>
      </c>
      <c r="K1335" s="1" t="str">
        <f t="shared" si="62"/>
        <v>Sin riesgo</v>
      </c>
    </row>
    <row r="1336" spans="1:11">
      <c r="A1336" s="1" t="s">
        <v>458</v>
      </c>
      <c r="B1336" s="6" t="s">
        <v>15</v>
      </c>
      <c r="C1336" s="3">
        <v>8.26</v>
      </c>
      <c r="D1336" s="3">
        <v>9.15</v>
      </c>
      <c r="E1336" s="3">
        <v>31.5</v>
      </c>
      <c r="F1336" s="4">
        <v>10.766529999999999</v>
      </c>
      <c r="G1336" s="4">
        <v>-73.011067999999995</v>
      </c>
      <c r="H1336" s="9">
        <f t="shared" si="60"/>
        <v>0.2904761904761905</v>
      </c>
      <c r="I1336" s="4" t="str">
        <f t="shared" si="61"/>
        <v>Sin riesgo &lt;85%</v>
      </c>
      <c r="J1336" s="1" t="s">
        <v>13</v>
      </c>
      <c r="K1336" s="1" t="str">
        <f t="shared" si="62"/>
        <v>Sin riesgo</v>
      </c>
    </row>
    <row r="1337" spans="1:11">
      <c r="A1337" s="1" t="s">
        <v>459</v>
      </c>
      <c r="B1337" s="6" t="s">
        <v>12</v>
      </c>
      <c r="C1337" s="3">
        <v>7.66</v>
      </c>
      <c r="D1337" s="3">
        <v>9</v>
      </c>
      <c r="E1337" s="3">
        <v>40</v>
      </c>
      <c r="F1337" s="4">
        <v>10.766529999999999</v>
      </c>
      <c r="G1337" s="4">
        <v>-73.011067999999995</v>
      </c>
      <c r="H1337" s="9">
        <f t="shared" si="60"/>
        <v>0.22500000000000001</v>
      </c>
      <c r="I1337" s="4" t="str">
        <f t="shared" si="61"/>
        <v>Sin riesgo &lt;85%</v>
      </c>
      <c r="J1337" s="1">
        <v>0.99</v>
      </c>
      <c r="K1337" s="1" t="str">
        <f t="shared" si="62"/>
        <v>Estado critico</v>
      </c>
    </row>
    <row r="1338" spans="1:11">
      <c r="A1338" s="1" t="s">
        <v>459</v>
      </c>
      <c r="B1338" s="6" t="s">
        <v>14</v>
      </c>
      <c r="C1338" s="3">
        <v>7.79</v>
      </c>
      <c r="D1338" s="3">
        <v>9.16</v>
      </c>
      <c r="E1338" s="3">
        <v>40</v>
      </c>
      <c r="F1338" s="4">
        <v>10.766529999999999</v>
      </c>
      <c r="G1338" s="4">
        <v>-73.011067999999995</v>
      </c>
      <c r="H1338" s="9">
        <f t="shared" si="60"/>
        <v>0.22900000000000001</v>
      </c>
      <c r="I1338" s="4" t="str">
        <f t="shared" si="61"/>
        <v>Sin riesgo &lt;85%</v>
      </c>
      <c r="J1338" s="1">
        <v>0.99</v>
      </c>
      <c r="K1338" s="1" t="str">
        <f t="shared" si="62"/>
        <v>Estado critico</v>
      </c>
    </row>
    <row r="1339" spans="1:11">
      <c r="A1339" s="1" t="s">
        <v>459</v>
      </c>
      <c r="B1339" s="6" t="s">
        <v>15</v>
      </c>
      <c r="C1339" s="3">
        <v>7.79</v>
      </c>
      <c r="D1339" s="3">
        <v>9.16</v>
      </c>
      <c r="E1339" s="3">
        <v>40</v>
      </c>
      <c r="F1339" s="4">
        <v>10.766529999999999</v>
      </c>
      <c r="G1339" s="4">
        <v>-73.011067999999995</v>
      </c>
      <c r="H1339" s="9">
        <f t="shared" si="60"/>
        <v>0.22900000000000001</v>
      </c>
      <c r="I1339" s="4" t="str">
        <f t="shared" si="61"/>
        <v>Sin riesgo &lt;85%</v>
      </c>
      <c r="J1339" s="1">
        <v>0.99</v>
      </c>
      <c r="K1339" s="1" t="str">
        <f t="shared" si="62"/>
        <v>Estado critico</v>
      </c>
    </row>
    <row r="1340" spans="1:11">
      <c r="A1340" s="1" t="s">
        <v>460</v>
      </c>
      <c r="B1340" s="6" t="s">
        <v>12</v>
      </c>
      <c r="C1340" s="3">
        <v>15.6</v>
      </c>
      <c r="D1340" s="3">
        <v>12.64</v>
      </c>
      <c r="E1340" s="3">
        <v>31.5</v>
      </c>
      <c r="F1340" s="11"/>
      <c r="G1340" s="11"/>
      <c r="H1340" s="9">
        <f t="shared" si="60"/>
        <v>0.4952380952380952</v>
      </c>
      <c r="I1340" s="4" t="str">
        <f t="shared" si="61"/>
        <v>Sin riesgo &lt;85%</v>
      </c>
      <c r="J1340" s="1" t="s">
        <v>13</v>
      </c>
      <c r="K1340" s="1" t="str">
        <f t="shared" si="62"/>
        <v>Sin riesgo</v>
      </c>
    </row>
    <row r="1341" spans="1:11">
      <c r="A1341" s="1" t="s">
        <v>460</v>
      </c>
      <c r="B1341" s="6" t="s">
        <v>14</v>
      </c>
      <c r="C1341" s="3">
        <v>15.98</v>
      </c>
      <c r="D1341" s="3">
        <v>12.87</v>
      </c>
      <c r="E1341" s="3">
        <v>31.5</v>
      </c>
      <c r="F1341" s="11"/>
      <c r="G1341" s="11"/>
      <c r="H1341" s="9">
        <f t="shared" si="60"/>
        <v>0.50730158730158736</v>
      </c>
      <c r="I1341" s="4" t="str">
        <f t="shared" si="61"/>
        <v>Sin riesgo &lt;85%</v>
      </c>
      <c r="J1341" s="1" t="s">
        <v>13</v>
      </c>
      <c r="K1341" s="1" t="str">
        <f t="shared" si="62"/>
        <v>Sin riesgo</v>
      </c>
    </row>
    <row r="1342" spans="1:11">
      <c r="A1342" s="1" t="s">
        <v>460</v>
      </c>
      <c r="B1342" s="6" t="s">
        <v>15</v>
      </c>
      <c r="C1342" s="3">
        <v>15.98</v>
      </c>
      <c r="D1342" s="3">
        <v>12.87</v>
      </c>
      <c r="E1342" s="3">
        <v>31.5</v>
      </c>
      <c r="F1342" s="11"/>
      <c r="G1342" s="11"/>
      <c r="H1342" s="9">
        <f t="shared" si="60"/>
        <v>0.50730158730158736</v>
      </c>
      <c r="I1342" s="4" t="str">
        <f t="shared" si="61"/>
        <v>Sin riesgo &lt;85%</v>
      </c>
      <c r="J1342" s="1" t="s">
        <v>13</v>
      </c>
      <c r="K1342" s="1" t="str">
        <f t="shared" si="62"/>
        <v>Sin riesgo</v>
      </c>
    </row>
    <row r="1343" spans="1:11">
      <c r="A1343" s="1" t="s">
        <v>461</v>
      </c>
      <c r="B1343" s="6" t="s">
        <v>12</v>
      </c>
      <c r="C1343" s="3">
        <v>12.99</v>
      </c>
      <c r="D1343" s="3">
        <v>11.84</v>
      </c>
      <c r="E1343" s="3">
        <v>31.5</v>
      </c>
      <c r="F1343" s="11"/>
      <c r="G1343" s="11"/>
      <c r="H1343" s="9">
        <f t="shared" si="60"/>
        <v>0.4123809523809524</v>
      </c>
      <c r="I1343" s="4" t="str">
        <f t="shared" si="61"/>
        <v>Sin riesgo &lt;85%</v>
      </c>
      <c r="J1343" s="1">
        <v>0.88</v>
      </c>
      <c r="K1343" s="1" t="str">
        <f t="shared" si="62"/>
        <v>Estado critico</v>
      </c>
    </row>
    <row r="1344" spans="1:11">
      <c r="A1344" s="1" t="s">
        <v>461</v>
      </c>
      <c r="B1344" s="6" t="s">
        <v>14</v>
      </c>
      <c r="C1344" s="3">
        <v>13.46</v>
      </c>
      <c r="D1344" s="3">
        <v>12.07</v>
      </c>
      <c r="E1344" s="3">
        <v>31.5</v>
      </c>
      <c r="F1344" s="11"/>
      <c r="G1344" s="11"/>
      <c r="H1344" s="9">
        <f t="shared" si="60"/>
        <v>0.42730158730158735</v>
      </c>
      <c r="I1344" s="4" t="str">
        <f t="shared" si="61"/>
        <v>Sin riesgo &lt;85%</v>
      </c>
      <c r="J1344" s="1">
        <v>0.88</v>
      </c>
      <c r="K1344" s="1" t="str">
        <f t="shared" si="62"/>
        <v>Estado critico</v>
      </c>
    </row>
    <row r="1345" spans="1:11">
      <c r="A1345" s="1" t="s">
        <v>461</v>
      </c>
      <c r="B1345" s="6" t="s">
        <v>15</v>
      </c>
      <c r="C1345" s="3">
        <v>13.46</v>
      </c>
      <c r="D1345" s="3">
        <v>12.07</v>
      </c>
      <c r="E1345" s="3">
        <v>31.5</v>
      </c>
      <c r="F1345" s="11"/>
      <c r="G1345" s="11"/>
      <c r="H1345" s="9">
        <f t="shared" si="60"/>
        <v>0.42730158730158735</v>
      </c>
      <c r="I1345" s="4" t="str">
        <f t="shared" si="61"/>
        <v>Sin riesgo &lt;85%</v>
      </c>
      <c r="J1345" s="1">
        <v>0.88</v>
      </c>
      <c r="K1345" s="1" t="str">
        <f t="shared" si="62"/>
        <v>Estado critico</v>
      </c>
    </row>
    <row r="1346" spans="1:11">
      <c r="A1346" s="1" t="s">
        <v>462</v>
      </c>
      <c r="B1346" s="6" t="s">
        <v>12</v>
      </c>
      <c r="C1346" s="3">
        <v>12.07</v>
      </c>
      <c r="D1346" s="3">
        <v>11.17</v>
      </c>
      <c r="E1346" s="3">
        <v>40</v>
      </c>
      <c r="F1346" s="11"/>
      <c r="G1346" s="11"/>
      <c r="H1346" s="9">
        <f t="shared" si="60"/>
        <v>0.30175000000000002</v>
      </c>
      <c r="I1346" s="4" t="str">
        <f t="shared" si="61"/>
        <v>Sin riesgo &lt;85%</v>
      </c>
      <c r="J1346" s="1" t="s">
        <v>13</v>
      </c>
      <c r="K1346" s="1" t="str">
        <f t="shared" si="62"/>
        <v>Sin riesgo</v>
      </c>
    </row>
    <row r="1347" spans="1:11">
      <c r="A1347" s="1" t="s">
        <v>462</v>
      </c>
      <c r="B1347" s="6" t="s">
        <v>14</v>
      </c>
      <c r="C1347" s="3">
        <v>12.44</v>
      </c>
      <c r="D1347" s="3">
        <v>11.37</v>
      </c>
      <c r="E1347" s="3">
        <v>40</v>
      </c>
      <c r="F1347" s="11"/>
      <c r="G1347" s="11"/>
      <c r="H1347" s="9">
        <f t="shared" ref="H1347:H1410" si="63">IF(C1347&gt;D1347,C1347/E1347,D1347/E1347)</f>
        <v>0.311</v>
      </c>
      <c r="I1347" s="4" t="str">
        <f t="shared" ref="I1347:I1410" si="64">IF(H1347&gt;100%,"Altamente critico &gt;100%",IF(H1347&gt;95%,"Critico &gt;95%",IF(H1347&gt;85%,"En riesgo &gt;85%","Sin riesgo &lt;85%")))</f>
        <v>Sin riesgo &lt;85%</v>
      </c>
      <c r="J1347" s="1" t="s">
        <v>13</v>
      </c>
      <c r="K1347" s="1" t="str">
        <f t="shared" ref="K1347:K1410" si="65">IF(J1347="&gt;5","Sin riesgo",IF(J1347&gt;1.5,"Estado de alerta","Estado critico"))</f>
        <v>Sin riesgo</v>
      </c>
    </row>
    <row r="1348" spans="1:11">
      <c r="A1348" s="1" t="s">
        <v>462</v>
      </c>
      <c r="B1348" s="6" t="s">
        <v>15</v>
      </c>
      <c r="C1348" s="3">
        <v>12.44</v>
      </c>
      <c r="D1348" s="3">
        <v>11.37</v>
      </c>
      <c r="E1348" s="3">
        <v>40</v>
      </c>
      <c r="F1348" s="11"/>
      <c r="G1348" s="11"/>
      <c r="H1348" s="9">
        <f t="shared" si="63"/>
        <v>0.311</v>
      </c>
      <c r="I1348" s="4" t="str">
        <f t="shared" si="64"/>
        <v>Sin riesgo &lt;85%</v>
      </c>
      <c r="J1348" s="1" t="s">
        <v>13</v>
      </c>
      <c r="K1348" s="1" t="str">
        <f t="shared" si="65"/>
        <v>Sin riesgo</v>
      </c>
    </row>
    <row r="1349" spans="1:11">
      <c r="A1349" s="1" t="s">
        <v>463</v>
      </c>
      <c r="B1349" s="6" t="s">
        <v>12</v>
      </c>
      <c r="C1349" s="3">
        <v>16.350000000000001</v>
      </c>
      <c r="D1349" s="3">
        <v>12.22</v>
      </c>
      <c r="E1349" s="3">
        <v>31.5</v>
      </c>
      <c r="F1349" s="11"/>
      <c r="G1349" s="11"/>
      <c r="H1349" s="9">
        <f t="shared" si="63"/>
        <v>0.51904761904761909</v>
      </c>
      <c r="I1349" s="4" t="str">
        <f t="shared" si="64"/>
        <v>Sin riesgo &lt;85%</v>
      </c>
      <c r="J1349" s="1" t="s">
        <v>13</v>
      </c>
      <c r="K1349" s="1" t="str">
        <f t="shared" si="65"/>
        <v>Sin riesgo</v>
      </c>
    </row>
    <row r="1350" spans="1:11">
      <c r="A1350" s="1" t="s">
        <v>463</v>
      </c>
      <c r="B1350" s="6" t="s">
        <v>14</v>
      </c>
      <c r="C1350" s="3">
        <v>16.559999999999999</v>
      </c>
      <c r="D1350" s="3">
        <v>12.37</v>
      </c>
      <c r="E1350" s="3">
        <v>31.5</v>
      </c>
      <c r="F1350" s="11"/>
      <c r="G1350" s="11"/>
      <c r="H1350" s="9">
        <f t="shared" si="63"/>
        <v>0.52571428571428569</v>
      </c>
      <c r="I1350" s="4" t="str">
        <f t="shared" si="64"/>
        <v>Sin riesgo &lt;85%</v>
      </c>
      <c r="J1350" s="1" t="s">
        <v>13</v>
      </c>
      <c r="K1350" s="1" t="str">
        <f t="shared" si="65"/>
        <v>Sin riesgo</v>
      </c>
    </row>
    <row r="1351" spans="1:11">
      <c r="A1351" s="1" t="s">
        <v>463</v>
      </c>
      <c r="B1351" s="6" t="s">
        <v>15</v>
      </c>
      <c r="C1351" s="3">
        <v>16.55</v>
      </c>
      <c r="D1351" s="3">
        <v>12.37</v>
      </c>
      <c r="E1351" s="3">
        <v>31.5</v>
      </c>
      <c r="F1351" s="11"/>
      <c r="G1351" s="11"/>
      <c r="H1351" s="9">
        <f t="shared" si="63"/>
        <v>0.52539682539682542</v>
      </c>
      <c r="I1351" s="4" t="str">
        <f t="shared" si="64"/>
        <v>Sin riesgo &lt;85%</v>
      </c>
      <c r="J1351" s="1" t="s">
        <v>13</v>
      </c>
      <c r="K1351" s="1" t="str">
        <f t="shared" si="65"/>
        <v>Sin riesgo</v>
      </c>
    </row>
    <row r="1352" spans="1:11">
      <c r="A1352" s="1" t="s">
        <v>464</v>
      </c>
      <c r="B1352" s="6" t="s">
        <v>12</v>
      </c>
      <c r="C1352" s="3">
        <v>12.98</v>
      </c>
      <c r="D1352" s="3">
        <v>10.72</v>
      </c>
      <c r="E1352" s="3">
        <v>31.5</v>
      </c>
      <c r="F1352" s="11"/>
      <c r="G1352" s="11"/>
      <c r="H1352" s="9">
        <f t="shared" si="63"/>
        <v>0.41206349206349208</v>
      </c>
      <c r="I1352" s="4" t="str">
        <f t="shared" si="64"/>
        <v>Sin riesgo &lt;85%</v>
      </c>
      <c r="J1352" s="1">
        <v>0.83</v>
      </c>
      <c r="K1352" s="1" t="str">
        <f t="shared" si="65"/>
        <v>Estado critico</v>
      </c>
    </row>
    <row r="1353" spans="1:11">
      <c r="A1353" s="1" t="s">
        <v>464</v>
      </c>
      <c r="B1353" s="6" t="s">
        <v>14</v>
      </c>
      <c r="C1353" s="3">
        <v>13.18</v>
      </c>
      <c r="D1353" s="3">
        <v>10.9</v>
      </c>
      <c r="E1353" s="3">
        <v>31.5</v>
      </c>
      <c r="F1353" s="11"/>
      <c r="G1353" s="11"/>
      <c r="H1353" s="9">
        <f t="shared" si="63"/>
        <v>0.4184126984126984</v>
      </c>
      <c r="I1353" s="4" t="str">
        <f t="shared" si="64"/>
        <v>Sin riesgo &lt;85%</v>
      </c>
      <c r="J1353" s="1">
        <v>0.83</v>
      </c>
      <c r="K1353" s="1" t="str">
        <f t="shared" si="65"/>
        <v>Estado critico</v>
      </c>
    </row>
    <row r="1354" spans="1:11">
      <c r="A1354" s="1" t="s">
        <v>464</v>
      </c>
      <c r="B1354" s="6" t="s">
        <v>15</v>
      </c>
      <c r="C1354" s="3">
        <v>13.18</v>
      </c>
      <c r="D1354" s="3">
        <v>10.9</v>
      </c>
      <c r="E1354" s="3">
        <v>31.5</v>
      </c>
      <c r="F1354" s="11"/>
      <c r="G1354" s="11"/>
      <c r="H1354" s="9">
        <f t="shared" si="63"/>
        <v>0.4184126984126984</v>
      </c>
      <c r="I1354" s="4" t="str">
        <f t="shared" si="64"/>
        <v>Sin riesgo &lt;85%</v>
      </c>
      <c r="J1354" s="1">
        <v>0.83</v>
      </c>
      <c r="K1354" s="1" t="str">
        <f t="shared" si="65"/>
        <v>Estado critico</v>
      </c>
    </row>
    <row r="1355" spans="1:11">
      <c r="A1355" s="1" t="s">
        <v>465</v>
      </c>
      <c r="B1355" s="6" t="s">
        <v>12</v>
      </c>
      <c r="C1355" s="3">
        <v>6.56</v>
      </c>
      <c r="D1355" s="3">
        <v>6.42</v>
      </c>
      <c r="E1355" s="3">
        <v>25</v>
      </c>
      <c r="F1355" s="11"/>
      <c r="G1355" s="11"/>
      <c r="H1355" s="9">
        <f t="shared" si="63"/>
        <v>0.26239999999999997</v>
      </c>
      <c r="I1355" s="4" t="str">
        <f t="shared" si="64"/>
        <v>Sin riesgo &lt;85%</v>
      </c>
      <c r="J1355" s="1" t="s">
        <v>13</v>
      </c>
      <c r="K1355" s="1" t="str">
        <f t="shared" si="65"/>
        <v>Sin riesgo</v>
      </c>
    </row>
    <row r="1356" spans="1:11">
      <c r="A1356" s="1" t="s">
        <v>465</v>
      </c>
      <c r="B1356" s="6" t="s">
        <v>14</v>
      </c>
      <c r="C1356" s="3">
        <v>6.58</v>
      </c>
      <c r="D1356" s="3">
        <v>6.45</v>
      </c>
      <c r="E1356" s="3">
        <v>25</v>
      </c>
      <c r="F1356" s="11"/>
      <c r="G1356" s="11"/>
      <c r="H1356" s="9">
        <f t="shared" si="63"/>
        <v>0.26319999999999999</v>
      </c>
      <c r="I1356" s="4" t="str">
        <f t="shared" si="64"/>
        <v>Sin riesgo &lt;85%</v>
      </c>
      <c r="J1356" s="1" t="s">
        <v>13</v>
      </c>
      <c r="K1356" s="1" t="str">
        <f t="shared" si="65"/>
        <v>Sin riesgo</v>
      </c>
    </row>
    <row r="1357" spans="1:11">
      <c r="A1357" s="1" t="s">
        <v>465</v>
      </c>
      <c r="B1357" s="6" t="s">
        <v>15</v>
      </c>
      <c r="C1357" s="3">
        <v>6.58</v>
      </c>
      <c r="D1357" s="3">
        <v>6.45</v>
      </c>
      <c r="E1357" s="3">
        <v>25</v>
      </c>
      <c r="F1357" s="11"/>
      <c r="G1357" s="11"/>
      <c r="H1357" s="9">
        <f t="shared" si="63"/>
        <v>0.26319999999999999</v>
      </c>
      <c r="I1357" s="4" t="str">
        <f t="shared" si="64"/>
        <v>Sin riesgo &lt;85%</v>
      </c>
      <c r="J1357" s="1" t="s">
        <v>13</v>
      </c>
      <c r="K1357" s="1" t="str">
        <f t="shared" si="65"/>
        <v>Sin riesgo</v>
      </c>
    </row>
    <row r="1358" spans="1:11">
      <c r="A1358" s="1" t="s">
        <v>466</v>
      </c>
      <c r="B1358" s="6" t="s">
        <v>12</v>
      </c>
      <c r="C1358" s="3">
        <v>18.440000000000001</v>
      </c>
      <c r="D1358" s="3">
        <v>15.37</v>
      </c>
      <c r="E1358" s="3">
        <v>25</v>
      </c>
      <c r="F1358" s="4">
        <v>2.7086389999999998</v>
      </c>
      <c r="G1358" s="4">
        <v>-75.432777999999999</v>
      </c>
      <c r="H1358" s="9">
        <f t="shared" si="63"/>
        <v>0.73760000000000003</v>
      </c>
      <c r="I1358" s="4" t="str">
        <f t="shared" si="64"/>
        <v>Sin riesgo &lt;85%</v>
      </c>
      <c r="J1358" s="1" t="s">
        <v>13</v>
      </c>
      <c r="K1358" s="1" t="str">
        <f t="shared" si="65"/>
        <v>Sin riesgo</v>
      </c>
    </row>
    <row r="1359" spans="1:11">
      <c r="A1359" s="1" t="s">
        <v>466</v>
      </c>
      <c r="B1359" s="6" t="s">
        <v>14</v>
      </c>
      <c r="C1359" s="3">
        <v>18.489999999999998</v>
      </c>
      <c r="D1359" s="3">
        <v>15.4</v>
      </c>
      <c r="E1359" s="3">
        <v>25</v>
      </c>
      <c r="F1359" s="4">
        <v>2.7086389999999998</v>
      </c>
      <c r="G1359" s="4">
        <v>-75.432777999999999</v>
      </c>
      <c r="H1359" s="9">
        <f t="shared" si="63"/>
        <v>0.73959999999999992</v>
      </c>
      <c r="I1359" s="4" t="str">
        <f t="shared" si="64"/>
        <v>Sin riesgo &lt;85%</v>
      </c>
      <c r="J1359" s="1" t="s">
        <v>13</v>
      </c>
      <c r="K1359" s="1" t="str">
        <f t="shared" si="65"/>
        <v>Sin riesgo</v>
      </c>
    </row>
    <row r="1360" spans="1:11">
      <c r="A1360" s="1" t="s">
        <v>466</v>
      </c>
      <c r="B1360" s="6" t="s">
        <v>15</v>
      </c>
      <c r="C1360" s="3">
        <v>18.489999999999998</v>
      </c>
      <c r="D1360" s="3">
        <v>15.4</v>
      </c>
      <c r="E1360" s="3">
        <v>25</v>
      </c>
      <c r="F1360" s="4">
        <v>2.7086389999999998</v>
      </c>
      <c r="G1360" s="4">
        <v>-75.432777999999999</v>
      </c>
      <c r="H1360" s="9">
        <f t="shared" si="63"/>
        <v>0.73959999999999992</v>
      </c>
      <c r="I1360" s="4" t="str">
        <f t="shared" si="64"/>
        <v>Sin riesgo &lt;85%</v>
      </c>
      <c r="J1360" s="1" t="s">
        <v>13</v>
      </c>
      <c r="K1360" s="1" t="str">
        <f t="shared" si="65"/>
        <v>Sin riesgo</v>
      </c>
    </row>
    <row r="1361" spans="1:11">
      <c r="A1361" s="1" t="s">
        <v>467</v>
      </c>
      <c r="B1361" s="6" t="s">
        <v>12</v>
      </c>
      <c r="C1361" s="3">
        <v>20.58</v>
      </c>
      <c r="D1361" s="3">
        <v>17.86</v>
      </c>
      <c r="E1361" s="3">
        <v>31.5</v>
      </c>
      <c r="F1361" s="4">
        <v>2.7086389999999998</v>
      </c>
      <c r="G1361" s="4">
        <v>-75.432777999999999</v>
      </c>
      <c r="H1361" s="9">
        <f t="shared" si="63"/>
        <v>0.65333333333333332</v>
      </c>
      <c r="I1361" s="4" t="str">
        <f t="shared" si="64"/>
        <v>Sin riesgo &lt;85%</v>
      </c>
      <c r="J1361" s="1" t="s">
        <v>13</v>
      </c>
      <c r="K1361" s="1" t="str">
        <f t="shared" si="65"/>
        <v>Sin riesgo</v>
      </c>
    </row>
    <row r="1362" spans="1:11">
      <c r="A1362" s="1" t="s">
        <v>467</v>
      </c>
      <c r="B1362" s="6" t="s">
        <v>14</v>
      </c>
      <c r="C1362" s="3">
        <v>20.63</v>
      </c>
      <c r="D1362" s="3">
        <v>17.89</v>
      </c>
      <c r="E1362" s="3">
        <v>31.5</v>
      </c>
      <c r="F1362" s="4">
        <v>2.7086389999999998</v>
      </c>
      <c r="G1362" s="4">
        <v>-75.432777999999999</v>
      </c>
      <c r="H1362" s="9">
        <f t="shared" si="63"/>
        <v>0.6549206349206349</v>
      </c>
      <c r="I1362" s="4" t="str">
        <f t="shared" si="64"/>
        <v>Sin riesgo &lt;85%</v>
      </c>
      <c r="J1362" s="1" t="s">
        <v>13</v>
      </c>
      <c r="K1362" s="1" t="str">
        <f t="shared" si="65"/>
        <v>Sin riesgo</v>
      </c>
    </row>
    <row r="1363" spans="1:11">
      <c r="A1363" s="1" t="s">
        <v>467</v>
      </c>
      <c r="B1363" s="6" t="s">
        <v>15</v>
      </c>
      <c r="C1363" s="3">
        <v>20.63</v>
      </c>
      <c r="D1363" s="3">
        <v>17.89</v>
      </c>
      <c r="E1363" s="3">
        <v>31.5</v>
      </c>
      <c r="F1363" s="4">
        <v>2.7086389999999998</v>
      </c>
      <c r="G1363" s="4">
        <v>-75.432777999999999</v>
      </c>
      <c r="H1363" s="9">
        <f t="shared" si="63"/>
        <v>0.6549206349206349</v>
      </c>
      <c r="I1363" s="4" t="str">
        <f t="shared" si="64"/>
        <v>Sin riesgo &lt;85%</v>
      </c>
      <c r="J1363" s="1" t="s">
        <v>13</v>
      </c>
      <c r="K1363" s="1" t="str">
        <f t="shared" si="65"/>
        <v>Sin riesgo</v>
      </c>
    </row>
    <row r="1364" spans="1:11">
      <c r="A1364" s="1" t="s">
        <v>468</v>
      </c>
      <c r="B1364" s="6" t="s">
        <v>12</v>
      </c>
      <c r="C1364" s="3">
        <v>14.95</v>
      </c>
      <c r="D1364" s="3">
        <v>14.03</v>
      </c>
      <c r="E1364" s="3">
        <v>40</v>
      </c>
      <c r="F1364" s="11"/>
      <c r="G1364" s="11"/>
      <c r="H1364" s="9">
        <f t="shared" si="63"/>
        <v>0.37374999999999997</v>
      </c>
      <c r="I1364" s="4" t="str">
        <f t="shared" si="64"/>
        <v>Sin riesgo &lt;85%</v>
      </c>
      <c r="J1364" s="1" t="s">
        <v>13</v>
      </c>
      <c r="K1364" s="1" t="str">
        <f t="shared" si="65"/>
        <v>Sin riesgo</v>
      </c>
    </row>
    <row r="1365" spans="1:11">
      <c r="A1365" s="1" t="s">
        <v>468</v>
      </c>
      <c r="B1365" s="6" t="s">
        <v>14</v>
      </c>
      <c r="C1365" s="3">
        <v>15.48</v>
      </c>
      <c r="D1365" s="3">
        <v>14.56</v>
      </c>
      <c r="E1365" s="3">
        <v>40</v>
      </c>
      <c r="F1365" s="11"/>
      <c r="G1365" s="11"/>
      <c r="H1365" s="9">
        <f t="shared" si="63"/>
        <v>0.38700000000000001</v>
      </c>
      <c r="I1365" s="4" t="str">
        <f t="shared" si="64"/>
        <v>Sin riesgo &lt;85%</v>
      </c>
      <c r="J1365" s="1" t="s">
        <v>13</v>
      </c>
      <c r="K1365" s="1" t="str">
        <f t="shared" si="65"/>
        <v>Sin riesgo</v>
      </c>
    </row>
    <row r="1366" spans="1:11">
      <c r="A1366" s="1" t="s">
        <v>468</v>
      </c>
      <c r="B1366" s="6" t="s">
        <v>15</v>
      </c>
      <c r="C1366" s="3">
        <v>15.48</v>
      </c>
      <c r="D1366" s="3">
        <v>14.56</v>
      </c>
      <c r="E1366" s="3">
        <v>40</v>
      </c>
      <c r="F1366" s="11"/>
      <c r="G1366" s="11"/>
      <c r="H1366" s="9">
        <f t="shared" si="63"/>
        <v>0.38700000000000001</v>
      </c>
      <c r="I1366" s="4" t="str">
        <f t="shared" si="64"/>
        <v>Sin riesgo &lt;85%</v>
      </c>
      <c r="J1366" s="1" t="s">
        <v>13</v>
      </c>
      <c r="K1366" s="1" t="str">
        <f t="shared" si="65"/>
        <v>Sin riesgo</v>
      </c>
    </row>
    <row r="1367" spans="1:11">
      <c r="A1367" s="1" t="s">
        <v>469</v>
      </c>
      <c r="B1367" s="6" t="s">
        <v>12</v>
      </c>
      <c r="C1367" s="3">
        <v>4.45</v>
      </c>
      <c r="D1367" s="3">
        <v>4.04</v>
      </c>
      <c r="E1367" s="3">
        <v>31.5</v>
      </c>
      <c r="F1367" s="11"/>
      <c r="G1367" s="11"/>
      <c r="H1367" s="9">
        <f t="shared" si="63"/>
        <v>0.14126984126984127</v>
      </c>
      <c r="I1367" s="4" t="str">
        <f t="shared" si="64"/>
        <v>Sin riesgo &lt;85%</v>
      </c>
      <c r="J1367" s="1" t="s">
        <v>13</v>
      </c>
      <c r="K1367" s="1" t="str">
        <f t="shared" si="65"/>
        <v>Sin riesgo</v>
      </c>
    </row>
    <row r="1368" spans="1:11">
      <c r="A1368" s="1" t="s">
        <v>469</v>
      </c>
      <c r="B1368" s="6" t="s">
        <v>14</v>
      </c>
      <c r="C1368" s="3">
        <v>4.51</v>
      </c>
      <c r="D1368" s="3">
        <v>4.09</v>
      </c>
      <c r="E1368" s="3">
        <v>31.5</v>
      </c>
      <c r="F1368" s="11"/>
      <c r="G1368" s="11"/>
      <c r="H1368" s="9">
        <f t="shared" si="63"/>
        <v>0.14317460317460318</v>
      </c>
      <c r="I1368" s="4" t="str">
        <f t="shared" si="64"/>
        <v>Sin riesgo &lt;85%</v>
      </c>
      <c r="J1368" s="1" t="s">
        <v>13</v>
      </c>
      <c r="K1368" s="1" t="str">
        <f t="shared" si="65"/>
        <v>Sin riesgo</v>
      </c>
    </row>
    <row r="1369" spans="1:11">
      <c r="A1369" s="1" t="s">
        <v>469</v>
      </c>
      <c r="B1369" s="6" t="s">
        <v>15</v>
      </c>
      <c r="C1369" s="3">
        <v>4.51</v>
      </c>
      <c r="D1369" s="3">
        <v>4.09</v>
      </c>
      <c r="E1369" s="3">
        <v>31.5</v>
      </c>
      <c r="F1369" s="11"/>
      <c r="G1369" s="11"/>
      <c r="H1369" s="9">
        <f t="shared" si="63"/>
        <v>0.14317460317460318</v>
      </c>
      <c r="I1369" s="4" t="str">
        <f t="shared" si="64"/>
        <v>Sin riesgo &lt;85%</v>
      </c>
      <c r="J1369" s="1" t="s">
        <v>13</v>
      </c>
      <c r="K1369" s="1" t="str">
        <f t="shared" si="65"/>
        <v>Sin riesgo</v>
      </c>
    </row>
    <row r="1370" spans="1:11">
      <c r="A1370" s="1" t="s">
        <v>470</v>
      </c>
      <c r="B1370" s="6" t="s">
        <v>12</v>
      </c>
      <c r="C1370" s="3">
        <v>10.88</v>
      </c>
      <c r="D1370" s="3">
        <v>10.52</v>
      </c>
      <c r="E1370" s="3">
        <v>31.5</v>
      </c>
      <c r="F1370" s="11"/>
      <c r="G1370" s="11"/>
      <c r="H1370" s="9">
        <f t="shared" si="63"/>
        <v>0.34539682539682542</v>
      </c>
      <c r="I1370" s="4" t="str">
        <f t="shared" si="64"/>
        <v>Sin riesgo &lt;85%</v>
      </c>
      <c r="J1370" s="1" t="s">
        <v>13</v>
      </c>
      <c r="K1370" s="1" t="str">
        <f t="shared" si="65"/>
        <v>Sin riesgo</v>
      </c>
    </row>
    <row r="1371" spans="1:11">
      <c r="A1371" s="1" t="s">
        <v>470</v>
      </c>
      <c r="B1371" s="6" t="s">
        <v>14</v>
      </c>
      <c r="C1371" s="3">
        <v>11.86</v>
      </c>
      <c r="D1371" s="3">
        <v>11.45</v>
      </c>
      <c r="E1371" s="3">
        <v>31.5</v>
      </c>
      <c r="F1371" s="11"/>
      <c r="G1371" s="11"/>
      <c r="H1371" s="9">
        <f t="shared" si="63"/>
        <v>0.37650793650793651</v>
      </c>
      <c r="I1371" s="4" t="str">
        <f t="shared" si="64"/>
        <v>Sin riesgo &lt;85%</v>
      </c>
      <c r="J1371" s="1" t="s">
        <v>13</v>
      </c>
      <c r="K1371" s="1" t="str">
        <f t="shared" si="65"/>
        <v>Sin riesgo</v>
      </c>
    </row>
    <row r="1372" spans="1:11">
      <c r="A1372" s="1" t="s">
        <v>470</v>
      </c>
      <c r="B1372" s="6" t="s">
        <v>15</v>
      </c>
      <c r="C1372" s="3">
        <v>11.86</v>
      </c>
      <c r="D1372" s="3">
        <v>11.45</v>
      </c>
      <c r="E1372" s="3">
        <v>31.5</v>
      </c>
      <c r="F1372" s="11"/>
      <c r="G1372" s="11"/>
      <c r="H1372" s="9">
        <f t="shared" si="63"/>
        <v>0.37650793650793651</v>
      </c>
      <c r="I1372" s="4" t="str">
        <f t="shared" si="64"/>
        <v>Sin riesgo &lt;85%</v>
      </c>
      <c r="J1372" s="1" t="s">
        <v>13</v>
      </c>
      <c r="K1372" s="1" t="str">
        <f t="shared" si="65"/>
        <v>Sin riesgo</v>
      </c>
    </row>
    <row r="1373" spans="1:11">
      <c r="A1373" s="1" t="s">
        <v>471</v>
      </c>
      <c r="B1373" s="6" t="s">
        <v>12</v>
      </c>
      <c r="C1373" s="3">
        <v>15.04</v>
      </c>
      <c r="D1373" s="3">
        <v>13.81</v>
      </c>
      <c r="E1373" s="3">
        <v>31.5</v>
      </c>
      <c r="F1373" s="4">
        <v>2.9403000000000001</v>
      </c>
      <c r="G1373" s="4">
        <v>-75.310199999999895</v>
      </c>
      <c r="H1373" s="9">
        <f t="shared" si="63"/>
        <v>0.47746031746031742</v>
      </c>
      <c r="I1373" s="4" t="str">
        <f t="shared" si="64"/>
        <v>Sin riesgo &lt;85%</v>
      </c>
      <c r="J1373" s="1" t="s">
        <v>13</v>
      </c>
      <c r="K1373" s="1" t="str">
        <f t="shared" si="65"/>
        <v>Sin riesgo</v>
      </c>
    </row>
    <row r="1374" spans="1:11">
      <c r="A1374" s="1" t="s">
        <v>471</v>
      </c>
      <c r="B1374" s="6" t="s">
        <v>14</v>
      </c>
      <c r="C1374" s="3">
        <v>15.08</v>
      </c>
      <c r="D1374" s="3">
        <v>13.85</v>
      </c>
      <c r="E1374" s="3">
        <v>31.5</v>
      </c>
      <c r="F1374" s="4">
        <v>2.9403000000000001</v>
      </c>
      <c r="G1374" s="4">
        <v>-75.310199999999895</v>
      </c>
      <c r="H1374" s="9">
        <f t="shared" si="63"/>
        <v>0.47873015873015873</v>
      </c>
      <c r="I1374" s="4" t="str">
        <f t="shared" si="64"/>
        <v>Sin riesgo &lt;85%</v>
      </c>
      <c r="J1374" s="1" t="s">
        <v>13</v>
      </c>
      <c r="K1374" s="1" t="str">
        <f t="shared" si="65"/>
        <v>Sin riesgo</v>
      </c>
    </row>
    <row r="1375" spans="1:11">
      <c r="A1375" s="1" t="s">
        <v>471</v>
      </c>
      <c r="B1375" s="6" t="s">
        <v>15</v>
      </c>
      <c r="C1375" s="3">
        <v>15.08</v>
      </c>
      <c r="D1375" s="3">
        <v>13.85</v>
      </c>
      <c r="E1375" s="3">
        <v>31.5</v>
      </c>
      <c r="F1375" s="4">
        <v>2.9403000000000001</v>
      </c>
      <c r="G1375" s="4">
        <v>-75.310199999999895</v>
      </c>
      <c r="H1375" s="9">
        <f t="shared" si="63"/>
        <v>0.47873015873015873</v>
      </c>
      <c r="I1375" s="4" t="str">
        <f t="shared" si="64"/>
        <v>Sin riesgo &lt;85%</v>
      </c>
      <c r="J1375" s="1" t="s">
        <v>13</v>
      </c>
      <c r="K1375" s="1" t="str">
        <f t="shared" si="65"/>
        <v>Sin riesgo</v>
      </c>
    </row>
    <row r="1376" spans="1:11">
      <c r="A1376" s="1" t="s">
        <v>472</v>
      </c>
      <c r="B1376" s="6" t="s">
        <v>12</v>
      </c>
      <c r="C1376" s="3">
        <v>12.91</v>
      </c>
      <c r="D1376" s="3">
        <v>11.75</v>
      </c>
      <c r="E1376" s="3">
        <v>25.2</v>
      </c>
      <c r="F1376" s="4">
        <v>4.2765700000000004</v>
      </c>
      <c r="G1376" s="4">
        <v>-74.819000000000003</v>
      </c>
      <c r="H1376" s="9">
        <f t="shared" si="63"/>
        <v>0.51230158730158737</v>
      </c>
      <c r="I1376" s="4" t="str">
        <f t="shared" si="64"/>
        <v>Sin riesgo &lt;85%</v>
      </c>
      <c r="J1376" s="1" t="s">
        <v>13</v>
      </c>
      <c r="K1376" s="1" t="str">
        <f t="shared" si="65"/>
        <v>Sin riesgo</v>
      </c>
    </row>
    <row r="1377" spans="1:11">
      <c r="A1377" s="1" t="s">
        <v>472</v>
      </c>
      <c r="B1377" s="6" t="s">
        <v>14</v>
      </c>
      <c r="C1377" s="3">
        <v>13.61</v>
      </c>
      <c r="D1377" s="3">
        <v>12.4</v>
      </c>
      <c r="E1377" s="3">
        <v>25.2</v>
      </c>
      <c r="F1377" s="4">
        <v>4.2765700000000004</v>
      </c>
      <c r="G1377" s="4">
        <v>-74.819000000000003</v>
      </c>
      <c r="H1377" s="9">
        <f t="shared" si="63"/>
        <v>0.54007936507936505</v>
      </c>
      <c r="I1377" s="4" t="str">
        <f t="shared" si="64"/>
        <v>Sin riesgo &lt;85%</v>
      </c>
      <c r="J1377" s="1" t="s">
        <v>13</v>
      </c>
      <c r="K1377" s="1" t="str">
        <f t="shared" si="65"/>
        <v>Sin riesgo</v>
      </c>
    </row>
    <row r="1378" spans="1:11">
      <c r="A1378" s="1" t="s">
        <v>472</v>
      </c>
      <c r="B1378" s="6" t="s">
        <v>15</v>
      </c>
      <c r="C1378" s="3">
        <v>13.61</v>
      </c>
      <c r="D1378" s="3">
        <v>12.4</v>
      </c>
      <c r="E1378" s="3">
        <v>25.2</v>
      </c>
      <c r="F1378" s="4">
        <v>4.2765700000000004</v>
      </c>
      <c r="G1378" s="4">
        <v>-74.819000000000003</v>
      </c>
      <c r="H1378" s="9">
        <f t="shared" si="63"/>
        <v>0.54007936507936505</v>
      </c>
      <c r="I1378" s="4" t="str">
        <f t="shared" si="64"/>
        <v>Sin riesgo &lt;85%</v>
      </c>
      <c r="J1378" s="1" t="s">
        <v>13</v>
      </c>
      <c r="K1378" s="1" t="str">
        <f t="shared" si="65"/>
        <v>Sin riesgo</v>
      </c>
    </row>
    <row r="1379" spans="1:11">
      <c r="A1379" s="1" t="s">
        <v>473</v>
      </c>
      <c r="B1379" s="6" t="s">
        <v>12</v>
      </c>
      <c r="C1379" s="3">
        <v>9.76</v>
      </c>
      <c r="D1379" s="3">
        <v>9.89</v>
      </c>
      <c r="E1379" s="3">
        <v>31.5</v>
      </c>
      <c r="F1379" s="4">
        <v>4.2921100000000001</v>
      </c>
      <c r="G1379" s="4">
        <v>-75.0428</v>
      </c>
      <c r="H1379" s="9">
        <f t="shared" si="63"/>
        <v>0.31396825396825401</v>
      </c>
      <c r="I1379" s="4" t="str">
        <f t="shared" si="64"/>
        <v>Sin riesgo &lt;85%</v>
      </c>
      <c r="J1379" s="1" t="s">
        <v>13</v>
      </c>
      <c r="K1379" s="1" t="str">
        <f t="shared" si="65"/>
        <v>Sin riesgo</v>
      </c>
    </row>
    <row r="1380" spans="1:11">
      <c r="A1380" s="1" t="s">
        <v>473</v>
      </c>
      <c r="B1380" s="6" t="s">
        <v>14</v>
      </c>
      <c r="C1380" s="3">
        <v>12.26</v>
      </c>
      <c r="D1380" s="3">
        <v>12.19</v>
      </c>
      <c r="E1380" s="3">
        <v>31.5</v>
      </c>
      <c r="F1380" s="4">
        <v>4.2921100000000001</v>
      </c>
      <c r="G1380" s="4">
        <v>-75.0428</v>
      </c>
      <c r="H1380" s="9">
        <f t="shared" si="63"/>
        <v>0.38920634920634922</v>
      </c>
      <c r="I1380" s="4" t="str">
        <f t="shared" si="64"/>
        <v>Sin riesgo &lt;85%</v>
      </c>
      <c r="J1380" s="1" t="s">
        <v>13</v>
      </c>
      <c r="K1380" s="1" t="str">
        <f t="shared" si="65"/>
        <v>Sin riesgo</v>
      </c>
    </row>
    <row r="1381" spans="1:11">
      <c r="A1381" s="1" t="s">
        <v>473</v>
      </c>
      <c r="B1381" s="6" t="s">
        <v>15</v>
      </c>
      <c r="C1381" s="3">
        <v>12.26</v>
      </c>
      <c r="D1381" s="3">
        <v>12.19</v>
      </c>
      <c r="E1381" s="3">
        <v>31.5</v>
      </c>
      <c r="F1381" s="4">
        <v>4.2921100000000001</v>
      </c>
      <c r="G1381" s="4">
        <v>-75.0428</v>
      </c>
      <c r="H1381" s="9">
        <f t="shared" si="63"/>
        <v>0.38920634920634922</v>
      </c>
      <c r="I1381" s="4" t="str">
        <f t="shared" si="64"/>
        <v>Sin riesgo &lt;85%</v>
      </c>
      <c r="J1381" s="1" t="s">
        <v>13</v>
      </c>
      <c r="K1381" s="1" t="str">
        <f t="shared" si="65"/>
        <v>Sin riesgo</v>
      </c>
    </row>
    <row r="1382" spans="1:11">
      <c r="A1382" s="1" t="s">
        <v>474</v>
      </c>
      <c r="B1382" s="6" t="s">
        <v>12</v>
      </c>
      <c r="C1382" s="3">
        <v>16.3</v>
      </c>
      <c r="D1382" s="3">
        <v>13.44</v>
      </c>
      <c r="E1382" s="3">
        <v>40</v>
      </c>
      <c r="F1382" s="11"/>
      <c r="G1382" s="11"/>
      <c r="H1382" s="9">
        <f t="shared" si="63"/>
        <v>0.40750000000000003</v>
      </c>
      <c r="I1382" s="4" t="str">
        <f t="shared" si="64"/>
        <v>Sin riesgo &lt;85%</v>
      </c>
      <c r="J1382" s="1" t="s">
        <v>13</v>
      </c>
      <c r="K1382" s="1" t="str">
        <f t="shared" si="65"/>
        <v>Sin riesgo</v>
      </c>
    </row>
    <row r="1383" spans="1:11">
      <c r="A1383" s="1" t="s">
        <v>474</v>
      </c>
      <c r="B1383" s="6" t="s">
        <v>14</v>
      </c>
      <c r="C1383" s="3">
        <v>16.36</v>
      </c>
      <c r="D1383" s="3">
        <v>13.49</v>
      </c>
      <c r="E1383" s="3">
        <v>40</v>
      </c>
      <c r="F1383" s="11"/>
      <c r="G1383" s="11"/>
      <c r="H1383" s="9">
        <f t="shared" si="63"/>
        <v>0.40899999999999997</v>
      </c>
      <c r="I1383" s="4" t="str">
        <f t="shared" si="64"/>
        <v>Sin riesgo &lt;85%</v>
      </c>
      <c r="J1383" s="1" t="s">
        <v>13</v>
      </c>
      <c r="K1383" s="1" t="str">
        <f t="shared" si="65"/>
        <v>Sin riesgo</v>
      </c>
    </row>
    <row r="1384" spans="1:11">
      <c r="A1384" s="1" t="s">
        <v>474</v>
      </c>
      <c r="B1384" s="6" t="s">
        <v>15</v>
      </c>
      <c r="C1384" s="3">
        <v>16.350000000000001</v>
      </c>
      <c r="D1384" s="3">
        <v>13.49</v>
      </c>
      <c r="E1384" s="3">
        <v>40</v>
      </c>
      <c r="F1384" s="11"/>
      <c r="G1384" s="11"/>
      <c r="H1384" s="9">
        <f t="shared" si="63"/>
        <v>0.40875000000000006</v>
      </c>
      <c r="I1384" s="4" t="str">
        <f t="shared" si="64"/>
        <v>Sin riesgo &lt;85%</v>
      </c>
      <c r="J1384" s="1" t="s">
        <v>13</v>
      </c>
      <c r="K1384" s="1" t="str">
        <f t="shared" si="65"/>
        <v>Sin riesgo</v>
      </c>
    </row>
    <row r="1385" spans="1:11">
      <c r="A1385" s="1" t="s">
        <v>475</v>
      </c>
      <c r="B1385" s="6" t="s">
        <v>12</v>
      </c>
      <c r="C1385" s="3">
        <v>11.32</v>
      </c>
      <c r="D1385" s="3">
        <v>10.130000000000001</v>
      </c>
      <c r="E1385" s="3">
        <v>40</v>
      </c>
      <c r="F1385" s="11"/>
      <c r="G1385" s="11"/>
      <c r="H1385" s="9">
        <f t="shared" si="63"/>
        <v>0.28300000000000003</v>
      </c>
      <c r="I1385" s="4" t="str">
        <f t="shared" si="64"/>
        <v>Sin riesgo &lt;85%</v>
      </c>
      <c r="J1385" s="1" t="s">
        <v>13</v>
      </c>
      <c r="K1385" s="1" t="str">
        <f t="shared" si="65"/>
        <v>Sin riesgo</v>
      </c>
    </row>
    <row r="1386" spans="1:11">
      <c r="A1386" s="1" t="s">
        <v>475</v>
      </c>
      <c r="B1386" s="6" t="s">
        <v>14</v>
      </c>
      <c r="C1386" s="3">
        <v>11.38</v>
      </c>
      <c r="D1386" s="3">
        <v>10.18</v>
      </c>
      <c r="E1386" s="3">
        <v>40</v>
      </c>
      <c r="F1386" s="11"/>
      <c r="G1386" s="11"/>
      <c r="H1386" s="9">
        <f t="shared" si="63"/>
        <v>0.28450000000000003</v>
      </c>
      <c r="I1386" s="4" t="str">
        <f t="shared" si="64"/>
        <v>Sin riesgo &lt;85%</v>
      </c>
      <c r="J1386" s="1" t="s">
        <v>13</v>
      </c>
      <c r="K1386" s="1" t="str">
        <f t="shared" si="65"/>
        <v>Sin riesgo</v>
      </c>
    </row>
    <row r="1387" spans="1:11">
      <c r="A1387" s="1" t="s">
        <v>475</v>
      </c>
      <c r="B1387" s="6" t="s">
        <v>15</v>
      </c>
      <c r="C1387" s="3">
        <v>11.38</v>
      </c>
      <c r="D1387" s="3">
        <v>10.18</v>
      </c>
      <c r="E1387" s="3">
        <v>40</v>
      </c>
      <c r="F1387" s="11"/>
      <c r="G1387" s="11"/>
      <c r="H1387" s="9">
        <f t="shared" si="63"/>
        <v>0.28450000000000003</v>
      </c>
      <c r="I1387" s="4" t="str">
        <f t="shared" si="64"/>
        <v>Sin riesgo &lt;85%</v>
      </c>
      <c r="J1387" s="1" t="s">
        <v>13</v>
      </c>
      <c r="K1387" s="1" t="str">
        <f t="shared" si="65"/>
        <v>Sin riesgo</v>
      </c>
    </row>
    <row r="1388" spans="1:11">
      <c r="A1388" s="1" t="s">
        <v>476</v>
      </c>
      <c r="B1388" s="6" t="s">
        <v>12</v>
      </c>
      <c r="C1388" s="3">
        <v>6.19</v>
      </c>
      <c r="D1388" s="3">
        <v>5.76</v>
      </c>
      <c r="E1388" s="3">
        <v>31.5</v>
      </c>
      <c r="F1388" s="4">
        <v>4.1990611099999899</v>
      </c>
      <c r="G1388" s="4">
        <v>-74.701611110000002</v>
      </c>
      <c r="H1388" s="9">
        <f t="shared" si="63"/>
        <v>0.19650793650793652</v>
      </c>
      <c r="I1388" s="4" t="str">
        <f t="shared" si="64"/>
        <v>Sin riesgo &lt;85%</v>
      </c>
      <c r="J1388" s="1" t="s">
        <v>13</v>
      </c>
      <c r="K1388" s="1" t="str">
        <f t="shared" si="65"/>
        <v>Sin riesgo</v>
      </c>
    </row>
    <row r="1389" spans="1:11">
      <c r="A1389" s="1" t="s">
        <v>476</v>
      </c>
      <c r="B1389" s="6" t="s">
        <v>14</v>
      </c>
      <c r="C1389" s="3">
        <v>7.89</v>
      </c>
      <c r="D1389" s="3">
        <v>7.54</v>
      </c>
      <c r="E1389" s="3">
        <v>31.5</v>
      </c>
      <c r="F1389" s="4">
        <v>4.1990611099999899</v>
      </c>
      <c r="G1389" s="4">
        <v>-74.701611110000002</v>
      </c>
      <c r="H1389" s="9">
        <f t="shared" si="63"/>
        <v>0.25047619047619046</v>
      </c>
      <c r="I1389" s="4" t="str">
        <f t="shared" si="64"/>
        <v>Sin riesgo &lt;85%</v>
      </c>
      <c r="J1389" s="1" t="s">
        <v>13</v>
      </c>
      <c r="K1389" s="1" t="str">
        <f t="shared" si="65"/>
        <v>Sin riesgo</v>
      </c>
    </row>
    <row r="1390" spans="1:11">
      <c r="A1390" s="1" t="s">
        <v>476</v>
      </c>
      <c r="B1390" s="6" t="s">
        <v>15</v>
      </c>
      <c r="C1390" s="3">
        <v>7.89</v>
      </c>
      <c r="D1390" s="3">
        <v>7.54</v>
      </c>
      <c r="E1390" s="3">
        <v>31.5</v>
      </c>
      <c r="F1390" s="4">
        <v>4.1990611099999899</v>
      </c>
      <c r="G1390" s="4">
        <v>-74.701611110000002</v>
      </c>
      <c r="H1390" s="9">
        <f t="shared" si="63"/>
        <v>0.25047619047619046</v>
      </c>
      <c r="I1390" s="4" t="str">
        <f t="shared" si="64"/>
        <v>Sin riesgo &lt;85%</v>
      </c>
      <c r="J1390" s="1" t="s">
        <v>13</v>
      </c>
      <c r="K1390" s="1" t="str">
        <f t="shared" si="65"/>
        <v>Sin riesgo</v>
      </c>
    </row>
    <row r="1391" spans="1:11">
      <c r="A1391" s="1" t="s">
        <v>477</v>
      </c>
      <c r="B1391" s="6" t="s">
        <v>12</v>
      </c>
      <c r="C1391" s="3">
        <v>9.8699999999999992</v>
      </c>
      <c r="D1391" s="3">
        <v>10.35</v>
      </c>
      <c r="E1391" s="3">
        <v>31.5</v>
      </c>
      <c r="F1391" s="4">
        <v>5.1988777800000001</v>
      </c>
      <c r="G1391" s="4">
        <v>-74.881763890000002</v>
      </c>
      <c r="H1391" s="9">
        <f t="shared" si="63"/>
        <v>0.32857142857142857</v>
      </c>
      <c r="I1391" s="4" t="str">
        <f t="shared" si="64"/>
        <v>Sin riesgo &lt;85%</v>
      </c>
      <c r="J1391" s="1" t="s">
        <v>13</v>
      </c>
      <c r="K1391" s="1" t="str">
        <f t="shared" si="65"/>
        <v>Sin riesgo</v>
      </c>
    </row>
    <row r="1392" spans="1:11">
      <c r="A1392" s="1" t="s">
        <v>477</v>
      </c>
      <c r="B1392" s="6" t="s">
        <v>14</v>
      </c>
      <c r="C1392" s="3">
        <v>9.9700000000000006</v>
      </c>
      <c r="D1392" s="3">
        <v>10.45</v>
      </c>
      <c r="E1392" s="3">
        <v>31.5</v>
      </c>
      <c r="F1392" s="4">
        <v>5.1988777800000001</v>
      </c>
      <c r="G1392" s="4">
        <v>-74.881763890000002</v>
      </c>
      <c r="H1392" s="9">
        <f t="shared" si="63"/>
        <v>0.33174603174603173</v>
      </c>
      <c r="I1392" s="4" t="str">
        <f t="shared" si="64"/>
        <v>Sin riesgo &lt;85%</v>
      </c>
      <c r="J1392" s="1" t="s">
        <v>13</v>
      </c>
      <c r="K1392" s="1" t="str">
        <f t="shared" si="65"/>
        <v>Sin riesgo</v>
      </c>
    </row>
    <row r="1393" spans="1:11">
      <c r="A1393" s="1" t="s">
        <v>477</v>
      </c>
      <c r="B1393" s="6" t="s">
        <v>15</v>
      </c>
      <c r="C1393" s="3">
        <v>10.02</v>
      </c>
      <c r="D1393" s="3">
        <v>10.53</v>
      </c>
      <c r="E1393" s="3">
        <v>31.5</v>
      </c>
      <c r="F1393" s="4">
        <v>5.1988777800000001</v>
      </c>
      <c r="G1393" s="4">
        <v>-74.881763890000002</v>
      </c>
      <c r="H1393" s="9">
        <f t="shared" si="63"/>
        <v>0.33428571428571424</v>
      </c>
      <c r="I1393" s="4" t="str">
        <f t="shared" si="64"/>
        <v>Sin riesgo &lt;85%</v>
      </c>
      <c r="J1393" s="1" t="s">
        <v>13</v>
      </c>
      <c r="K1393" s="1" t="str">
        <f t="shared" si="65"/>
        <v>Sin riesgo</v>
      </c>
    </row>
    <row r="1394" spans="1:11">
      <c r="A1394" s="1" t="s">
        <v>478</v>
      </c>
      <c r="B1394" s="6" t="s">
        <v>12</v>
      </c>
      <c r="C1394" s="3">
        <v>18.989999999999998</v>
      </c>
      <c r="D1394" s="3">
        <v>15.65</v>
      </c>
      <c r="E1394" s="3">
        <v>31.5</v>
      </c>
      <c r="F1394" s="4">
        <v>4.4040249999999803</v>
      </c>
      <c r="G1394" s="4">
        <v>-75.173666670000003</v>
      </c>
      <c r="H1394" s="9">
        <f t="shared" si="63"/>
        <v>0.60285714285714276</v>
      </c>
      <c r="I1394" s="4" t="str">
        <f t="shared" si="64"/>
        <v>Sin riesgo &lt;85%</v>
      </c>
      <c r="J1394" s="1" t="s">
        <v>13</v>
      </c>
      <c r="K1394" s="1" t="str">
        <f t="shared" si="65"/>
        <v>Sin riesgo</v>
      </c>
    </row>
    <row r="1395" spans="1:11">
      <c r="A1395" s="1" t="s">
        <v>478</v>
      </c>
      <c r="B1395" s="6" t="s">
        <v>14</v>
      </c>
      <c r="C1395" s="3">
        <v>19.850000000000001</v>
      </c>
      <c r="D1395" s="3">
        <v>16.32</v>
      </c>
      <c r="E1395" s="3">
        <v>31.5</v>
      </c>
      <c r="F1395" s="4">
        <v>4.4040249999999803</v>
      </c>
      <c r="G1395" s="4">
        <v>-75.173666670000003</v>
      </c>
      <c r="H1395" s="9">
        <f t="shared" si="63"/>
        <v>0.63015873015873025</v>
      </c>
      <c r="I1395" s="4" t="str">
        <f t="shared" si="64"/>
        <v>Sin riesgo &lt;85%</v>
      </c>
      <c r="J1395" s="1" t="s">
        <v>13</v>
      </c>
      <c r="K1395" s="1" t="str">
        <f t="shared" si="65"/>
        <v>Sin riesgo</v>
      </c>
    </row>
    <row r="1396" spans="1:11">
      <c r="A1396" s="1" t="s">
        <v>478</v>
      </c>
      <c r="B1396" s="6" t="s">
        <v>15</v>
      </c>
      <c r="C1396" s="3">
        <v>19.850000000000001</v>
      </c>
      <c r="D1396" s="3">
        <v>16.32</v>
      </c>
      <c r="E1396" s="3">
        <v>31.5</v>
      </c>
      <c r="F1396" s="4">
        <v>4.4040249999999803</v>
      </c>
      <c r="G1396" s="4">
        <v>-75.173666670000003</v>
      </c>
      <c r="H1396" s="9">
        <f t="shared" si="63"/>
        <v>0.63015873015873025</v>
      </c>
      <c r="I1396" s="4" t="str">
        <f t="shared" si="64"/>
        <v>Sin riesgo &lt;85%</v>
      </c>
      <c r="J1396" s="1" t="s">
        <v>13</v>
      </c>
      <c r="K1396" s="1" t="str">
        <f t="shared" si="65"/>
        <v>Sin riesgo</v>
      </c>
    </row>
    <row r="1397" spans="1:11">
      <c r="A1397" s="1" t="s">
        <v>479</v>
      </c>
      <c r="B1397" s="6" t="s">
        <v>12</v>
      </c>
      <c r="C1397" s="3">
        <v>12.46</v>
      </c>
      <c r="D1397" s="3">
        <v>12.37</v>
      </c>
      <c r="E1397" s="3">
        <v>20</v>
      </c>
      <c r="F1397" s="4">
        <v>4.4040249999999803</v>
      </c>
      <c r="G1397" s="4">
        <v>-75.173666670000003</v>
      </c>
      <c r="H1397" s="9">
        <f t="shared" si="63"/>
        <v>0.623</v>
      </c>
      <c r="I1397" s="4" t="str">
        <f t="shared" si="64"/>
        <v>Sin riesgo &lt;85%</v>
      </c>
      <c r="J1397" s="1" t="s">
        <v>13</v>
      </c>
      <c r="K1397" s="1" t="str">
        <f t="shared" si="65"/>
        <v>Sin riesgo</v>
      </c>
    </row>
    <row r="1398" spans="1:11">
      <c r="A1398" s="1" t="s">
        <v>479</v>
      </c>
      <c r="B1398" s="6" t="s">
        <v>14</v>
      </c>
      <c r="C1398" s="3">
        <v>12.66</v>
      </c>
      <c r="D1398" s="3">
        <v>12.56</v>
      </c>
      <c r="E1398" s="3">
        <v>20</v>
      </c>
      <c r="F1398" s="4">
        <v>4.4040249999999803</v>
      </c>
      <c r="G1398" s="4">
        <v>-75.173666670000003</v>
      </c>
      <c r="H1398" s="9">
        <f t="shared" si="63"/>
        <v>0.63300000000000001</v>
      </c>
      <c r="I1398" s="4" t="str">
        <f t="shared" si="64"/>
        <v>Sin riesgo &lt;85%</v>
      </c>
      <c r="J1398" s="1" t="s">
        <v>13</v>
      </c>
      <c r="K1398" s="1" t="str">
        <f t="shared" si="65"/>
        <v>Sin riesgo</v>
      </c>
    </row>
    <row r="1399" spans="1:11">
      <c r="A1399" s="1" t="s">
        <v>479</v>
      </c>
      <c r="B1399" s="6" t="s">
        <v>15</v>
      </c>
      <c r="C1399" s="3">
        <v>12.66</v>
      </c>
      <c r="D1399" s="3">
        <v>12.56</v>
      </c>
      <c r="E1399" s="3">
        <v>20</v>
      </c>
      <c r="F1399" s="4">
        <v>4.4040249999999803</v>
      </c>
      <c r="G1399" s="4">
        <v>-75.173666670000003</v>
      </c>
      <c r="H1399" s="9">
        <f t="shared" si="63"/>
        <v>0.63300000000000001</v>
      </c>
      <c r="I1399" s="4" t="str">
        <f t="shared" si="64"/>
        <v>Sin riesgo &lt;85%</v>
      </c>
      <c r="J1399" s="1" t="s">
        <v>13</v>
      </c>
      <c r="K1399" s="1" t="str">
        <f t="shared" si="65"/>
        <v>Sin riesgo</v>
      </c>
    </row>
    <row r="1400" spans="1:11">
      <c r="A1400" s="1" t="s">
        <v>480</v>
      </c>
      <c r="B1400" s="6" t="s">
        <v>12</v>
      </c>
      <c r="C1400" s="3">
        <v>9.1999999999999993</v>
      </c>
      <c r="D1400" s="3">
        <v>7.3</v>
      </c>
      <c r="E1400" s="3">
        <v>40</v>
      </c>
      <c r="F1400" s="4">
        <v>3.6072499999999899</v>
      </c>
      <c r="G1400" s="4">
        <v>-75.091036110000005</v>
      </c>
      <c r="H1400" s="9">
        <f t="shared" si="63"/>
        <v>0.22999999999999998</v>
      </c>
      <c r="I1400" s="4" t="str">
        <f t="shared" si="64"/>
        <v>Sin riesgo &lt;85%</v>
      </c>
      <c r="J1400" s="1" t="s">
        <v>13</v>
      </c>
      <c r="K1400" s="1" t="str">
        <f t="shared" si="65"/>
        <v>Sin riesgo</v>
      </c>
    </row>
    <row r="1401" spans="1:11">
      <c r="A1401" s="1" t="s">
        <v>480</v>
      </c>
      <c r="B1401" s="6" t="s">
        <v>14</v>
      </c>
      <c r="C1401" s="3">
        <v>9.24</v>
      </c>
      <c r="D1401" s="3">
        <v>7.33</v>
      </c>
      <c r="E1401" s="3">
        <v>40</v>
      </c>
      <c r="F1401" s="4">
        <v>3.6072499999999899</v>
      </c>
      <c r="G1401" s="4">
        <v>-75.091036110000005</v>
      </c>
      <c r="H1401" s="9">
        <f t="shared" si="63"/>
        <v>0.23100000000000001</v>
      </c>
      <c r="I1401" s="4" t="str">
        <f t="shared" si="64"/>
        <v>Sin riesgo &lt;85%</v>
      </c>
      <c r="J1401" s="1" t="s">
        <v>13</v>
      </c>
      <c r="K1401" s="1" t="str">
        <f t="shared" si="65"/>
        <v>Sin riesgo</v>
      </c>
    </row>
    <row r="1402" spans="1:11">
      <c r="A1402" s="1" t="s">
        <v>480</v>
      </c>
      <c r="B1402" s="6" t="s">
        <v>15</v>
      </c>
      <c r="C1402" s="3">
        <v>9.24</v>
      </c>
      <c r="D1402" s="3">
        <v>7.33</v>
      </c>
      <c r="E1402" s="3">
        <v>40</v>
      </c>
      <c r="F1402" s="4">
        <v>3.6072499999999899</v>
      </c>
      <c r="G1402" s="4">
        <v>-75.091036110000005</v>
      </c>
      <c r="H1402" s="9">
        <f t="shared" si="63"/>
        <v>0.23100000000000001</v>
      </c>
      <c r="I1402" s="4" t="str">
        <f t="shared" si="64"/>
        <v>Sin riesgo &lt;85%</v>
      </c>
      <c r="J1402" s="1" t="s">
        <v>13</v>
      </c>
      <c r="K1402" s="1" t="str">
        <f t="shared" si="65"/>
        <v>Sin riesgo</v>
      </c>
    </row>
    <row r="1403" spans="1:11">
      <c r="A1403" s="1" t="s">
        <v>481</v>
      </c>
      <c r="B1403" s="6" t="s">
        <v>12</v>
      </c>
      <c r="C1403" s="3">
        <v>5.97</v>
      </c>
      <c r="D1403" s="3">
        <v>8.33</v>
      </c>
      <c r="E1403" s="3">
        <v>40</v>
      </c>
      <c r="F1403" s="11"/>
      <c r="G1403" s="11"/>
      <c r="H1403" s="9">
        <f t="shared" si="63"/>
        <v>0.20824999999999999</v>
      </c>
      <c r="I1403" s="4" t="str">
        <f t="shared" si="64"/>
        <v>Sin riesgo &lt;85%</v>
      </c>
      <c r="J1403" s="1" t="s">
        <v>13</v>
      </c>
      <c r="K1403" s="1" t="str">
        <f t="shared" si="65"/>
        <v>Sin riesgo</v>
      </c>
    </row>
    <row r="1404" spans="1:11">
      <c r="A1404" s="1" t="s">
        <v>481</v>
      </c>
      <c r="B1404" s="6" t="s">
        <v>14</v>
      </c>
      <c r="C1404" s="3">
        <v>6.06</v>
      </c>
      <c r="D1404" s="3">
        <v>8.4700000000000006</v>
      </c>
      <c r="E1404" s="3">
        <v>40</v>
      </c>
      <c r="F1404" s="11"/>
      <c r="G1404" s="11"/>
      <c r="H1404" s="9">
        <f t="shared" si="63"/>
        <v>0.21175000000000002</v>
      </c>
      <c r="I1404" s="4" t="str">
        <f t="shared" si="64"/>
        <v>Sin riesgo &lt;85%</v>
      </c>
      <c r="J1404" s="1" t="s">
        <v>13</v>
      </c>
      <c r="K1404" s="1" t="str">
        <f t="shared" si="65"/>
        <v>Sin riesgo</v>
      </c>
    </row>
    <row r="1405" spans="1:11">
      <c r="A1405" s="1" t="s">
        <v>481</v>
      </c>
      <c r="B1405" s="6" t="s">
        <v>15</v>
      </c>
      <c r="C1405" s="3">
        <v>6.06</v>
      </c>
      <c r="D1405" s="3">
        <v>8.4700000000000006</v>
      </c>
      <c r="E1405" s="3">
        <v>40</v>
      </c>
      <c r="F1405" s="11"/>
      <c r="G1405" s="11"/>
      <c r="H1405" s="9">
        <f t="shared" si="63"/>
        <v>0.21175000000000002</v>
      </c>
      <c r="I1405" s="4" t="str">
        <f t="shared" si="64"/>
        <v>Sin riesgo &lt;85%</v>
      </c>
      <c r="J1405" s="1" t="s">
        <v>13</v>
      </c>
      <c r="K1405" s="1" t="str">
        <f t="shared" si="65"/>
        <v>Sin riesgo</v>
      </c>
    </row>
    <row r="1406" spans="1:11">
      <c r="A1406" s="1" t="s">
        <v>482</v>
      </c>
      <c r="B1406" s="6" t="s">
        <v>12</v>
      </c>
      <c r="C1406" s="3">
        <v>7.83</v>
      </c>
      <c r="D1406" s="3">
        <v>7.13</v>
      </c>
      <c r="E1406" s="3">
        <v>40</v>
      </c>
      <c r="F1406" s="11"/>
      <c r="G1406" s="11"/>
      <c r="H1406" s="9">
        <f t="shared" si="63"/>
        <v>0.19575000000000001</v>
      </c>
      <c r="I1406" s="4" t="str">
        <f t="shared" si="64"/>
        <v>Sin riesgo &lt;85%</v>
      </c>
      <c r="J1406" s="1" t="s">
        <v>13</v>
      </c>
      <c r="K1406" s="1" t="str">
        <f t="shared" si="65"/>
        <v>Sin riesgo</v>
      </c>
    </row>
    <row r="1407" spans="1:11">
      <c r="A1407" s="1" t="s">
        <v>482</v>
      </c>
      <c r="B1407" s="6" t="s">
        <v>14</v>
      </c>
      <c r="C1407" s="3">
        <v>7.98</v>
      </c>
      <c r="D1407" s="3">
        <v>7.3</v>
      </c>
      <c r="E1407" s="3">
        <v>40</v>
      </c>
      <c r="F1407" s="11"/>
      <c r="G1407" s="11"/>
      <c r="H1407" s="9">
        <f t="shared" si="63"/>
        <v>0.19950000000000001</v>
      </c>
      <c r="I1407" s="4" t="str">
        <f t="shared" si="64"/>
        <v>Sin riesgo &lt;85%</v>
      </c>
      <c r="J1407" s="1" t="s">
        <v>13</v>
      </c>
      <c r="K1407" s="1" t="str">
        <f t="shared" si="65"/>
        <v>Sin riesgo</v>
      </c>
    </row>
    <row r="1408" spans="1:11">
      <c r="A1408" s="1" t="s">
        <v>482</v>
      </c>
      <c r="B1408" s="6" t="s">
        <v>15</v>
      </c>
      <c r="C1408" s="3">
        <v>7.98</v>
      </c>
      <c r="D1408" s="3">
        <v>7.3</v>
      </c>
      <c r="E1408" s="3">
        <v>40</v>
      </c>
      <c r="F1408" s="11"/>
      <c r="G1408" s="11"/>
      <c r="H1408" s="9">
        <f t="shared" si="63"/>
        <v>0.19950000000000001</v>
      </c>
      <c r="I1408" s="4" t="str">
        <f t="shared" si="64"/>
        <v>Sin riesgo &lt;85%</v>
      </c>
      <c r="J1408" s="1" t="s">
        <v>13</v>
      </c>
      <c r="K1408" s="1" t="str">
        <f t="shared" si="65"/>
        <v>Sin riesgo</v>
      </c>
    </row>
    <row r="1409" spans="1:11">
      <c r="A1409" s="1" t="s">
        <v>483</v>
      </c>
      <c r="B1409" s="6" t="s">
        <v>12</v>
      </c>
      <c r="C1409" s="3">
        <v>9.82</v>
      </c>
      <c r="D1409" s="3">
        <v>10.43</v>
      </c>
      <c r="E1409" s="3">
        <v>25</v>
      </c>
      <c r="F1409" s="4">
        <v>6.149527</v>
      </c>
      <c r="G1409" s="4">
        <v>-75.381409000000005</v>
      </c>
      <c r="H1409" s="9">
        <f t="shared" si="63"/>
        <v>0.41720000000000002</v>
      </c>
      <c r="I1409" s="4" t="str">
        <f t="shared" si="64"/>
        <v>Sin riesgo &lt;85%</v>
      </c>
      <c r="J1409" s="1" t="s">
        <v>13</v>
      </c>
      <c r="K1409" s="1" t="str">
        <f t="shared" si="65"/>
        <v>Sin riesgo</v>
      </c>
    </row>
    <row r="1410" spans="1:11">
      <c r="A1410" s="1" t="s">
        <v>483</v>
      </c>
      <c r="B1410" s="6" t="s">
        <v>14</v>
      </c>
      <c r="C1410" s="3">
        <v>9.85</v>
      </c>
      <c r="D1410" s="3">
        <v>10.46</v>
      </c>
      <c r="E1410" s="3">
        <v>25</v>
      </c>
      <c r="F1410" s="4">
        <v>6.149527</v>
      </c>
      <c r="G1410" s="4">
        <v>-75.381409000000005</v>
      </c>
      <c r="H1410" s="9">
        <f t="shared" si="63"/>
        <v>0.41840000000000005</v>
      </c>
      <c r="I1410" s="4" t="str">
        <f t="shared" si="64"/>
        <v>Sin riesgo &lt;85%</v>
      </c>
      <c r="J1410" s="1" t="s">
        <v>13</v>
      </c>
      <c r="K1410" s="1" t="str">
        <f t="shared" si="65"/>
        <v>Sin riesgo</v>
      </c>
    </row>
    <row r="1411" spans="1:11">
      <c r="A1411" s="1" t="s">
        <v>483</v>
      </c>
      <c r="B1411" s="6" t="s">
        <v>15</v>
      </c>
      <c r="C1411" s="3">
        <v>9.85</v>
      </c>
      <c r="D1411" s="3">
        <v>10.46</v>
      </c>
      <c r="E1411" s="3">
        <v>25</v>
      </c>
      <c r="F1411" s="4">
        <v>6.149527</v>
      </c>
      <c r="G1411" s="4">
        <v>-75.381409000000005</v>
      </c>
      <c r="H1411" s="9">
        <f t="shared" ref="H1411:H1474" si="66">IF(C1411&gt;D1411,C1411/E1411,D1411/E1411)</f>
        <v>0.41840000000000005</v>
      </c>
      <c r="I1411" s="4" t="str">
        <f t="shared" ref="I1411:I1474" si="67">IF(H1411&gt;100%,"Altamente critico &gt;100%",IF(H1411&gt;95%,"Critico &gt;95%",IF(H1411&gt;85%,"En riesgo &gt;85%","Sin riesgo &lt;85%")))</f>
        <v>Sin riesgo &lt;85%</v>
      </c>
      <c r="J1411" s="1" t="s">
        <v>13</v>
      </c>
      <c r="K1411" s="1" t="str">
        <f t="shared" ref="K1411:K1474" si="68">IF(J1411="&gt;5","Sin riesgo",IF(J1411&gt;1.5,"Estado de alerta","Estado critico"))</f>
        <v>Sin riesgo</v>
      </c>
    </row>
    <row r="1412" spans="1:11">
      <c r="A1412" s="1" t="s">
        <v>484</v>
      </c>
      <c r="B1412" s="6" t="s">
        <v>12</v>
      </c>
      <c r="C1412" s="3">
        <v>14.74</v>
      </c>
      <c r="D1412" s="3">
        <v>13.42</v>
      </c>
      <c r="E1412" s="3">
        <v>31.5</v>
      </c>
      <c r="F1412" s="4">
        <v>4.4290111099999896</v>
      </c>
      <c r="G1412" s="4">
        <v>-75.205363890000001</v>
      </c>
      <c r="H1412" s="9">
        <f t="shared" si="66"/>
        <v>0.46793650793650793</v>
      </c>
      <c r="I1412" s="4" t="str">
        <f t="shared" si="67"/>
        <v>Sin riesgo &lt;85%</v>
      </c>
      <c r="J1412" s="1" t="s">
        <v>13</v>
      </c>
      <c r="K1412" s="1" t="str">
        <f t="shared" si="68"/>
        <v>Sin riesgo</v>
      </c>
    </row>
    <row r="1413" spans="1:11">
      <c r="A1413" s="1" t="s">
        <v>484</v>
      </c>
      <c r="B1413" s="6" t="s">
        <v>14</v>
      </c>
      <c r="C1413" s="3">
        <v>15.26</v>
      </c>
      <c r="D1413" s="3">
        <v>13.91</v>
      </c>
      <c r="E1413" s="3">
        <v>31.5</v>
      </c>
      <c r="F1413" s="4">
        <v>4.4290111099999896</v>
      </c>
      <c r="G1413" s="4">
        <v>-75.205363890000001</v>
      </c>
      <c r="H1413" s="9">
        <f t="shared" si="66"/>
        <v>0.48444444444444446</v>
      </c>
      <c r="I1413" s="4" t="str">
        <f t="shared" si="67"/>
        <v>Sin riesgo &lt;85%</v>
      </c>
      <c r="J1413" s="1" t="s">
        <v>13</v>
      </c>
      <c r="K1413" s="1" t="str">
        <f t="shared" si="68"/>
        <v>Sin riesgo</v>
      </c>
    </row>
    <row r="1414" spans="1:11">
      <c r="A1414" s="1" t="s">
        <v>484</v>
      </c>
      <c r="B1414" s="6" t="s">
        <v>15</v>
      </c>
      <c r="C1414" s="3">
        <v>15.26</v>
      </c>
      <c r="D1414" s="3">
        <v>13.91</v>
      </c>
      <c r="E1414" s="3">
        <v>31.5</v>
      </c>
      <c r="F1414" s="4">
        <v>4.4290111099999896</v>
      </c>
      <c r="G1414" s="4">
        <v>-75.205363890000001</v>
      </c>
      <c r="H1414" s="9">
        <f t="shared" si="66"/>
        <v>0.48444444444444446</v>
      </c>
      <c r="I1414" s="4" t="str">
        <f t="shared" si="67"/>
        <v>Sin riesgo &lt;85%</v>
      </c>
      <c r="J1414" s="1" t="s">
        <v>13</v>
      </c>
      <c r="K1414" s="1" t="str">
        <f t="shared" si="68"/>
        <v>Sin riesgo</v>
      </c>
    </row>
    <row r="1415" spans="1:11">
      <c r="A1415" s="1" t="s">
        <v>485</v>
      </c>
      <c r="B1415" s="6" t="s">
        <v>12</v>
      </c>
      <c r="C1415" s="3">
        <v>12.04</v>
      </c>
      <c r="D1415" s="3">
        <v>11.28</v>
      </c>
      <c r="E1415" s="3">
        <v>40</v>
      </c>
      <c r="F1415" s="11"/>
      <c r="G1415" s="11"/>
      <c r="H1415" s="9">
        <f t="shared" si="66"/>
        <v>0.30099999999999999</v>
      </c>
      <c r="I1415" s="4" t="str">
        <f t="shared" si="67"/>
        <v>Sin riesgo &lt;85%</v>
      </c>
      <c r="J1415" s="1">
        <v>1.4</v>
      </c>
      <c r="K1415" s="1" t="str">
        <f t="shared" si="68"/>
        <v>Estado critico</v>
      </c>
    </row>
    <row r="1416" spans="1:11">
      <c r="A1416" s="1" t="s">
        <v>485</v>
      </c>
      <c r="B1416" s="6" t="s">
        <v>14</v>
      </c>
      <c r="C1416" s="3">
        <v>12.45</v>
      </c>
      <c r="D1416" s="3">
        <v>11.68</v>
      </c>
      <c r="E1416" s="3">
        <v>40</v>
      </c>
      <c r="F1416" s="11"/>
      <c r="G1416" s="11"/>
      <c r="H1416" s="9">
        <f t="shared" si="66"/>
        <v>0.31124999999999997</v>
      </c>
      <c r="I1416" s="4" t="str">
        <f t="shared" si="67"/>
        <v>Sin riesgo &lt;85%</v>
      </c>
      <c r="J1416" s="1">
        <v>1.4</v>
      </c>
      <c r="K1416" s="1" t="str">
        <f t="shared" si="68"/>
        <v>Estado critico</v>
      </c>
    </row>
    <row r="1417" spans="1:11">
      <c r="A1417" s="1" t="s">
        <v>485</v>
      </c>
      <c r="B1417" s="6" t="s">
        <v>15</v>
      </c>
      <c r="C1417" s="3">
        <v>12.45</v>
      </c>
      <c r="D1417" s="3">
        <v>11.68</v>
      </c>
      <c r="E1417" s="3">
        <v>40</v>
      </c>
      <c r="F1417" s="11"/>
      <c r="G1417" s="11"/>
      <c r="H1417" s="9">
        <f t="shared" si="66"/>
        <v>0.31124999999999997</v>
      </c>
      <c r="I1417" s="4" t="str">
        <f t="shared" si="67"/>
        <v>Sin riesgo &lt;85%</v>
      </c>
      <c r="J1417" s="1">
        <v>1.4</v>
      </c>
      <c r="K1417" s="1" t="str">
        <f t="shared" si="68"/>
        <v>Estado critico</v>
      </c>
    </row>
    <row r="1418" spans="1:11">
      <c r="A1418" s="1" t="s">
        <v>486</v>
      </c>
      <c r="B1418" s="6" t="s">
        <v>12</v>
      </c>
      <c r="C1418" s="3">
        <v>9.89</v>
      </c>
      <c r="D1418" s="3">
        <v>8.68</v>
      </c>
      <c r="E1418" s="3">
        <v>31.5</v>
      </c>
      <c r="F1418" s="11"/>
      <c r="G1418" s="11"/>
      <c r="H1418" s="9">
        <f t="shared" si="66"/>
        <v>0.31396825396825401</v>
      </c>
      <c r="I1418" s="4" t="str">
        <f t="shared" si="67"/>
        <v>Sin riesgo &lt;85%</v>
      </c>
      <c r="J1418" s="1" t="s">
        <v>13</v>
      </c>
      <c r="K1418" s="1" t="str">
        <f t="shared" si="68"/>
        <v>Sin riesgo</v>
      </c>
    </row>
    <row r="1419" spans="1:11">
      <c r="A1419" s="1" t="s">
        <v>486</v>
      </c>
      <c r="B1419" s="6" t="s">
        <v>14</v>
      </c>
      <c r="C1419" s="3">
        <v>9.98</v>
      </c>
      <c r="D1419" s="3">
        <v>8.77</v>
      </c>
      <c r="E1419" s="3">
        <v>31.5</v>
      </c>
      <c r="F1419" s="11"/>
      <c r="G1419" s="11"/>
      <c r="H1419" s="9">
        <f t="shared" si="66"/>
        <v>0.31682539682539684</v>
      </c>
      <c r="I1419" s="4" t="str">
        <f t="shared" si="67"/>
        <v>Sin riesgo &lt;85%</v>
      </c>
      <c r="J1419" s="1" t="s">
        <v>13</v>
      </c>
      <c r="K1419" s="1" t="str">
        <f t="shared" si="68"/>
        <v>Sin riesgo</v>
      </c>
    </row>
    <row r="1420" spans="1:11">
      <c r="A1420" s="1" t="s">
        <v>486</v>
      </c>
      <c r="B1420" s="6" t="s">
        <v>15</v>
      </c>
      <c r="C1420" s="3">
        <v>9.98</v>
      </c>
      <c r="D1420" s="3">
        <v>8.77</v>
      </c>
      <c r="E1420" s="3">
        <v>31.5</v>
      </c>
      <c r="F1420" s="11"/>
      <c r="G1420" s="11"/>
      <c r="H1420" s="9">
        <f t="shared" si="66"/>
        <v>0.31682539682539684</v>
      </c>
      <c r="I1420" s="4" t="str">
        <f t="shared" si="67"/>
        <v>Sin riesgo &lt;85%</v>
      </c>
      <c r="J1420" s="1" t="s">
        <v>13</v>
      </c>
      <c r="K1420" s="1" t="str">
        <f t="shared" si="68"/>
        <v>Sin riesgo</v>
      </c>
    </row>
    <row r="1421" spans="1:11">
      <c r="A1421" s="1" t="s">
        <v>487</v>
      </c>
      <c r="B1421" s="6" t="s">
        <v>12</v>
      </c>
      <c r="C1421" s="3">
        <v>12.33</v>
      </c>
      <c r="D1421" s="3">
        <v>12.63</v>
      </c>
      <c r="E1421" s="3">
        <v>20</v>
      </c>
      <c r="F1421" s="4">
        <v>2.7189000000000001</v>
      </c>
      <c r="G1421" s="4">
        <v>-75.4191</v>
      </c>
      <c r="H1421" s="9">
        <f t="shared" si="66"/>
        <v>0.63150000000000006</v>
      </c>
      <c r="I1421" s="4" t="str">
        <f t="shared" si="67"/>
        <v>Sin riesgo &lt;85%</v>
      </c>
      <c r="J1421" s="1" t="s">
        <v>13</v>
      </c>
      <c r="K1421" s="1" t="str">
        <f t="shared" si="68"/>
        <v>Sin riesgo</v>
      </c>
    </row>
    <row r="1422" spans="1:11">
      <c r="A1422" s="1" t="s">
        <v>487</v>
      </c>
      <c r="B1422" s="6" t="s">
        <v>14</v>
      </c>
      <c r="C1422" s="3">
        <v>12.36</v>
      </c>
      <c r="D1422" s="3">
        <v>12.66</v>
      </c>
      <c r="E1422" s="3">
        <v>20</v>
      </c>
      <c r="F1422" s="4">
        <v>2.7189000000000001</v>
      </c>
      <c r="G1422" s="4">
        <v>-75.4191</v>
      </c>
      <c r="H1422" s="9">
        <f t="shared" si="66"/>
        <v>0.63300000000000001</v>
      </c>
      <c r="I1422" s="4" t="str">
        <f t="shared" si="67"/>
        <v>Sin riesgo &lt;85%</v>
      </c>
      <c r="J1422" s="1" t="s">
        <v>13</v>
      </c>
      <c r="K1422" s="1" t="str">
        <f t="shared" si="68"/>
        <v>Sin riesgo</v>
      </c>
    </row>
    <row r="1423" spans="1:11">
      <c r="A1423" s="1" t="s">
        <v>487</v>
      </c>
      <c r="B1423" s="6" t="s">
        <v>15</v>
      </c>
      <c r="C1423" s="3">
        <v>12.36</v>
      </c>
      <c r="D1423" s="3">
        <v>12.66</v>
      </c>
      <c r="E1423" s="3">
        <v>20</v>
      </c>
      <c r="F1423" s="4">
        <v>2.7189000000000001</v>
      </c>
      <c r="G1423" s="4">
        <v>-75.4191</v>
      </c>
      <c r="H1423" s="9">
        <f t="shared" si="66"/>
        <v>0.63300000000000001</v>
      </c>
      <c r="I1423" s="4" t="str">
        <f t="shared" si="67"/>
        <v>Sin riesgo &lt;85%</v>
      </c>
      <c r="J1423" s="1" t="s">
        <v>13</v>
      </c>
      <c r="K1423" s="1" t="str">
        <f t="shared" si="68"/>
        <v>Sin riesgo</v>
      </c>
    </row>
    <row r="1424" spans="1:11">
      <c r="A1424" s="1" t="s">
        <v>488</v>
      </c>
      <c r="B1424" s="6" t="s">
        <v>12</v>
      </c>
      <c r="C1424" s="3">
        <v>11.63</v>
      </c>
      <c r="D1424" s="3">
        <v>11.35</v>
      </c>
      <c r="E1424" s="3">
        <v>25</v>
      </c>
      <c r="F1424" s="4">
        <v>2.9001999999999999</v>
      </c>
      <c r="G1424" s="4">
        <v>-75.281700000000001</v>
      </c>
      <c r="H1424" s="9">
        <f t="shared" si="66"/>
        <v>0.46520000000000006</v>
      </c>
      <c r="I1424" s="4" t="str">
        <f t="shared" si="67"/>
        <v>Sin riesgo &lt;85%</v>
      </c>
      <c r="J1424" s="1" t="s">
        <v>13</v>
      </c>
      <c r="K1424" s="1" t="str">
        <f t="shared" si="68"/>
        <v>Sin riesgo</v>
      </c>
    </row>
    <row r="1425" spans="1:11">
      <c r="A1425" s="1" t="s">
        <v>488</v>
      </c>
      <c r="B1425" s="6" t="s">
        <v>14</v>
      </c>
      <c r="C1425" s="3">
        <v>11.67</v>
      </c>
      <c r="D1425" s="3">
        <v>11.39</v>
      </c>
      <c r="E1425" s="3">
        <v>25</v>
      </c>
      <c r="F1425" s="4">
        <v>2.9001999999999999</v>
      </c>
      <c r="G1425" s="4">
        <v>-75.281700000000001</v>
      </c>
      <c r="H1425" s="9">
        <f t="shared" si="66"/>
        <v>0.46679999999999999</v>
      </c>
      <c r="I1425" s="4" t="str">
        <f t="shared" si="67"/>
        <v>Sin riesgo &lt;85%</v>
      </c>
      <c r="J1425" s="1" t="s">
        <v>13</v>
      </c>
      <c r="K1425" s="1" t="str">
        <f t="shared" si="68"/>
        <v>Sin riesgo</v>
      </c>
    </row>
    <row r="1426" spans="1:11">
      <c r="A1426" s="1" t="s">
        <v>488</v>
      </c>
      <c r="B1426" s="6" t="s">
        <v>15</v>
      </c>
      <c r="C1426" s="3">
        <v>11.67</v>
      </c>
      <c r="D1426" s="3">
        <v>11.39</v>
      </c>
      <c r="E1426" s="3">
        <v>25</v>
      </c>
      <c r="F1426" s="4">
        <v>2.9001999999999999</v>
      </c>
      <c r="G1426" s="4">
        <v>-75.281700000000001</v>
      </c>
      <c r="H1426" s="9">
        <f t="shared" si="66"/>
        <v>0.46679999999999999</v>
      </c>
      <c r="I1426" s="4" t="str">
        <f t="shared" si="67"/>
        <v>Sin riesgo &lt;85%</v>
      </c>
      <c r="J1426" s="1" t="s">
        <v>13</v>
      </c>
      <c r="K1426" s="1" t="str">
        <f t="shared" si="68"/>
        <v>Sin riesgo</v>
      </c>
    </row>
    <row r="1427" spans="1:11">
      <c r="A1427" s="1" t="s">
        <v>489</v>
      </c>
      <c r="B1427" s="6" t="s">
        <v>12</v>
      </c>
      <c r="C1427" s="3">
        <v>5.87</v>
      </c>
      <c r="D1427" s="3">
        <v>7.8</v>
      </c>
      <c r="E1427" s="3">
        <v>40</v>
      </c>
      <c r="F1427" s="11"/>
      <c r="G1427" s="11"/>
      <c r="H1427" s="9">
        <f t="shared" si="66"/>
        <v>0.19500000000000001</v>
      </c>
      <c r="I1427" s="4" t="str">
        <f t="shared" si="67"/>
        <v>Sin riesgo &lt;85%</v>
      </c>
      <c r="J1427" s="1" t="s">
        <v>13</v>
      </c>
      <c r="K1427" s="1" t="str">
        <f t="shared" si="68"/>
        <v>Sin riesgo</v>
      </c>
    </row>
    <row r="1428" spans="1:11">
      <c r="A1428" s="1" t="s">
        <v>489</v>
      </c>
      <c r="B1428" s="6" t="s">
        <v>14</v>
      </c>
      <c r="C1428" s="3">
        <v>5.89</v>
      </c>
      <c r="D1428" s="3">
        <v>7.82</v>
      </c>
      <c r="E1428" s="3">
        <v>40</v>
      </c>
      <c r="F1428" s="11"/>
      <c r="G1428" s="11"/>
      <c r="H1428" s="9">
        <f t="shared" si="66"/>
        <v>0.19550000000000001</v>
      </c>
      <c r="I1428" s="4" t="str">
        <f t="shared" si="67"/>
        <v>Sin riesgo &lt;85%</v>
      </c>
      <c r="J1428" s="1" t="s">
        <v>13</v>
      </c>
      <c r="K1428" s="1" t="str">
        <f t="shared" si="68"/>
        <v>Sin riesgo</v>
      </c>
    </row>
    <row r="1429" spans="1:11">
      <c r="A1429" s="1" t="s">
        <v>489</v>
      </c>
      <c r="B1429" s="6" t="s">
        <v>15</v>
      </c>
      <c r="C1429" s="3">
        <v>5.89</v>
      </c>
      <c r="D1429" s="3">
        <v>7.82</v>
      </c>
      <c r="E1429" s="3">
        <v>40</v>
      </c>
      <c r="F1429" s="11"/>
      <c r="G1429" s="11"/>
      <c r="H1429" s="9">
        <f t="shared" si="66"/>
        <v>0.19550000000000001</v>
      </c>
      <c r="I1429" s="4" t="str">
        <f t="shared" si="67"/>
        <v>Sin riesgo &lt;85%</v>
      </c>
      <c r="J1429" s="1" t="s">
        <v>13</v>
      </c>
      <c r="K1429" s="1" t="str">
        <f t="shared" si="68"/>
        <v>Sin riesgo</v>
      </c>
    </row>
    <row r="1430" spans="1:11">
      <c r="A1430" s="1" t="s">
        <v>490</v>
      </c>
      <c r="B1430" s="6" t="s">
        <v>12</v>
      </c>
      <c r="C1430" s="3">
        <v>10.92</v>
      </c>
      <c r="D1430" s="3">
        <v>9.5500000000000007</v>
      </c>
      <c r="E1430" s="3">
        <v>31.5</v>
      </c>
      <c r="F1430" s="4">
        <v>3.7193527799999901</v>
      </c>
      <c r="G1430" s="4">
        <v>-75.474544440000003</v>
      </c>
      <c r="H1430" s="9">
        <f t="shared" si="66"/>
        <v>0.34666666666666668</v>
      </c>
      <c r="I1430" s="4" t="str">
        <f t="shared" si="67"/>
        <v>Sin riesgo &lt;85%</v>
      </c>
      <c r="J1430" s="1" t="s">
        <v>13</v>
      </c>
      <c r="K1430" s="1" t="str">
        <f t="shared" si="68"/>
        <v>Sin riesgo</v>
      </c>
    </row>
    <row r="1431" spans="1:11">
      <c r="A1431" s="1" t="s">
        <v>490</v>
      </c>
      <c r="B1431" s="6" t="s">
        <v>14</v>
      </c>
      <c r="C1431" s="3">
        <v>10.97</v>
      </c>
      <c r="D1431" s="3">
        <v>9.59</v>
      </c>
      <c r="E1431" s="3">
        <v>31.5</v>
      </c>
      <c r="F1431" s="4">
        <v>3.7193527799999901</v>
      </c>
      <c r="G1431" s="4">
        <v>-75.474544440000003</v>
      </c>
      <c r="H1431" s="9">
        <f t="shared" si="66"/>
        <v>0.34825396825396826</v>
      </c>
      <c r="I1431" s="4" t="str">
        <f t="shared" si="67"/>
        <v>Sin riesgo &lt;85%</v>
      </c>
      <c r="J1431" s="1" t="s">
        <v>13</v>
      </c>
      <c r="K1431" s="1" t="str">
        <f t="shared" si="68"/>
        <v>Sin riesgo</v>
      </c>
    </row>
    <row r="1432" spans="1:11">
      <c r="A1432" s="1" t="s">
        <v>490</v>
      </c>
      <c r="B1432" s="6" t="s">
        <v>15</v>
      </c>
      <c r="C1432" s="3">
        <v>10.97</v>
      </c>
      <c r="D1432" s="3">
        <v>9.59</v>
      </c>
      <c r="E1432" s="3">
        <v>31.5</v>
      </c>
      <c r="F1432" s="4">
        <v>3.7193527799999901</v>
      </c>
      <c r="G1432" s="4">
        <v>-75.474544440000003</v>
      </c>
      <c r="H1432" s="9">
        <f t="shared" si="66"/>
        <v>0.34825396825396826</v>
      </c>
      <c r="I1432" s="4" t="str">
        <f t="shared" si="67"/>
        <v>Sin riesgo &lt;85%</v>
      </c>
      <c r="J1432" s="1" t="s">
        <v>13</v>
      </c>
      <c r="K1432" s="1" t="str">
        <f t="shared" si="68"/>
        <v>Sin riesgo</v>
      </c>
    </row>
    <row r="1433" spans="1:11">
      <c r="A1433" s="1" t="s">
        <v>491</v>
      </c>
      <c r="B1433" s="6" t="s">
        <v>12</v>
      </c>
      <c r="C1433" s="3">
        <v>6.96</v>
      </c>
      <c r="D1433" s="3">
        <v>6.41</v>
      </c>
      <c r="E1433" s="3">
        <v>40</v>
      </c>
      <c r="F1433" s="4">
        <v>3.7193527799999901</v>
      </c>
      <c r="G1433" s="4">
        <v>-75.474544440000003</v>
      </c>
      <c r="H1433" s="9">
        <f t="shared" si="66"/>
        <v>0.17399999999999999</v>
      </c>
      <c r="I1433" s="4" t="str">
        <f t="shared" si="67"/>
        <v>Sin riesgo &lt;85%</v>
      </c>
      <c r="J1433" s="1" t="s">
        <v>13</v>
      </c>
      <c r="K1433" s="1" t="str">
        <f t="shared" si="68"/>
        <v>Sin riesgo</v>
      </c>
    </row>
    <row r="1434" spans="1:11">
      <c r="A1434" s="1" t="s">
        <v>491</v>
      </c>
      <c r="B1434" s="6" t="s">
        <v>14</v>
      </c>
      <c r="C1434" s="3">
        <v>7</v>
      </c>
      <c r="D1434" s="3">
        <v>6.46</v>
      </c>
      <c r="E1434" s="3">
        <v>40</v>
      </c>
      <c r="F1434" s="4">
        <v>3.7193527799999901</v>
      </c>
      <c r="G1434" s="4">
        <v>-75.474544440000003</v>
      </c>
      <c r="H1434" s="9">
        <f t="shared" si="66"/>
        <v>0.17499999999999999</v>
      </c>
      <c r="I1434" s="4" t="str">
        <f t="shared" si="67"/>
        <v>Sin riesgo &lt;85%</v>
      </c>
      <c r="J1434" s="1" t="s">
        <v>13</v>
      </c>
      <c r="K1434" s="1" t="str">
        <f t="shared" si="68"/>
        <v>Sin riesgo</v>
      </c>
    </row>
    <row r="1435" spans="1:11">
      <c r="A1435" s="1" t="s">
        <v>491</v>
      </c>
      <c r="B1435" s="6" t="s">
        <v>15</v>
      </c>
      <c r="C1435" s="3">
        <v>7</v>
      </c>
      <c r="D1435" s="3">
        <v>6.46</v>
      </c>
      <c r="E1435" s="3">
        <v>40</v>
      </c>
      <c r="F1435" s="4">
        <v>3.7193527799999901</v>
      </c>
      <c r="G1435" s="4">
        <v>-75.474544440000003</v>
      </c>
      <c r="H1435" s="9">
        <f t="shared" si="66"/>
        <v>0.17499999999999999</v>
      </c>
      <c r="I1435" s="4" t="str">
        <f t="shared" si="67"/>
        <v>Sin riesgo &lt;85%</v>
      </c>
      <c r="J1435" s="1" t="s">
        <v>13</v>
      </c>
      <c r="K1435" s="1" t="str">
        <f t="shared" si="68"/>
        <v>Sin riesgo</v>
      </c>
    </row>
    <row r="1436" spans="1:11">
      <c r="A1436" s="1" t="s">
        <v>492</v>
      </c>
      <c r="B1436" s="6" t="s">
        <v>12</v>
      </c>
      <c r="C1436" s="3">
        <v>12.37</v>
      </c>
      <c r="D1436" s="3">
        <v>12.98</v>
      </c>
      <c r="E1436" s="3">
        <v>31.5</v>
      </c>
      <c r="F1436" s="11"/>
      <c r="G1436" s="11"/>
      <c r="H1436" s="9">
        <f t="shared" si="66"/>
        <v>0.41206349206349208</v>
      </c>
      <c r="I1436" s="4" t="str">
        <f t="shared" si="67"/>
        <v>Sin riesgo &lt;85%</v>
      </c>
      <c r="J1436" s="1" t="s">
        <v>13</v>
      </c>
      <c r="K1436" s="1" t="str">
        <f t="shared" si="68"/>
        <v>Sin riesgo</v>
      </c>
    </row>
    <row r="1437" spans="1:11">
      <c r="A1437" s="1" t="s">
        <v>492</v>
      </c>
      <c r="B1437" s="6" t="s">
        <v>14</v>
      </c>
      <c r="C1437" s="3">
        <v>12.76</v>
      </c>
      <c r="D1437" s="3">
        <v>13.21</v>
      </c>
      <c r="E1437" s="3">
        <v>31.5</v>
      </c>
      <c r="F1437" s="11"/>
      <c r="G1437" s="11"/>
      <c r="H1437" s="9">
        <f t="shared" si="66"/>
        <v>0.41936507936507939</v>
      </c>
      <c r="I1437" s="4" t="str">
        <f t="shared" si="67"/>
        <v>Sin riesgo &lt;85%</v>
      </c>
      <c r="J1437" s="1" t="s">
        <v>13</v>
      </c>
      <c r="K1437" s="1" t="str">
        <f t="shared" si="68"/>
        <v>Sin riesgo</v>
      </c>
    </row>
    <row r="1438" spans="1:11">
      <c r="A1438" s="1" t="s">
        <v>492</v>
      </c>
      <c r="B1438" s="6" t="s">
        <v>15</v>
      </c>
      <c r="C1438" s="3">
        <v>12.76</v>
      </c>
      <c r="D1438" s="3">
        <v>13.21</v>
      </c>
      <c r="E1438" s="3">
        <v>31.5</v>
      </c>
      <c r="F1438" s="11"/>
      <c r="G1438" s="11"/>
      <c r="H1438" s="9">
        <f t="shared" si="66"/>
        <v>0.41936507936507939</v>
      </c>
      <c r="I1438" s="4" t="str">
        <f t="shared" si="67"/>
        <v>Sin riesgo &lt;85%</v>
      </c>
      <c r="J1438" s="1" t="s">
        <v>13</v>
      </c>
      <c r="K1438" s="1" t="str">
        <f t="shared" si="68"/>
        <v>Sin riesgo</v>
      </c>
    </row>
    <row r="1439" spans="1:11">
      <c r="A1439" s="1" t="s">
        <v>493</v>
      </c>
      <c r="B1439" s="6" t="s">
        <v>12</v>
      </c>
      <c r="C1439" s="3">
        <v>5.92</v>
      </c>
      <c r="D1439" s="3">
        <v>5.56</v>
      </c>
      <c r="E1439" s="3">
        <v>31.5</v>
      </c>
      <c r="F1439" s="11"/>
      <c r="G1439" s="11"/>
      <c r="H1439" s="9">
        <f t="shared" si="66"/>
        <v>0.18793650793650793</v>
      </c>
      <c r="I1439" s="4" t="str">
        <f t="shared" si="67"/>
        <v>Sin riesgo &lt;85%</v>
      </c>
      <c r="J1439" s="1" t="s">
        <v>13</v>
      </c>
      <c r="K1439" s="1" t="str">
        <f t="shared" si="68"/>
        <v>Sin riesgo</v>
      </c>
    </row>
    <row r="1440" spans="1:11">
      <c r="A1440" s="1" t="s">
        <v>493</v>
      </c>
      <c r="B1440" s="6" t="s">
        <v>14</v>
      </c>
      <c r="C1440" s="3">
        <v>5.97</v>
      </c>
      <c r="D1440" s="3">
        <v>5.61</v>
      </c>
      <c r="E1440" s="3">
        <v>31.5</v>
      </c>
      <c r="F1440" s="11"/>
      <c r="G1440" s="11"/>
      <c r="H1440" s="9">
        <f t="shared" si="66"/>
        <v>0.18952380952380951</v>
      </c>
      <c r="I1440" s="4" t="str">
        <f t="shared" si="67"/>
        <v>Sin riesgo &lt;85%</v>
      </c>
      <c r="J1440" s="1" t="s">
        <v>13</v>
      </c>
      <c r="K1440" s="1" t="str">
        <f t="shared" si="68"/>
        <v>Sin riesgo</v>
      </c>
    </row>
    <row r="1441" spans="1:11">
      <c r="A1441" s="1" t="s">
        <v>493</v>
      </c>
      <c r="B1441" s="6" t="s">
        <v>15</v>
      </c>
      <c r="C1441" s="3">
        <v>5.97</v>
      </c>
      <c r="D1441" s="3">
        <v>5.61</v>
      </c>
      <c r="E1441" s="3">
        <v>31.5</v>
      </c>
      <c r="F1441" s="11"/>
      <c r="G1441" s="11"/>
      <c r="H1441" s="9">
        <f t="shared" si="66"/>
        <v>0.18952380952380951</v>
      </c>
      <c r="I1441" s="4" t="str">
        <f t="shared" si="67"/>
        <v>Sin riesgo &lt;85%</v>
      </c>
      <c r="J1441" s="1" t="s">
        <v>13</v>
      </c>
      <c r="K1441" s="1" t="str">
        <f t="shared" si="68"/>
        <v>Sin riesgo</v>
      </c>
    </row>
    <row r="1442" spans="1:11">
      <c r="A1442" s="1" t="s">
        <v>494</v>
      </c>
      <c r="B1442" s="6" t="s">
        <v>12</v>
      </c>
      <c r="C1442" s="3">
        <v>7.14</v>
      </c>
      <c r="D1442" s="3">
        <v>9.08</v>
      </c>
      <c r="E1442" s="3">
        <v>25</v>
      </c>
      <c r="F1442" s="11"/>
      <c r="G1442" s="11"/>
      <c r="H1442" s="9">
        <f t="shared" si="66"/>
        <v>0.36320000000000002</v>
      </c>
      <c r="I1442" s="4" t="str">
        <f t="shared" si="67"/>
        <v>Sin riesgo &lt;85%</v>
      </c>
      <c r="J1442" s="1" t="s">
        <v>13</v>
      </c>
      <c r="K1442" s="1" t="str">
        <f t="shared" si="68"/>
        <v>Sin riesgo</v>
      </c>
    </row>
    <row r="1443" spans="1:11">
      <c r="A1443" s="1" t="s">
        <v>494</v>
      </c>
      <c r="B1443" s="6" t="s">
        <v>14</v>
      </c>
      <c r="C1443" s="3">
        <v>7.31</v>
      </c>
      <c r="D1443" s="3">
        <v>9.24</v>
      </c>
      <c r="E1443" s="3">
        <v>25</v>
      </c>
      <c r="F1443" s="11"/>
      <c r="G1443" s="11"/>
      <c r="H1443" s="9">
        <f t="shared" si="66"/>
        <v>0.36959999999999998</v>
      </c>
      <c r="I1443" s="4" t="str">
        <f t="shared" si="67"/>
        <v>Sin riesgo &lt;85%</v>
      </c>
      <c r="J1443" s="1" t="s">
        <v>13</v>
      </c>
      <c r="K1443" s="1" t="str">
        <f t="shared" si="68"/>
        <v>Sin riesgo</v>
      </c>
    </row>
    <row r="1444" spans="1:11">
      <c r="A1444" s="1" t="s">
        <v>494</v>
      </c>
      <c r="B1444" s="6" t="s">
        <v>15</v>
      </c>
      <c r="C1444" s="3">
        <v>7.31</v>
      </c>
      <c r="D1444" s="3">
        <v>9.24</v>
      </c>
      <c r="E1444" s="3">
        <v>25</v>
      </c>
      <c r="F1444" s="11"/>
      <c r="G1444" s="11"/>
      <c r="H1444" s="9">
        <f t="shared" si="66"/>
        <v>0.36959999999999998</v>
      </c>
      <c r="I1444" s="4" t="str">
        <f t="shared" si="67"/>
        <v>Sin riesgo &lt;85%</v>
      </c>
      <c r="J1444" s="1" t="s">
        <v>13</v>
      </c>
      <c r="K1444" s="1" t="str">
        <f t="shared" si="68"/>
        <v>Sin riesgo</v>
      </c>
    </row>
    <row r="1445" spans="1:11">
      <c r="A1445" s="1" t="s">
        <v>495</v>
      </c>
      <c r="B1445" s="6" t="s">
        <v>12</v>
      </c>
      <c r="C1445" s="3">
        <v>4.05</v>
      </c>
      <c r="D1445" s="3">
        <v>4.03</v>
      </c>
      <c r="E1445" s="3">
        <v>31.5</v>
      </c>
      <c r="F1445" s="11"/>
      <c r="G1445" s="11"/>
      <c r="H1445" s="9">
        <f t="shared" si="66"/>
        <v>0.12857142857142856</v>
      </c>
      <c r="I1445" s="4" t="str">
        <f t="shared" si="67"/>
        <v>Sin riesgo &lt;85%</v>
      </c>
      <c r="J1445" s="1">
        <v>2</v>
      </c>
      <c r="K1445" s="1" t="str">
        <f t="shared" si="68"/>
        <v>Estado de alerta</v>
      </c>
    </row>
    <row r="1446" spans="1:11">
      <c r="A1446" s="1" t="s">
        <v>495</v>
      </c>
      <c r="B1446" s="6" t="s">
        <v>14</v>
      </c>
      <c r="C1446" s="3">
        <v>4.0999999999999996</v>
      </c>
      <c r="D1446" s="3">
        <v>4.07</v>
      </c>
      <c r="E1446" s="3">
        <v>31.5</v>
      </c>
      <c r="F1446" s="11"/>
      <c r="G1446" s="11"/>
      <c r="H1446" s="9">
        <f t="shared" si="66"/>
        <v>0.13015873015873014</v>
      </c>
      <c r="I1446" s="4" t="str">
        <f t="shared" si="67"/>
        <v>Sin riesgo &lt;85%</v>
      </c>
      <c r="J1446" s="1">
        <v>2</v>
      </c>
      <c r="K1446" s="1" t="str">
        <f t="shared" si="68"/>
        <v>Estado de alerta</v>
      </c>
    </row>
    <row r="1447" spans="1:11">
      <c r="A1447" s="1" t="s">
        <v>495</v>
      </c>
      <c r="B1447" s="6" t="s">
        <v>15</v>
      </c>
      <c r="C1447" s="3">
        <v>4.0999999999999996</v>
      </c>
      <c r="D1447" s="3">
        <v>4.07</v>
      </c>
      <c r="E1447" s="3">
        <v>31.5</v>
      </c>
      <c r="F1447" s="11"/>
      <c r="G1447" s="11"/>
      <c r="H1447" s="9">
        <f t="shared" si="66"/>
        <v>0.13015873015873014</v>
      </c>
      <c r="I1447" s="4" t="str">
        <f t="shared" si="67"/>
        <v>Sin riesgo &lt;85%</v>
      </c>
      <c r="J1447" s="1">
        <v>2</v>
      </c>
      <c r="K1447" s="1" t="str">
        <f t="shared" si="68"/>
        <v>Estado de alerta</v>
      </c>
    </row>
    <row r="1448" spans="1:11">
      <c r="A1448" s="1" t="s">
        <v>496</v>
      </c>
      <c r="B1448" s="6" t="s">
        <v>12</v>
      </c>
      <c r="C1448" s="3">
        <v>5.33</v>
      </c>
      <c r="D1448" s="3">
        <v>4.1100000000000003</v>
      </c>
      <c r="E1448" s="3">
        <v>25</v>
      </c>
      <c r="F1448" s="11"/>
      <c r="G1448" s="11"/>
      <c r="H1448" s="9">
        <f t="shared" si="66"/>
        <v>0.2132</v>
      </c>
      <c r="I1448" s="4" t="str">
        <f t="shared" si="67"/>
        <v>Sin riesgo &lt;85%</v>
      </c>
      <c r="J1448" s="1">
        <v>1.9</v>
      </c>
      <c r="K1448" s="1" t="str">
        <f t="shared" si="68"/>
        <v>Estado de alerta</v>
      </c>
    </row>
    <row r="1449" spans="1:11">
      <c r="A1449" s="1" t="s">
        <v>496</v>
      </c>
      <c r="B1449" s="6" t="s">
        <v>14</v>
      </c>
      <c r="C1449" s="3">
        <v>5.4</v>
      </c>
      <c r="D1449" s="3">
        <v>4.1500000000000004</v>
      </c>
      <c r="E1449" s="3">
        <v>25</v>
      </c>
      <c r="F1449" s="11"/>
      <c r="G1449" s="11"/>
      <c r="H1449" s="9">
        <f t="shared" si="66"/>
        <v>0.21600000000000003</v>
      </c>
      <c r="I1449" s="4" t="str">
        <f t="shared" si="67"/>
        <v>Sin riesgo &lt;85%</v>
      </c>
      <c r="J1449" s="1">
        <v>1.9</v>
      </c>
      <c r="K1449" s="1" t="str">
        <f t="shared" si="68"/>
        <v>Estado de alerta</v>
      </c>
    </row>
    <row r="1450" spans="1:11">
      <c r="A1450" s="1" t="s">
        <v>496</v>
      </c>
      <c r="B1450" s="6" t="s">
        <v>15</v>
      </c>
      <c r="C1450" s="3">
        <v>5.4</v>
      </c>
      <c r="D1450" s="3">
        <v>4.1500000000000004</v>
      </c>
      <c r="E1450" s="3">
        <v>25</v>
      </c>
      <c r="F1450" s="11"/>
      <c r="G1450" s="11"/>
      <c r="H1450" s="9">
        <f t="shared" si="66"/>
        <v>0.21600000000000003</v>
      </c>
      <c r="I1450" s="4" t="str">
        <f t="shared" si="67"/>
        <v>Sin riesgo &lt;85%</v>
      </c>
      <c r="J1450" s="1">
        <v>1.9</v>
      </c>
      <c r="K1450" s="1" t="str">
        <f t="shared" si="68"/>
        <v>Estado de alerta</v>
      </c>
    </row>
    <row r="1451" spans="1:11">
      <c r="A1451" s="1" t="s">
        <v>497</v>
      </c>
      <c r="B1451" s="6" t="s">
        <v>12</v>
      </c>
      <c r="C1451" s="3">
        <v>17.899999999999999</v>
      </c>
      <c r="D1451" s="3">
        <v>15.08</v>
      </c>
      <c r="E1451" s="3">
        <v>31.5</v>
      </c>
      <c r="F1451" s="11"/>
      <c r="G1451" s="11"/>
      <c r="H1451" s="9">
        <f t="shared" si="66"/>
        <v>0.56825396825396823</v>
      </c>
      <c r="I1451" s="4" t="str">
        <f t="shared" si="67"/>
        <v>Sin riesgo &lt;85%</v>
      </c>
      <c r="J1451" s="1" t="s">
        <v>13</v>
      </c>
      <c r="K1451" s="1" t="str">
        <f t="shared" si="68"/>
        <v>Sin riesgo</v>
      </c>
    </row>
    <row r="1452" spans="1:11">
      <c r="A1452" s="1" t="s">
        <v>497</v>
      </c>
      <c r="B1452" s="6" t="s">
        <v>14</v>
      </c>
      <c r="C1452" s="3">
        <v>19.05</v>
      </c>
      <c r="D1452" s="3">
        <v>15.35</v>
      </c>
      <c r="E1452" s="3">
        <v>31.5</v>
      </c>
      <c r="F1452" s="11"/>
      <c r="G1452" s="11"/>
      <c r="H1452" s="9">
        <f t="shared" si="66"/>
        <v>0.60476190476190483</v>
      </c>
      <c r="I1452" s="4" t="str">
        <f t="shared" si="67"/>
        <v>Sin riesgo &lt;85%</v>
      </c>
      <c r="J1452" s="1" t="s">
        <v>13</v>
      </c>
      <c r="K1452" s="1" t="str">
        <f t="shared" si="68"/>
        <v>Sin riesgo</v>
      </c>
    </row>
    <row r="1453" spans="1:11">
      <c r="A1453" s="1" t="s">
        <v>497</v>
      </c>
      <c r="B1453" s="6" t="s">
        <v>15</v>
      </c>
      <c r="C1453" s="3">
        <v>19.05</v>
      </c>
      <c r="D1453" s="3">
        <v>15.35</v>
      </c>
      <c r="E1453" s="3">
        <v>31.5</v>
      </c>
      <c r="F1453" s="11"/>
      <c r="G1453" s="11"/>
      <c r="H1453" s="9">
        <f t="shared" si="66"/>
        <v>0.60476190476190483</v>
      </c>
      <c r="I1453" s="4" t="str">
        <f t="shared" si="67"/>
        <v>Sin riesgo &lt;85%</v>
      </c>
      <c r="J1453" s="1" t="s">
        <v>13</v>
      </c>
      <c r="K1453" s="1" t="str">
        <f t="shared" si="68"/>
        <v>Sin riesgo</v>
      </c>
    </row>
    <row r="1454" spans="1:11">
      <c r="A1454" s="1" t="s">
        <v>498</v>
      </c>
      <c r="B1454" s="6" t="s">
        <v>12</v>
      </c>
      <c r="C1454" s="3">
        <v>5.57</v>
      </c>
      <c r="D1454" s="3">
        <v>4.46</v>
      </c>
      <c r="E1454" s="3">
        <v>31.5</v>
      </c>
      <c r="F1454" s="11"/>
      <c r="G1454" s="11"/>
      <c r="H1454" s="9">
        <f t="shared" si="66"/>
        <v>0.17682539682539683</v>
      </c>
      <c r="I1454" s="4" t="str">
        <f t="shared" si="67"/>
        <v>Sin riesgo &lt;85%</v>
      </c>
      <c r="J1454" s="1">
        <v>1.4</v>
      </c>
      <c r="K1454" s="1" t="str">
        <f t="shared" si="68"/>
        <v>Estado critico</v>
      </c>
    </row>
    <row r="1455" spans="1:11">
      <c r="A1455" s="1" t="s">
        <v>498</v>
      </c>
      <c r="B1455" s="6" t="s">
        <v>14</v>
      </c>
      <c r="C1455" s="3">
        <v>5.61</v>
      </c>
      <c r="D1455" s="3">
        <v>4.49</v>
      </c>
      <c r="E1455" s="3">
        <v>31.5</v>
      </c>
      <c r="F1455" s="11"/>
      <c r="G1455" s="11"/>
      <c r="H1455" s="9">
        <f t="shared" si="66"/>
        <v>0.17809523809523811</v>
      </c>
      <c r="I1455" s="4" t="str">
        <f t="shared" si="67"/>
        <v>Sin riesgo &lt;85%</v>
      </c>
      <c r="J1455" s="1">
        <v>1.4</v>
      </c>
      <c r="K1455" s="1" t="str">
        <f t="shared" si="68"/>
        <v>Estado critico</v>
      </c>
    </row>
    <row r="1456" spans="1:11">
      <c r="A1456" s="1" t="s">
        <v>498</v>
      </c>
      <c r="B1456" s="6" t="s">
        <v>15</v>
      </c>
      <c r="C1456" s="3">
        <v>5.61</v>
      </c>
      <c r="D1456" s="3">
        <v>4.49</v>
      </c>
      <c r="E1456" s="3">
        <v>31.5</v>
      </c>
      <c r="F1456" s="11"/>
      <c r="G1456" s="11"/>
      <c r="H1456" s="9">
        <f t="shared" si="66"/>
        <v>0.17809523809523811</v>
      </c>
      <c r="I1456" s="4" t="str">
        <f t="shared" si="67"/>
        <v>Sin riesgo &lt;85%</v>
      </c>
      <c r="J1456" s="1">
        <v>1.4</v>
      </c>
      <c r="K1456" s="1" t="str">
        <f t="shared" si="68"/>
        <v>Estado critico</v>
      </c>
    </row>
    <row r="1457" spans="1:11">
      <c r="A1457" s="1" t="s">
        <v>499</v>
      </c>
      <c r="B1457" s="6" t="s">
        <v>12</v>
      </c>
      <c r="C1457" s="3">
        <v>6.96</v>
      </c>
      <c r="D1457" s="3">
        <v>7.34</v>
      </c>
      <c r="E1457" s="3">
        <v>31.5</v>
      </c>
      <c r="F1457" s="11"/>
      <c r="G1457" s="11"/>
      <c r="H1457" s="9">
        <f t="shared" si="66"/>
        <v>0.23301587301587301</v>
      </c>
      <c r="I1457" s="4" t="str">
        <f t="shared" si="67"/>
        <v>Sin riesgo &lt;85%</v>
      </c>
      <c r="J1457" s="1">
        <v>2</v>
      </c>
      <c r="K1457" s="1" t="str">
        <f t="shared" si="68"/>
        <v>Estado de alerta</v>
      </c>
    </row>
    <row r="1458" spans="1:11">
      <c r="A1458" s="1" t="s">
        <v>499</v>
      </c>
      <c r="B1458" s="6" t="s">
        <v>14</v>
      </c>
      <c r="C1458" s="3">
        <v>7.04</v>
      </c>
      <c r="D1458" s="3">
        <v>7.43</v>
      </c>
      <c r="E1458" s="3">
        <v>31.5</v>
      </c>
      <c r="F1458" s="11"/>
      <c r="G1458" s="11"/>
      <c r="H1458" s="9">
        <f t="shared" si="66"/>
        <v>0.23587301587301587</v>
      </c>
      <c r="I1458" s="4" t="str">
        <f t="shared" si="67"/>
        <v>Sin riesgo &lt;85%</v>
      </c>
      <c r="J1458" s="1">
        <v>2</v>
      </c>
      <c r="K1458" s="1" t="str">
        <f t="shared" si="68"/>
        <v>Estado de alerta</v>
      </c>
    </row>
    <row r="1459" spans="1:11">
      <c r="A1459" s="1" t="s">
        <v>499</v>
      </c>
      <c r="B1459" s="6" t="s">
        <v>15</v>
      </c>
      <c r="C1459" s="3">
        <v>7.04</v>
      </c>
      <c r="D1459" s="3">
        <v>7.43</v>
      </c>
      <c r="E1459" s="3">
        <v>31.5</v>
      </c>
      <c r="F1459" s="11"/>
      <c r="G1459" s="11"/>
      <c r="H1459" s="9">
        <f t="shared" si="66"/>
        <v>0.23587301587301587</v>
      </c>
      <c r="I1459" s="4" t="str">
        <f t="shared" si="67"/>
        <v>Sin riesgo &lt;85%</v>
      </c>
      <c r="J1459" s="1">
        <v>2</v>
      </c>
      <c r="K1459" s="1" t="str">
        <f t="shared" si="68"/>
        <v>Estado de alerta</v>
      </c>
    </row>
    <row r="1460" spans="1:11">
      <c r="A1460" s="1" t="s">
        <v>500</v>
      </c>
      <c r="B1460" s="6" t="s">
        <v>12</v>
      </c>
      <c r="C1460" s="3">
        <v>20.190000000000001</v>
      </c>
      <c r="D1460" s="3">
        <v>17.170000000000002</v>
      </c>
      <c r="E1460" s="3">
        <v>31.5</v>
      </c>
      <c r="F1460" s="11"/>
      <c r="G1460" s="11"/>
      <c r="H1460" s="9">
        <f t="shared" si="66"/>
        <v>0.64095238095238094</v>
      </c>
      <c r="I1460" s="4" t="str">
        <f t="shared" si="67"/>
        <v>Sin riesgo &lt;85%</v>
      </c>
      <c r="J1460" s="1" t="s">
        <v>13</v>
      </c>
      <c r="K1460" s="1" t="str">
        <f t="shared" si="68"/>
        <v>Sin riesgo</v>
      </c>
    </row>
    <row r="1461" spans="1:11">
      <c r="A1461" s="1" t="s">
        <v>500</v>
      </c>
      <c r="B1461" s="6" t="s">
        <v>14</v>
      </c>
      <c r="C1461" s="3">
        <v>20.72</v>
      </c>
      <c r="D1461" s="3">
        <v>17.5</v>
      </c>
      <c r="E1461" s="3">
        <v>31.5</v>
      </c>
      <c r="F1461" s="11"/>
      <c r="G1461" s="11"/>
      <c r="H1461" s="9">
        <f t="shared" si="66"/>
        <v>0.65777777777777779</v>
      </c>
      <c r="I1461" s="4" t="str">
        <f t="shared" si="67"/>
        <v>Sin riesgo &lt;85%</v>
      </c>
      <c r="J1461" s="1" t="s">
        <v>13</v>
      </c>
      <c r="K1461" s="1" t="str">
        <f t="shared" si="68"/>
        <v>Sin riesgo</v>
      </c>
    </row>
    <row r="1462" spans="1:11">
      <c r="A1462" s="1" t="s">
        <v>500</v>
      </c>
      <c r="B1462" s="6" t="s">
        <v>15</v>
      </c>
      <c r="C1462" s="3">
        <v>20.72</v>
      </c>
      <c r="D1462" s="3">
        <v>17.5</v>
      </c>
      <c r="E1462" s="3">
        <v>31.5</v>
      </c>
      <c r="F1462" s="11"/>
      <c r="G1462" s="11"/>
      <c r="H1462" s="9">
        <f t="shared" si="66"/>
        <v>0.65777777777777779</v>
      </c>
      <c r="I1462" s="4" t="str">
        <f t="shared" si="67"/>
        <v>Sin riesgo &lt;85%</v>
      </c>
      <c r="J1462" s="1" t="s">
        <v>13</v>
      </c>
      <c r="K1462" s="1" t="str">
        <f t="shared" si="68"/>
        <v>Sin riesgo</v>
      </c>
    </row>
    <row r="1463" spans="1:11">
      <c r="A1463" s="1" t="s">
        <v>501</v>
      </c>
      <c r="B1463" s="6" t="s">
        <v>12</v>
      </c>
      <c r="C1463" s="3">
        <v>14.48</v>
      </c>
      <c r="D1463" s="3">
        <v>14.15</v>
      </c>
      <c r="E1463" s="3">
        <v>20</v>
      </c>
      <c r="F1463" s="11"/>
      <c r="G1463" s="11"/>
      <c r="H1463" s="9">
        <f t="shared" si="66"/>
        <v>0.72399999999999998</v>
      </c>
      <c r="I1463" s="4" t="str">
        <f t="shared" si="67"/>
        <v>Sin riesgo &lt;85%</v>
      </c>
      <c r="J1463" s="1" t="s">
        <v>13</v>
      </c>
      <c r="K1463" s="1" t="str">
        <f t="shared" si="68"/>
        <v>Sin riesgo</v>
      </c>
    </row>
    <row r="1464" spans="1:11">
      <c r="A1464" s="1" t="s">
        <v>501</v>
      </c>
      <c r="B1464" s="6" t="s">
        <v>14</v>
      </c>
      <c r="C1464" s="3">
        <v>14.88</v>
      </c>
      <c r="D1464" s="3">
        <v>14.51</v>
      </c>
      <c r="E1464" s="3">
        <v>20</v>
      </c>
      <c r="F1464" s="11"/>
      <c r="G1464" s="11"/>
      <c r="H1464" s="9">
        <f t="shared" si="66"/>
        <v>0.74399999999999999</v>
      </c>
      <c r="I1464" s="4" t="str">
        <f t="shared" si="67"/>
        <v>Sin riesgo &lt;85%</v>
      </c>
      <c r="J1464" s="1" t="s">
        <v>13</v>
      </c>
      <c r="K1464" s="1" t="str">
        <f t="shared" si="68"/>
        <v>Sin riesgo</v>
      </c>
    </row>
    <row r="1465" spans="1:11">
      <c r="A1465" s="1" t="s">
        <v>501</v>
      </c>
      <c r="B1465" s="6" t="s">
        <v>15</v>
      </c>
      <c r="C1465" s="3">
        <v>14.89</v>
      </c>
      <c r="D1465" s="3">
        <v>14.52</v>
      </c>
      <c r="E1465" s="3">
        <v>20</v>
      </c>
      <c r="F1465" s="11"/>
      <c r="G1465" s="11"/>
      <c r="H1465" s="9">
        <f t="shared" si="66"/>
        <v>0.74450000000000005</v>
      </c>
      <c r="I1465" s="4" t="str">
        <f t="shared" si="67"/>
        <v>Sin riesgo &lt;85%</v>
      </c>
      <c r="J1465" s="1" t="s">
        <v>13</v>
      </c>
      <c r="K1465" s="1" t="str">
        <f t="shared" si="68"/>
        <v>Sin riesgo</v>
      </c>
    </row>
    <row r="1466" spans="1:11">
      <c r="A1466" s="1" t="s">
        <v>502</v>
      </c>
      <c r="B1466" s="6" t="s">
        <v>12</v>
      </c>
      <c r="C1466" s="3">
        <v>17.61</v>
      </c>
      <c r="D1466" s="3">
        <v>14.14</v>
      </c>
      <c r="E1466" s="3">
        <v>31.5</v>
      </c>
      <c r="F1466" s="11"/>
      <c r="G1466" s="11"/>
      <c r="H1466" s="9">
        <f t="shared" si="66"/>
        <v>0.55904761904761902</v>
      </c>
      <c r="I1466" s="4" t="str">
        <f t="shared" si="67"/>
        <v>Sin riesgo &lt;85%</v>
      </c>
      <c r="J1466" s="1" t="s">
        <v>13</v>
      </c>
      <c r="K1466" s="1" t="str">
        <f t="shared" si="68"/>
        <v>Sin riesgo</v>
      </c>
    </row>
    <row r="1467" spans="1:11">
      <c r="A1467" s="1" t="s">
        <v>502</v>
      </c>
      <c r="B1467" s="6" t="s">
        <v>14</v>
      </c>
      <c r="C1467" s="3">
        <v>17.95</v>
      </c>
      <c r="D1467" s="3">
        <v>14.4</v>
      </c>
      <c r="E1467" s="3">
        <v>31.5</v>
      </c>
      <c r="F1467" s="11"/>
      <c r="G1467" s="11"/>
      <c r="H1467" s="9">
        <f t="shared" si="66"/>
        <v>0.56984126984126982</v>
      </c>
      <c r="I1467" s="4" t="str">
        <f t="shared" si="67"/>
        <v>Sin riesgo &lt;85%</v>
      </c>
      <c r="J1467" s="1" t="s">
        <v>13</v>
      </c>
      <c r="K1467" s="1" t="str">
        <f t="shared" si="68"/>
        <v>Sin riesgo</v>
      </c>
    </row>
    <row r="1468" spans="1:11">
      <c r="A1468" s="1" t="s">
        <v>502</v>
      </c>
      <c r="B1468" s="6" t="s">
        <v>15</v>
      </c>
      <c r="C1468" s="3">
        <v>17.95</v>
      </c>
      <c r="D1468" s="3">
        <v>14.4</v>
      </c>
      <c r="E1468" s="3">
        <v>31.5</v>
      </c>
      <c r="F1468" s="11"/>
      <c r="G1468" s="11"/>
      <c r="H1468" s="9">
        <f t="shared" si="66"/>
        <v>0.56984126984126982</v>
      </c>
      <c r="I1468" s="4" t="str">
        <f t="shared" si="67"/>
        <v>Sin riesgo &lt;85%</v>
      </c>
      <c r="J1468" s="1" t="s">
        <v>13</v>
      </c>
      <c r="K1468" s="1" t="str">
        <f t="shared" si="68"/>
        <v>Sin riesgo</v>
      </c>
    </row>
    <row r="1469" spans="1:11">
      <c r="A1469" s="1" t="s">
        <v>503</v>
      </c>
      <c r="B1469" s="6" t="s">
        <v>12</v>
      </c>
      <c r="C1469" s="3">
        <v>0.74</v>
      </c>
      <c r="D1469" s="3">
        <v>0.9</v>
      </c>
      <c r="E1469" s="3">
        <v>40</v>
      </c>
      <c r="F1469" s="4">
        <v>2.5465810000000002</v>
      </c>
      <c r="G1469" s="4">
        <v>-72.628955000000005</v>
      </c>
      <c r="H1469" s="9">
        <f t="shared" si="66"/>
        <v>2.2499999999999999E-2</v>
      </c>
      <c r="I1469" s="4" t="str">
        <f t="shared" si="67"/>
        <v>Sin riesgo &lt;85%</v>
      </c>
      <c r="J1469" s="1" t="s">
        <v>13</v>
      </c>
      <c r="K1469" s="1" t="str">
        <f t="shared" si="68"/>
        <v>Sin riesgo</v>
      </c>
    </row>
    <row r="1470" spans="1:11">
      <c r="A1470" s="1" t="s">
        <v>503</v>
      </c>
      <c r="B1470" s="6" t="s">
        <v>14</v>
      </c>
      <c r="C1470" s="3">
        <v>0.74</v>
      </c>
      <c r="D1470" s="3">
        <v>0.91</v>
      </c>
      <c r="E1470" s="3">
        <v>40</v>
      </c>
      <c r="F1470" s="4">
        <v>2.5465810000000002</v>
      </c>
      <c r="G1470" s="4">
        <v>-72.628955000000005</v>
      </c>
      <c r="H1470" s="9">
        <f t="shared" si="66"/>
        <v>2.2749999999999999E-2</v>
      </c>
      <c r="I1470" s="4" t="str">
        <f t="shared" si="67"/>
        <v>Sin riesgo &lt;85%</v>
      </c>
      <c r="J1470" s="1" t="s">
        <v>13</v>
      </c>
      <c r="K1470" s="1" t="str">
        <f t="shared" si="68"/>
        <v>Sin riesgo</v>
      </c>
    </row>
    <row r="1471" spans="1:11">
      <c r="A1471" s="1" t="s">
        <v>503</v>
      </c>
      <c r="B1471" s="6" t="s">
        <v>15</v>
      </c>
      <c r="C1471" s="3">
        <v>0.74</v>
      </c>
      <c r="D1471" s="3">
        <v>0.91</v>
      </c>
      <c r="E1471" s="3">
        <v>40</v>
      </c>
      <c r="F1471" s="4">
        <v>2.5465810000000002</v>
      </c>
      <c r="G1471" s="4">
        <v>-72.628955000000005</v>
      </c>
      <c r="H1471" s="9">
        <f t="shared" si="66"/>
        <v>2.2749999999999999E-2</v>
      </c>
      <c r="I1471" s="4" t="str">
        <f t="shared" si="67"/>
        <v>Sin riesgo &lt;85%</v>
      </c>
      <c r="J1471" s="1" t="s">
        <v>13</v>
      </c>
      <c r="K1471" s="1" t="str">
        <f t="shared" si="68"/>
        <v>Sin riesgo</v>
      </c>
    </row>
    <row r="1472" spans="1:11">
      <c r="A1472" s="1" t="s">
        <v>504</v>
      </c>
      <c r="B1472" s="6" t="s">
        <v>12</v>
      </c>
      <c r="C1472" s="3">
        <v>11.04</v>
      </c>
      <c r="D1472" s="3">
        <v>10.43</v>
      </c>
      <c r="E1472" s="3">
        <v>31.5</v>
      </c>
      <c r="F1472" s="11"/>
      <c r="G1472" s="11"/>
      <c r="H1472" s="9">
        <f t="shared" si="66"/>
        <v>0.35047619047619044</v>
      </c>
      <c r="I1472" s="4" t="str">
        <f t="shared" si="67"/>
        <v>Sin riesgo &lt;85%</v>
      </c>
      <c r="J1472" s="1" t="s">
        <v>13</v>
      </c>
      <c r="K1472" s="1" t="str">
        <f t="shared" si="68"/>
        <v>Sin riesgo</v>
      </c>
    </row>
    <row r="1473" spans="1:11">
      <c r="A1473" s="1" t="s">
        <v>504</v>
      </c>
      <c r="B1473" s="6" t="s">
        <v>14</v>
      </c>
      <c r="C1473" s="3">
        <v>11.33</v>
      </c>
      <c r="D1473" s="3">
        <v>10.72</v>
      </c>
      <c r="E1473" s="3">
        <v>31.5</v>
      </c>
      <c r="F1473" s="11"/>
      <c r="G1473" s="11"/>
      <c r="H1473" s="9">
        <f t="shared" si="66"/>
        <v>0.35968253968253966</v>
      </c>
      <c r="I1473" s="4" t="str">
        <f t="shared" si="67"/>
        <v>Sin riesgo &lt;85%</v>
      </c>
      <c r="J1473" s="1" t="s">
        <v>13</v>
      </c>
      <c r="K1473" s="1" t="str">
        <f t="shared" si="68"/>
        <v>Sin riesgo</v>
      </c>
    </row>
    <row r="1474" spans="1:11">
      <c r="A1474" s="1" t="s">
        <v>504</v>
      </c>
      <c r="B1474" s="6" t="s">
        <v>15</v>
      </c>
      <c r="C1474" s="3">
        <v>11.34</v>
      </c>
      <c r="D1474" s="3">
        <v>10.72</v>
      </c>
      <c r="E1474" s="3">
        <v>31.5</v>
      </c>
      <c r="F1474" s="11"/>
      <c r="G1474" s="11"/>
      <c r="H1474" s="9">
        <f t="shared" si="66"/>
        <v>0.36</v>
      </c>
      <c r="I1474" s="4" t="str">
        <f t="shared" si="67"/>
        <v>Sin riesgo &lt;85%</v>
      </c>
      <c r="J1474" s="1" t="s">
        <v>13</v>
      </c>
      <c r="K1474" s="1" t="str">
        <f t="shared" si="68"/>
        <v>Sin riesgo</v>
      </c>
    </row>
    <row r="1475" spans="1:11">
      <c r="A1475" s="1" t="s">
        <v>505</v>
      </c>
      <c r="B1475" s="6" t="s">
        <v>12</v>
      </c>
      <c r="C1475" s="3">
        <v>17.47</v>
      </c>
      <c r="D1475" s="3">
        <v>14.09</v>
      </c>
      <c r="E1475" s="3">
        <v>31.5</v>
      </c>
      <c r="F1475" s="11"/>
      <c r="G1475" s="11"/>
      <c r="H1475" s="9">
        <f t="shared" ref="H1475:H1538" si="69">IF(C1475&gt;D1475,C1475/E1475,D1475/E1475)</f>
        <v>0.55460317460317454</v>
      </c>
      <c r="I1475" s="4" t="str">
        <f t="shared" ref="I1475:I1538" si="70">IF(H1475&gt;100%,"Altamente critico &gt;100%",IF(H1475&gt;95%,"Critico &gt;95%",IF(H1475&gt;85%,"En riesgo &gt;85%","Sin riesgo &lt;85%")))</f>
        <v>Sin riesgo &lt;85%</v>
      </c>
      <c r="J1475" s="1" t="s">
        <v>13</v>
      </c>
      <c r="K1475" s="1" t="str">
        <f t="shared" ref="K1475:K1538" si="71">IF(J1475="&gt;5","Sin riesgo",IF(J1475&gt;1.5,"Estado de alerta","Estado critico"))</f>
        <v>Sin riesgo</v>
      </c>
    </row>
    <row r="1476" spans="1:11">
      <c r="A1476" s="1" t="s">
        <v>505</v>
      </c>
      <c r="B1476" s="6" t="s">
        <v>14</v>
      </c>
      <c r="C1476" s="3">
        <v>17.8</v>
      </c>
      <c r="D1476" s="3">
        <v>14.35</v>
      </c>
      <c r="E1476" s="3">
        <v>31.5</v>
      </c>
      <c r="F1476" s="11"/>
      <c r="G1476" s="11"/>
      <c r="H1476" s="9">
        <f t="shared" si="69"/>
        <v>0.56507936507936507</v>
      </c>
      <c r="I1476" s="4" t="str">
        <f t="shared" si="70"/>
        <v>Sin riesgo &lt;85%</v>
      </c>
      <c r="J1476" s="1" t="s">
        <v>13</v>
      </c>
      <c r="K1476" s="1" t="str">
        <f t="shared" si="71"/>
        <v>Sin riesgo</v>
      </c>
    </row>
    <row r="1477" spans="1:11">
      <c r="A1477" s="1" t="s">
        <v>505</v>
      </c>
      <c r="B1477" s="6" t="s">
        <v>15</v>
      </c>
      <c r="C1477" s="3">
        <v>17.8</v>
      </c>
      <c r="D1477" s="3">
        <v>14.35</v>
      </c>
      <c r="E1477" s="3">
        <v>31.5</v>
      </c>
      <c r="F1477" s="11"/>
      <c r="G1477" s="11"/>
      <c r="H1477" s="9">
        <f t="shared" si="69"/>
        <v>0.56507936507936507</v>
      </c>
      <c r="I1477" s="4" t="str">
        <f t="shared" si="70"/>
        <v>Sin riesgo &lt;85%</v>
      </c>
      <c r="J1477" s="1" t="s">
        <v>13</v>
      </c>
      <c r="K1477" s="1" t="str">
        <f t="shared" si="71"/>
        <v>Sin riesgo</v>
      </c>
    </row>
    <row r="1478" spans="1:11">
      <c r="A1478" s="1" t="s">
        <v>506</v>
      </c>
      <c r="B1478" s="6" t="s">
        <v>12</v>
      </c>
      <c r="C1478" s="3">
        <v>6.04</v>
      </c>
      <c r="D1478" s="3">
        <v>4.8600000000000003</v>
      </c>
      <c r="E1478" s="3">
        <v>31.5</v>
      </c>
      <c r="F1478" s="4">
        <v>8.5996310000000005</v>
      </c>
      <c r="G1478" s="4">
        <v>-73.606320999999994</v>
      </c>
      <c r="H1478" s="9">
        <f t="shared" si="69"/>
        <v>0.19174603174603175</v>
      </c>
      <c r="I1478" s="4" t="str">
        <f t="shared" si="70"/>
        <v>Sin riesgo &lt;85%</v>
      </c>
      <c r="J1478" s="1" t="s">
        <v>13</v>
      </c>
      <c r="K1478" s="1" t="str">
        <f t="shared" si="71"/>
        <v>Sin riesgo</v>
      </c>
    </row>
    <row r="1479" spans="1:11">
      <c r="A1479" s="1" t="s">
        <v>506</v>
      </c>
      <c r="B1479" s="6" t="s">
        <v>14</v>
      </c>
      <c r="C1479" s="3">
        <v>6.09</v>
      </c>
      <c r="D1479" s="3">
        <v>4.97</v>
      </c>
      <c r="E1479" s="3">
        <v>31.5</v>
      </c>
      <c r="F1479" s="4">
        <v>8.5996310000000005</v>
      </c>
      <c r="G1479" s="4">
        <v>-73.606320999999994</v>
      </c>
      <c r="H1479" s="9">
        <f t="shared" si="69"/>
        <v>0.19333333333333333</v>
      </c>
      <c r="I1479" s="4" t="str">
        <f t="shared" si="70"/>
        <v>Sin riesgo &lt;85%</v>
      </c>
      <c r="J1479" s="1" t="s">
        <v>13</v>
      </c>
      <c r="K1479" s="1" t="str">
        <f t="shared" si="71"/>
        <v>Sin riesgo</v>
      </c>
    </row>
    <row r="1480" spans="1:11">
      <c r="A1480" s="1" t="s">
        <v>506</v>
      </c>
      <c r="B1480" s="6" t="s">
        <v>15</v>
      </c>
      <c r="C1480" s="3">
        <v>6.09</v>
      </c>
      <c r="D1480" s="3">
        <v>4.97</v>
      </c>
      <c r="E1480" s="3">
        <v>31.5</v>
      </c>
      <c r="F1480" s="4">
        <v>8.5996310000000005</v>
      </c>
      <c r="G1480" s="4">
        <v>-73.606320999999994</v>
      </c>
      <c r="H1480" s="9">
        <f t="shared" si="69"/>
        <v>0.19333333333333333</v>
      </c>
      <c r="I1480" s="4" t="str">
        <f t="shared" si="70"/>
        <v>Sin riesgo &lt;85%</v>
      </c>
      <c r="J1480" s="1" t="s">
        <v>13</v>
      </c>
      <c r="K1480" s="1" t="str">
        <f t="shared" si="71"/>
        <v>Sin riesgo</v>
      </c>
    </row>
    <row r="1481" spans="1:11">
      <c r="A1481" s="1" t="s">
        <v>507</v>
      </c>
      <c r="B1481" s="6" t="s">
        <v>12</v>
      </c>
      <c r="C1481" s="3">
        <v>8.43</v>
      </c>
      <c r="D1481" s="3">
        <v>6.58</v>
      </c>
      <c r="E1481" s="3">
        <v>31.5</v>
      </c>
      <c r="F1481" s="4">
        <v>6.2331940000000001</v>
      </c>
      <c r="G1481" s="4">
        <v>-75.609012000000007</v>
      </c>
      <c r="H1481" s="9">
        <f t="shared" si="69"/>
        <v>0.26761904761904759</v>
      </c>
      <c r="I1481" s="4" t="str">
        <f t="shared" si="70"/>
        <v>Sin riesgo &lt;85%</v>
      </c>
      <c r="J1481" s="1" t="s">
        <v>13</v>
      </c>
      <c r="K1481" s="1" t="str">
        <f t="shared" si="71"/>
        <v>Sin riesgo</v>
      </c>
    </row>
    <row r="1482" spans="1:11">
      <c r="A1482" s="1" t="s">
        <v>507</v>
      </c>
      <c r="B1482" s="6" t="s">
        <v>14</v>
      </c>
      <c r="C1482" s="3">
        <v>8.49</v>
      </c>
      <c r="D1482" s="3">
        <v>6.66</v>
      </c>
      <c r="E1482" s="3">
        <v>31.5</v>
      </c>
      <c r="F1482" s="4">
        <v>6.2331940000000001</v>
      </c>
      <c r="G1482" s="4">
        <v>-75.609012000000007</v>
      </c>
      <c r="H1482" s="9">
        <f t="shared" si="69"/>
        <v>0.26952380952380955</v>
      </c>
      <c r="I1482" s="4" t="str">
        <f t="shared" si="70"/>
        <v>Sin riesgo &lt;85%</v>
      </c>
      <c r="J1482" s="1" t="s">
        <v>13</v>
      </c>
      <c r="K1482" s="1" t="str">
        <f t="shared" si="71"/>
        <v>Sin riesgo</v>
      </c>
    </row>
    <row r="1483" spans="1:11">
      <c r="A1483" s="1" t="s">
        <v>507</v>
      </c>
      <c r="B1483" s="6" t="s">
        <v>15</v>
      </c>
      <c r="C1483" s="3">
        <v>8.49</v>
      </c>
      <c r="D1483" s="3">
        <v>6.66</v>
      </c>
      <c r="E1483" s="3">
        <v>31.5</v>
      </c>
      <c r="F1483" s="4">
        <v>6.2331940000000001</v>
      </c>
      <c r="G1483" s="4">
        <v>-75.609012000000007</v>
      </c>
      <c r="H1483" s="9">
        <f t="shared" si="69"/>
        <v>0.26952380952380955</v>
      </c>
      <c r="I1483" s="4" t="str">
        <f t="shared" si="70"/>
        <v>Sin riesgo &lt;85%</v>
      </c>
      <c r="J1483" s="1" t="s">
        <v>13</v>
      </c>
      <c r="K1483" s="1" t="str">
        <f t="shared" si="71"/>
        <v>Sin riesgo</v>
      </c>
    </row>
    <row r="1484" spans="1:11">
      <c r="A1484" s="1" t="s">
        <v>508</v>
      </c>
      <c r="B1484" s="6" t="s">
        <v>12</v>
      </c>
      <c r="C1484" s="3">
        <v>4.3899999999999997</v>
      </c>
      <c r="D1484" s="3">
        <v>5.42</v>
      </c>
      <c r="E1484" s="3">
        <v>31.5</v>
      </c>
      <c r="F1484" s="4">
        <v>8.287369</v>
      </c>
      <c r="G1484" s="4">
        <v>-73.609868000000006</v>
      </c>
      <c r="H1484" s="9">
        <f t="shared" si="69"/>
        <v>0.17206349206349206</v>
      </c>
      <c r="I1484" s="4" t="str">
        <f t="shared" si="70"/>
        <v>Sin riesgo &lt;85%</v>
      </c>
      <c r="J1484" s="1" t="s">
        <v>13</v>
      </c>
      <c r="K1484" s="1" t="str">
        <f t="shared" si="71"/>
        <v>Sin riesgo</v>
      </c>
    </row>
    <row r="1485" spans="1:11">
      <c r="A1485" s="1" t="s">
        <v>508</v>
      </c>
      <c r="B1485" s="6" t="s">
        <v>14</v>
      </c>
      <c r="C1485" s="3">
        <v>4.41</v>
      </c>
      <c r="D1485" s="3">
        <v>5.53</v>
      </c>
      <c r="E1485" s="3">
        <v>31.5</v>
      </c>
      <c r="F1485" s="4">
        <v>8.287369</v>
      </c>
      <c r="G1485" s="4">
        <v>-73.609868000000006</v>
      </c>
      <c r="H1485" s="9">
        <f t="shared" si="69"/>
        <v>0.17555555555555558</v>
      </c>
      <c r="I1485" s="4" t="str">
        <f t="shared" si="70"/>
        <v>Sin riesgo &lt;85%</v>
      </c>
      <c r="J1485" s="1" t="s">
        <v>13</v>
      </c>
      <c r="K1485" s="1" t="str">
        <f t="shared" si="71"/>
        <v>Sin riesgo</v>
      </c>
    </row>
    <row r="1486" spans="1:11">
      <c r="A1486" s="1" t="s">
        <v>508</v>
      </c>
      <c r="B1486" s="6" t="s">
        <v>15</v>
      </c>
      <c r="C1486" s="3">
        <v>4.41</v>
      </c>
      <c r="D1486" s="3">
        <v>5.53</v>
      </c>
      <c r="E1486" s="3">
        <v>31.5</v>
      </c>
      <c r="F1486" s="4">
        <v>8.287369</v>
      </c>
      <c r="G1486" s="4">
        <v>-73.609868000000006</v>
      </c>
      <c r="H1486" s="9">
        <f t="shared" si="69"/>
        <v>0.17555555555555558</v>
      </c>
      <c r="I1486" s="4" t="str">
        <f t="shared" si="70"/>
        <v>Sin riesgo &lt;85%</v>
      </c>
      <c r="J1486" s="1" t="s">
        <v>13</v>
      </c>
      <c r="K1486" s="1" t="str">
        <f t="shared" si="71"/>
        <v>Sin riesgo</v>
      </c>
    </row>
    <row r="1487" spans="1:11">
      <c r="A1487" s="1" t="s">
        <v>509</v>
      </c>
      <c r="B1487" s="6" t="s">
        <v>12</v>
      </c>
      <c r="C1487" s="3">
        <v>5.74</v>
      </c>
      <c r="D1487" s="3">
        <v>6.64</v>
      </c>
      <c r="E1487" s="3">
        <v>15</v>
      </c>
      <c r="F1487" s="4">
        <v>8.4786959999999993</v>
      </c>
      <c r="G1487" s="4">
        <v>-73.309548000000007</v>
      </c>
      <c r="H1487" s="9">
        <f t="shared" si="69"/>
        <v>0.44266666666666665</v>
      </c>
      <c r="I1487" s="4" t="str">
        <f t="shared" si="70"/>
        <v>Sin riesgo &lt;85%</v>
      </c>
      <c r="J1487" s="1" t="s">
        <v>13</v>
      </c>
      <c r="K1487" s="1" t="str">
        <f t="shared" si="71"/>
        <v>Sin riesgo</v>
      </c>
    </row>
    <row r="1488" spans="1:11">
      <c r="A1488" s="1" t="s">
        <v>509</v>
      </c>
      <c r="B1488" s="6" t="s">
        <v>14</v>
      </c>
      <c r="C1488" s="3">
        <v>5.76</v>
      </c>
      <c r="D1488" s="3">
        <v>6.77</v>
      </c>
      <c r="E1488" s="3">
        <v>15</v>
      </c>
      <c r="F1488" s="4">
        <v>8.4786959999999993</v>
      </c>
      <c r="G1488" s="4">
        <v>-73.309548000000007</v>
      </c>
      <c r="H1488" s="9">
        <f t="shared" si="69"/>
        <v>0.45133333333333331</v>
      </c>
      <c r="I1488" s="4" t="str">
        <f t="shared" si="70"/>
        <v>Sin riesgo &lt;85%</v>
      </c>
      <c r="J1488" s="1" t="s">
        <v>13</v>
      </c>
      <c r="K1488" s="1" t="str">
        <f t="shared" si="71"/>
        <v>Sin riesgo</v>
      </c>
    </row>
    <row r="1489" spans="1:11">
      <c r="A1489" s="1" t="s">
        <v>509</v>
      </c>
      <c r="B1489" s="6" t="s">
        <v>15</v>
      </c>
      <c r="C1489" s="3">
        <v>5.76</v>
      </c>
      <c r="D1489" s="3">
        <v>6.77</v>
      </c>
      <c r="E1489" s="3">
        <v>15</v>
      </c>
      <c r="F1489" s="4">
        <v>8.4786959999999993</v>
      </c>
      <c r="G1489" s="4">
        <v>-73.309548000000007</v>
      </c>
      <c r="H1489" s="9">
        <f t="shared" si="69"/>
        <v>0.45133333333333331</v>
      </c>
      <c r="I1489" s="4" t="str">
        <f t="shared" si="70"/>
        <v>Sin riesgo &lt;85%</v>
      </c>
      <c r="J1489" s="1" t="s">
        <v>13</v>
      </c>
      <c r="K1489" s="1" t="str">
        <f t="shared" si="71"/>
        <v>Sin riesgo</v>
      </c>
    </row>
    <row r="1490" spans="1:11">
      <c r="A1490" s="1" t="s">
        <v>510</v>
      </c>
      <c r="B1490" s="6" t="s">
        <v>12</v>
      </c>
      <c r="C1490" s="3">
        <v>10.89</v>
      </c>
      <c r="D1490" s="3">
        <v>9.9</v>
      </c>
      <c r="E1490" s="3">
        <v>30</v>
      </c>
      <c r="F1490" s="11"/>
      <c r="G1490" s="11"/>
      <c r="H1490" s="9">
        <f t="shared" si="69"/>
        <v>0.36300000000000004</v>
      </c>
      <c r="I1490" s="4" t="str">
        <f t="shared" si="70"/>
        <v>Sin riesgo &lt;85%</v>
      </c>
      <c r="J1490" s="1" t="s">
        <v>13</v>
      </c>
      <c r="K1490" s="1" t="str">
        <f t="shared" si="71"/>
        <v>Sin riesgo</v>
      </c>
    </row>
    <row r="1491" spans="1:11">
      <c r="A1491" s="1" t="s">
        <v>510</v>
      </c>
      <c r="B1491" s="6" t="s">
        <v>14</v>
      </c>
      <c r="C1491" s="3">
        <v>10.99</v>
      </c>
      <c r="D1491" s="3">
        <v>10.029999999999999</v>
      </c>
      <c r="E1491" s="3">
        <v>30</v>
      </c>
      <c r="F1491" s="11"/>
      <c r="G1491" s="11"/>
      <c r="H1491" s="9">
        <f t="shared" si="69"/>
        <v>0.36633333333333334</v>
      </c>
      <c r="I1491" s="4" t="str">
        <f t="shared" si="70"/>
        <v>Sin riesgo &lt;85%</v>
      </c>
      <c r="J1491" s="1" t="s">
        <v>13</v>
      </c>
      <c r="K1491" s="1" t="str">
        <f t="shared" si="71"/>
        <v>Sin riesgo</v>
      </c>
    </row>
    <row r="1492" spans="1:11">
      <c r="A1492" s="1" t="s">
        <v>510</v>
      </c>
      <c r="B1492" s="6" t="s">
        <v>15</v>
      </c>
      <c r="C1492" s="3">
        <v>10.99</v>
      </c>
      <c r="D1492" s="3">
        <v>10.029999999999999</v>
      </c>
      <c r="E1492" s="3">
        <v>30</v>
      </c>
      <c r="F1492" s="11"/>
      <c r="G1492" s="11"/>
      <c r="H1492" s="9">
        <f t="shared" si="69"/>
        <v>0.36633333333333334</v>
      </c>
      <c r="I1492" s="4" t="str">
        <f t="shared" si="70"/>
        <v>Sin riesgo &lt;85%</v>
      </c>
      <c r="J1492" s="1" t="s">
        <v>13</v>
      </c>
      <c r="K1492" s="1" t="str">
        <f t="shared" si="71"/>
        <v>Sin riesgo</v>
      </c>
    </row>
    <row r="1493" spans="1:11">
      <c r="A1493" s="1" t="s">
        <v>511</v>
      </c>
      <c r="B1493" s="6" t="s">
        <v>12</v>
      </c>
      <c r="C1493" s="3">
        <v>5.16</v>
      </c>
      <c r="D1493" s="3">
        <v>4.55</v>
      </c>
      <c r="E1493" s="3">
        <v>31.5</v>
      </c>
      <c r="F1493" s="11"/>
      <c r="G1493" s="11"/>
      <c r="H1493" s="9">
        <f t="shared" si="69"/>
        <v>0.16380952380952382</v>
      </c>
      <c r="I1493" s="4" t="str">
        <f t="shared" si="70"/>
        <v>Sin riesgo &lt;85%</v>
      </c>
      <c r="J1493" s="1" t="s">
        <v>13</v>
      </c>
      <c r="K1493" s="1" t="str">
        <f t="shared" si="71"/>
        <v>Sin riesgo</v>
      </c>
    </row>
    <row r="1494" spans="1:11">
      <c r="A1494" s="1" t="s">
        <v>511</v>
      </c>
      <c r="B1494" s="6" t="s">
        <v>14</v>
      </c>
      <c r="C1494" s="3">
        <v>5.2</v>
      </c>
      <c r="D1494" s="3">
        <v>4.5999999999999996</v>
      </c>
      <c r="E1494" s="3">
        <v>31.5</v>
      </c>
      <c r="F1494" s="11"/>
      <c r="G1494" s="11"/>
      <c r="H1494" s="9">
        <f t="shared" si="69"/>
        <v>0.16507936507936508</v>
      </c>
      <c r="I1494" s="4" t="str">
        <f t="shared" si="70"/>
        <v>Sin riesgo &lt;85%</v>
      </c>
      <c r="J1494" s="1" t="s">
        <v>13</v>
      </c>
      <c r="K1494" s="1" t="str">
        <f t="shared" si="71"/>
        <v>Sin riesgo</v>
      </c>
    </row>
    <row r="1495" spans="1:11">
      <c r="A1495" s="1" t="s">
        <v>511</v>
      </c>
      <c r="B1495" s="6" t="s">
        <v>15</v>
      </c>
      <c r="C1495" s="3">
        <v>5.19</v>
      </c>
      <c r="D1495" s="3">
        <v>4.5999999999999996</v>
      </c>
      <c r="E1495" s="3">
        <v>31.5</v>
      </c>
      <c r="F1495" s="11"/>
      <c r="G1495" s="11"/>
      <c r="H1495" s="9">
        <f t="shared" si="69"/>
        <v>0.16476190476190478</v>
      </c>
      <c r="I1495" s="4" t="str">
        <f t="shared" si="70"/>
        <v>Sin riesgo &lt;85%</v>
      </c>
      <c r="J1495" s="1" t="s">
        <v>13</v>
      </c>
      <c r="K1495" s="1" t="str">
        <f t="shared" si="71"/>
        <v>Sin riesgo</v>
      </c>
    </row>
    <row r="1496" spans="1:11">
      <c r="A1496" s="1" t="s">
        <v>512</v>
      </c>
      <c r="B1496" s="6" t="s">
        <v>12</v>
      </c>
      <c r="C1496" s="3">
        <v>5.62</v>
      </c>
      <c r="D1496" s="3">
        <v>4.09</v>
      </c>
      <c r="E1496" s="3">
        <v>31.5</v>
      </c>
      <c r="F1496" s="4">
        <v>7.9536629999999997</v>
      </c>
      <c r="G1496" s="4">
        <v>-72.498457999999999</v>
      </c>
      <c r="H1496" s="9">
        <f t="shared" si="69"/>
        <v>0.17841269841269841</v>
      </c>
      <c r="I1496" s="4" t="str">
        <f t="shared" si="70"/>
        <v>Sin riesgo &lt;85%</v>
      </c>
      <c r="J1496" s="1" t="s">
        <v>13</v>
      </c>
      <c r="K1496" s="1" t="str">
        <f t="shared" si="71"/>
        <v>Sin riesgo</v>
      </c>
    </row>
    <row r="1497" spans="1:11">
      <c r="A1497" s="1" t="s">
        <v>512</v>
      </c>
      <c r="B1497" s="6" t="s">
        <v>14</v>
      </c>
      <c r="C1497" s="3">
        <v>5.65</v>
      </c>
      <c r="D1497" s="3">
        <v>4.1399999999999997</v>
      </c>
      <c r="E1497" s="3">
        <v>31.5</v>
      </c>
      <c r="F1497" s="4">
        <v>7.9536629999999997</v>
      </c>
      <c r="G1497" s="4">
        <v>-72.498457999999999</v>
      </c>
      <c r="H1497" s="9">
        <f t="shared" si="69"/>
        <v>0.17936507936507937</v>
      </c>
      <c r="I1497" s="4" t="str">
        <f t="shared" si="70"/>
        <v>Sin riesgo &lt;85%</v>
      </c>
      <c r="J1497" s="1" t="s">
        <v>13</v>
      </c>
      <c r="K1497" s="1" t="str">
        <f t="shared" si="71"/>
        <v>Sin riesgo</v>
      </c>
    </row>
    <row r="1498" spans="1:11">
      <c r="A1498" s="1" t="s">
        <v>512</v>
      </c>
      <c r="B1498" s="6" t="s">
        <v>15</v>
      </c>
      <c r="C1498" s="3">
        <v>5.65</v>
      </c>
      <c r="D1498" s="3">
        <v>4.13</v>
      </c>
      <c r="E1498" s="3">
        <v>31.5</v>
      </c>
      <c r="F1498" s="4">
        <v>7.9536629999999997</v>
      </c>
      <c r="G1498" s="4">
        <v>-72.498457999999999</v>
      </c>
      <c r="H1498" s="9">
        <f t="shared" si="69"/>
        <v>0.17936507936507937</v>
      </c>
      <c r="I1498" s="4" t="str">
        <f t="shared" si="70"/>
        <v>Sin riesgo &lt;85%</v>
      </c>
      <c r="J1498" s="1" t="s">
        <v>13</v>
      </c>
      <c r="K1498" s="1" t="str">
        <f t="shared" si="71"/>
        <v>Sin riesgo</v>
      </c>
    </row>
    <row r="1499" spans="1:11">
      <c r="A1499" s="1" t="s">
        <v>513</v>
      </c>
      <c r="B1499" s="6" t="s">
        <v>12</v>
      </c>
      <c r="C1499" s="3">
        <v>21.19</v>
      </c>
      <c r="D1499" s="3">
        <v>16.2</v>
      </c>
      <c r="E1499" s="3">
        <v>31.5</v>
      </c>
      <c r="F1499" s="4">
        <v>8.2179400000000005</v>
      </c>
      <c r="G1499" s="4">
        <v>-73.320576000000003</v>
      </c>
      <c r="H1499" s="9">
        <f t="shared" si="69"/>
        <v>0.67269841269841268</v>
      </c>
      <c r="I1499" s="4" t="str">
        <f t="shared" si="70"/>
        <v>Sin riesgo &lt;85%</v>
      </c>
      <c r="J1499" s="1">
        <v>1.6</v>
      </c>
      <c r="K1499" s="1" t="str">
        <f t="shared" si="71"/>
        <v>Estado de alerta</v>
      </c>
    </row>
    <row r="1500" spans="1:11">
      <c r="A1500" s="1" t="s">
        <v>513</v>
      </c>
      <c r="B1500" s="6" t="s">
        <v>14</v>
      </c>
      <c r="C1500" s="3">
        <v>21.24</v>
      </c>
      <c r="D1500" s="3">
        <v>16.510000000000002</v>
      </c>
      <c r="E1500" s="3">
        <v>31.5</v>
      </c>
      <c r="F1500" s="4">
        <v>8.2179400000000005</v>
      </c>
      <c r="G1500" s="4">
        <v>-73.320576000000003</v>
      </c>
      <c r="H1500" s="9">
        <f t="shared" si="69"/>
        <v>0.67428571428571427</v>
      </c>
      <c r="I1500" s="4" t="str">
        <f t="shared" si="70"/>
        <v>Sin riesgo &lt;85%</v>
      </c>
      <c r="J1500" s="1">
        <v>1.6</v>
      </c>
      <c r="K1500" s="1" t="str">
        <f t="shared" si="71"/>
        <v>Estado de alerta</v>
      </c>
    </row>
    <row r="1501" spans="1:11">
      <c r="A1501" s="1" t="s">
        <v>513</v>
      </c>
      <c r="B1501" s="6" t="s">
        <v>15</v>
      </c>
      <c r="C1501" s="3">
        <v>21.24</v>
      </c>
      <c r="D1501" s="3">
        <v>16.510000000000002</v>
      </c>
      <c r="E1501" s="3">
        <v>31.5</v>
      </c>
      <c r="F1501" s="4">
        <v>8.2179400000000005</v>
      </c>
      <c r="G1501" s="4">
        <v>-73.320576000000003</v>
      </c>
      <c r="H1501" s="9">
        <f t="shared" si="69"/>
        <v>0.67428571428571427</v>
      </c>
      <c r="I1501" s="4" t="str">
        <f t="shared" si="70"/>
        <v>Sin riesgo &lt;85%</v>
      </c>
      <c r="J1501" s="1">
        <v>1.6</v>
      </c>
      <c r="K1501" s="1" t="str">
        <f t="shared" si="71"/>
        <v>Estado de alerta</v>
      </c>
    </row>
    <row r="1502" spans="1:11">
      <c r="A1502" s="1" t="s">
        <v>514</v>
      </c>
      <c r="B1502" s="6" t="s">
        <v>12</v>
      </c>
      <c r="C1502" s="3">
        <v>19.32</v>
      </c>
      <c r="D1502" s="3">
        <v>16.39</v>
      </c>
      <c r="E1502" s="3">
        <v>20</v>
      </c>
      <c r="F1502" s="4">
        <v>8.2179400000000005</v>
      </c>
      <c r="G1502" s="4">
        <v>-73.320576000000003</v>
      </c>
      <c r="H1502" s="9">
        <f t="shared" si="69"/>
        <v>0.96599999999999997</v>
      </c>
      <c r="I1502" s="4" t="str">
        <f t="shared" si="70"/>
        <v>Critico &gt;95%</v>
      </c>
      <c r="J1502" s="1" t="s">
        <v>13</v>
      </c>
      <c r="K1502" s="1" t="str">
        <f t="shared" si="71"/>
        <v>Sin riesgo</v>
      </c>
    </row>
    <row r="1503" spans="1:11">
      <c r="A1503" s="1" t="s">
        <v>514</v>
      </c>
      <c r="B1503" s="6" t="s">
        <v>14</v>
      </c>
      <c r="C1503" s="3">
        <v>19.55</v>
      </c>
      <c r="D1503" s="3">
        <v>16.72</v>
      </c>
      <c r="E1503" s="3">
        <v>20</v>
      </c>
      <c r="F1503" s="4">
        <v>8.2179400000000005</v>
      </c>
      <c r="G1503" s="4">
        <v>-73.320576000000003</v>
      </c>
      <c r="H1503" s="9">
        <f t="shared" si="69"/>
        <v>0.97750000000000004</v>
      </c>
      <c r="I1503" s="4" t="str">
        <f t="shared" si="70"/>
        <v>Critico &gt;95%</v>
      </c>
      <c r="J1503" s="1" t="s">
        <v>13</v>
      </c>
      <c r="K1503" s="1" t="str">
        <f t="shared" si="71"/>
        <v>Sin riesgo</v>
      </c>
    </row>
    <row r="1504" spans="1:11">
      <c r="A1504" s="1" t="s">
        <v>514</v>
      </c>
      <c r="B1504" s="6" t="s">
        <v>15</v>
      </c>
      <c r="C1504" s="3">
        <v>19.55</v>
      </c>
      <c r="D1504" s="3">
        <v>16.72</v>
      </c>
      <c r="E1504" s="3">
        <v>20</v>
      </c>
      <c r="F1504" s="4">
        <v>8.2179400000000005</v>
      </c>
      <c r="G1504" s="4">
        <v>-73.320576000000003</v>
      </c>
      <c r="H1504" s="9">
        <f t="shared" si="69"/>
        <v>0.97750000000000004</v>
      </c>
      <c r="I1504" s="4" t="str">
        <f t="shared" si="70"/>
        <v>Critico &gt;95%</v>
      </c>
      <c r="J1504" s="1" t="s">
        <v>13</v>
      </c>
      <c r="K1504" s="1" t="str">
        <f t="shared" si="71"/>
        <v>Sin riesgo</v>
      </c>
    </row>
    <row r="1505" spans="1:11">
      <c r="A1505" s="1" t="s">
        <v>515</v>
      </c>
      <c r="B1505" s="6" t="s">
        <v>12</v>
      </c>
      <c r="C1505" s="3">
        <v>12.45</v>
      </c>
      <c r="D1505" s="3">
        <v>11.95</v>
      </c>
      <c r="E1505" s="3">
        <v>40</v>
      </c>
      <c r="F1505" s="4">
        <v>8.2179400000000005</v>
      </c>
      <c r="G1505" s="4">
        <v>-73.320576000000003</v>
      </c>
      <c r="H1505" s="9">
        <f t="shared" si="69"/>
        <v>0.31124999999999997</v>
      </c>
      <c r="I1505" s="4" t="str">
        <f t="shared" si="70"/>
        <v>Sin riesgo &lt;85%</v>
      </c>
      <c r="J1505" s="1">
        <v>0.9</v>
      </c>
      <c r="K1505" s="1" t="str">
        <f t="shared" si="71"/>
        <v>Estado critico</v>
      </c>
    </row>
    <row r="1506" spans="1:11">
      <c r="A1506" s="1" t="s">
        <v>515</v>
      </c>
      <c r="B1506" s="6" t="s">
        <v>14</v>
      </c>
      <c r="C1506" s="3">
        <v>12.67</v>
      </c>
      <c r="D1506" s="3">
        <v>12.23</v>
      </c>
      <c r="E1506" s="3">
        <v>40</v>
      </c>
      <c r="F1506" s="4">
        <v>8.2179400000000005</v>
      </c>
      <c r="G1506" s="4">
        <v>-73.320576000000003</v>
      </c>
      <c r="H1506" s="9">
        <f t="shared" si="69"/>
        <v>0.31674999999999998</v>
      </c>
      <c r="I1506" s="4" t="str">
        <f t="shared" si="70"/>
        <v>Sin riesgo &lt;85%</v>
      </c>
      <c r="J1506" s="1">
        <v>0.9</v>
      </c>
      <c r="K1506" s="1" t="str">
        <f t="shared" si="71"/>
        <v>Estado critico</v>
      </c>
    </row>
    <row r="1507" spans="1:11">
      <c r="A1507" s="1" t="s">
        <v>515</v>
      </c>
      <c r="B1507" s="6" t="s">
        <v>15</v>
      </c>
      <c r="C1507" s="3">
        <v>12.66</v>
      </c>
      <c r="D1507" s="3">
        <v>12.23</v>
      </c>
      <c r="E1507" s="3">
        <v>40</v>
      </c>
      <c r="F1507" s="4">
        <v>8.2179400000000005</v>
      </c>
      <c r="G1507" s="4">
        <v>-73.320576000000003</v>
      </c>
      <c r="H1507" s="9">
        <f t="shared" si="69"/>
        <v>0.3165</v>
      </c>
      <c r="I1507" s="4" t="str">
        <f t="shared" si="70"/>
        <v>Sin riesgo &lt;85%</v>
      </c>
      <c r="J1507" s="1">
        <v>0.9</v>
      </c>
      <c r="K1507" s="1" t="str">
        <f t="shared" si="71"/>
        <v>Estado critico</v>
      </c>
    </row>
    <row r="1508" spans="1:11">
      <c r="A1508" s="1" t="s">
        <v>516</v>
      </c>
      <c r="B1508" s="6" t="s">
        <v>12</v>
      </c>
      <c r="C1508" s="3">
        <v>10.56</v>
      </c>
      <c r="D1508" s="3">
        <v>8.39</v>
      </c>
      <c r="E1508" s="3">
        <v>31.5</v>
      </c>
      <c r="F1508" s="4">
        <v>7.873513</v>
      </c>
      <c r="G1508" s="4">
        <v>-72.484335999999999</v>
      </c>
      <c r="H1508" s="9">
        <f t="shared" si="69"/>
        <v>0.33523809523809528</v>
      </c>
      <c r="I1508" s="4" t="str">
        <f t="shared" si="70"/>
        <v>Sin riesgo &lt;85%</v>
      </c>
      <c r="J1508" s="1" t="s">
        <v>13</v>
      </c>
      <c r="K1508" s="1" t="str">
        <f t="shared" si="71"/>
        <v>Sin riesgo</v>
      </c>
    </row>
    <row r="1509" spans="1:11">
      <c r="A1509" s="1" t="s">
        <v>516</v>
      </c>
      <c r="B1509" s="6" t="s">
        <v>14</v>
      </c>
      <c r="C1509" s="3">
        <v>10.65</v>
      </c>
      <c r="D1509" s="3">
        <v>8.49</v>
      </c>
      <c r="E1509" s="3">
        <v>31.5</v>
      </c>
      <c r="F1509" s="4">
        <v>7.873513</v>
      </c>
      <c r="G1509" s="4">
        <v>-72.484335999999999</v>
      </c>
      <c r="H1509" s="9">
        <f t="shared" si="69"/>
        <v>0.33809523809523812</v>
      </c>
      <c r="I1509" s="4" t="str">
        <f t="shared" si="70"/>
        <v>Sin riesgo &lt;85%</v>
      </c>
      <c r="J1509" s="1" t="s">
        <v>13</v>
      </c>
      <c r="K1509" s="1" t="str">
        <f t="shared" si="71"/>
        <v>Sin riesgo</v>
      </c>
    </row>
    <row r="1510" spans="1:11">
      <c r="A1510" s="1" t="s">
        <v>516</v>
      </c>
      <c r="B1510" s="6" t="s">
        <v>15</v>
      </c>
      <c r="C1510" s="3">
        <v>10.65</v>
      </c>
      <c r="D1510" s="3">
        <v>8.49</v>
      </c>
      <c r="E1510" s="3">
        <v>31.5</v>
      </c>
      <c r="F1510" s="4">
        <v>7.873513</v>
      </c>
      <c r="G1510" s="4">
        <v>-72.484335999999999</v>
      </c>
      <c r="H1510" s="9">
        <f t="shared" si="69"/>
        <v>0.33809523809523812</v>
      </c>
      <c r="I1510" s="4" t="str">
        <f t="shared" si="70"/>
        <v>Sin riesgo &lt;85%</v>
      </c>
      <c r="J1510" s="1" t="s">
        <v>13</v>
      </c>
      <c r="K1510" s="1" t="str">
        <f t="shared" si="71"/>
        <v>Sin riesgo</v>
      </c>
    </row>
    <row r="1511" spans="1:11">
      <c r="A1511" s="1" t="s">
        <v>517</v>
      </c>
      <c r="B1511" s="6" t="s">
        <v>12</v>
      </c>
      <c r="C1511" s="3">
        <v>11.07</v>
      </c>
      <c r="D1511" s="3">
        <v>10</v>
      </c>
      <c r="E1511" s="3">
        <v>20</v>
      </c>
      <c r="F1511" s="4">
        <v>7.873513</v>
      </c>
      <c r="G1511" s="4">
        <v>-72.484335999999999</v>
      </c>
      <c r="H1511" s="9">
        <f t="shared" si="69"/>
        <v>0.55349999999999999</v>
      </c>
      <c r="I1511" s="4" t="str">
        <f t="shared" si="70"/>
        <v>Sin riesgo &lt;85%</v>
      </c>
      <c r="J1511" s="1" t="s">
        <v>13</v>
      </c>
      <c r="K1511" s="1" t="str">
        <f t="shared" si="71"/>
        <v>Sin riesgo</v>
      </c>
    </row>
    <row r="1512" spans="1:11">
      <c r="A1512" s="1" t="s">
        <v>517</v>
      </c>
      <c r="B1512" s="6" t="s">
        <v>14</v>
      </c>
      <c r="C1512" s="3">
        <v>11.18</v>
      </c>
      <c r="D1512" s="3">
        <v>10.14</v>
      </c>
      <c r="E1512" s="3">
        <v>20</v>
      </c>
      <c r="F1512" s="4">
        <v>7.873513</v>
      </c>
      <c r="G1512" s="4">
        <v>-72.484335999999999</v>
      </c>
      <c r="H1512" s="9">
        <f t="shared" si="69"/>
        <v>0.55899999999999994</v>
      </c>
      <c r="I1512" s="4" t="str">
        <f t="shared" si="70"/>
        <v>Sin riesgo &lt;85%</v>
      </c>
      <c r="J1512" s="1" t="s">
        <v>13</v>
      </c>
      <c r="K1512" s="1" t="str">
        <f t="shared" si="71"/>
        <v>Sin riesgo</v>
      </c>
    </row>
    <row r="1513" spans="1:11">
      <c r="A1513" s="1" t="s">
        <v>517</v>
      </c>
      <c r="B1513" s="6" t="s">
        <v>15</v>
      </c>
      <c r="C1513" s="3">
        <v>11.18</v>
      </c>
      <c r="D1513" s="3">
        <v>10.14</v>
      </c>
      <c r="E1513" s="3">
        <v>20</v>
      </c>
      <c r="F1513" s="4">
        <v>7.873513</v>
      </c>
      <c r="G1513" s="4">
        <v>-72.484335999999999</v>
      </c>
      <c r="H1513" s="9">
        <f t="shared" si="69"/>
        <v>0.55899999999999994</v>
      </c>
      <c r="I1513" s="4" t="str">
        <f t="shared" si="70"/>
        <v>Sin riesgo &lt;85%</v>
      </c>
      <c r="J1513" s="1" t="s">
        <v>13</v>
      </c>
      <c r="K1513" s="1" t="str">
        <f t="shared" si="71"/>
        <v>Sin riesgo</v>
      </c>
    </row>
    <row r="1514" spans="1:11">
      <c r="A1514" s="1" t="s">
        <v>518</v>
      </c>
      <c r="B1514" s="6" t="s">
        <v>12</v>
      </c>
      <c r="C1514" s="3">
        <v>4.29</v>
      </c>
      <c r="D1514" s="3">
        <v>5.08</v>
      </c>
      <c r="E1514" s="3">
        <v>31.5</v>
      </c>
      <c r="F1514" s="4">
        <v>7.9052879999999996</v>
      </c>
      <c r="G1514" s="4">
        <v>-72.504940000000005</v>
      </c>
      <c r="H1514" s="9">
        <f t="shared" si="69"/>
        <v>0.16126984126984129</v>
      </c>
      <c r="I1514" s="4" t="str">
        <f t="shared" si="70"/>
        <v>Sin riesgo &lt;85%</v>
      </c>
      <c r="J1514" s="1" t="s">
        <v>13</v>
      </c>
      <c r="K1514" s="1" t="str">
        <f t="shared" si="71"/>
        <v>Sin riesgo</v>
      </c>
    </row>
    <row r="1515" spans="1:11">
      <c r="A1515" s="1" t="s">
        <v>518</v>
      </c>
      <c r="B1515" s="6" t="s">
        <v>14</v>
      </c>
      <c r="C1515" s="3">
        <v>4.33</v>
      </c>
      <c r="D1515" s="3">
        <v>5.14</v>
      </c>
      <c r="E1515" s="3">
        <v>31.5</v>
      </c>
      <c r="F1515" s="4">
        <v>7.9052879999999996</v>
      </c>
      <c r="G1515" s="4">
        <v>-72.504940000000005</v>
      </c>
      <c r="H1515" s="9">
        <f t="shared" si="69"/>
        <v>0.16317460317460317</v>
      </c>
      <c r="I1515" s="4" t="str">
        <f t="shared" si="70"/>
        <v>Sin riesgo &lt;85%</v>
      </c>
      <c r="J1515" s="1" t="s">
        <v>13</v>
      </c>
      <c r="K1515" s="1" t="str">
        <f t="shared" si="71"/>
        <v>Sin riesgo</v>
      </c>
    </row>
    <row r="1516" spans="1:11">
      <c r="A1516" s="1" t="s">
        <v>518</v>
      </c>
      <c r="B1516" s="6" t="s">
        <v>15</v>
      </c>
      <c r="C1516" s="3">
        <v>4.33</v>
      </c>
      <c r="D1516" s="3">
        <v>5.14</v>
      </c>
      <c r="E1516" s="3">
        <v>31.5</v>
      </c>
      <c r="F1516" s="4">
        <v>7.9052879999999996</v>
      </c>
      <c r="G1516" s="4">
        <v>-72.504940000000005</v>
      </c>
      <c r="H1516" s="9">
        <f t="shared" si="69"/>
        <v>0.16317460317460317</v>
      </c>
      <c r="I1516" s="4" t="str">
        <f t="shared" si="70"/>
        <v>Sin riesgo &lt;85%</v>
      </c>
      <c r="J1516" s="1" t="s">
        <v>13</v>
      </c>
      <c r="K1516" s="1" t="str">
        <f t="shared" si="71"/>
        <v>Sin riesgo</v>
      </c>
    </row>
    <row r="1517" spans="1:11">
      <c r="A1517" s="1" t="s">
        <v>519</v>
      </c>
      <c r="B1517" s="6" t="s">
        <v>12</v>
      </c>
      <c r="C1517" s="3">
        <v>13.64</v>
      </c>
      <c r="D1517" s="3">
        <v>11.76</v>
      </c>
      <c r="E1517" s="3">
        <v>40</v>
      </c>
      <c r="F1517" s="4">
        <v>6.4121160000000001</v>
      </c>
      <c r="G1517" s="4">
        <v>-75.429214999999999</v>
      </c>
      <c r="H1517" s="9">
        <f t="shared" si="69"/>
        <v>0.34100000000000003</v>
      </c>
      <c r="I1517" s="4" t="str">
        <f t="shared" si="70"/>
        <v>Sin riesgo &lt;85%</v>
      </c>
      <c r="J1517" s="1" t="s">
        <v>13</v>
      </c>
      <c r="K1517" s="1" t="str">
        <f t="shared" si="71"/>
        <v>Sin riesgo</v>
      </c>
    </row>
    <row r="1518" spans="1:11">
      <c r="A1518" s="1" t="s">
        <v>519</v>
      </c>
      <c r="B1518" s="6" t="s">
        <v>14</v>
      </c>
      <c r="C1518" s="3">
        <v>13.78</v>
      </c>
      <c r="D1518" s="3">
        <v>11.92</v>
      </c>
      <c r="E1518" s="3">
        <v>40</v>
      </c>
      <c r="F1518" s="4">
        <v>6.4121160000000001</v>
      </c>
      <c r="G1518" s="4">
        <v>-75.429214999999999</v>
      </c>
      <c r="H1518" s="9">
        <f t="shared" si="69"/>
        <v>0.34449999999999997</v>
      </c>
      <c r="I1518" s="4" t="str">
        <f t="shared" si="70"/>
        <v>Sin riesgo &lt;85%</v>
      </c>
      <c r="J1518" s="1" t="s">
        <v>13</v>
      </c>
      <c r="K1518" s="1" t="str">
        <f t="shared" si="71"/>
        <v>Sin riesgo</v>
      </c>
    </row>
    <row r="1519" spans="1:11">
      <c r="A1519" s="1" t="s">
        <v>519</v>
      </c>
      <c r="B1519" s="6" t="s">
        <v>15</v>
      </c>
      <c r="C1519" s="3">
        <v>13.78</v>
      </c>
      <c r="D1519" s="3">
        <v>11.92</v>
      </c>
      <c r="E1519" s="3">
        <v>40</v>
      </c>
      <c r="F1519" s="4">
        <v>6.4121160000000001</v>
      </c>
      <c r="G1519" s="4">
        <v>-75.429214999999999</v>
      </c>
      <c r="H1519" s="9">
        <f t="shared" si="69"/>
        <v>0.34449999999999997</v>
      </c>
      <c r="I1519" s="4" t="str">
        <f t="shared" si="70"/>
        <v>Sin riesgo &lt;85%</v>
      </c>
      <c r="J1519" s="1" t="s">
        <v>13</v>
      </c>
      <c r="K1519" s="1" t="str">
        <f t="shared" si="71"/>
        <v>Sin riesgo</v>
      </c>
    </row>
    <row r="1520" spans="1:11">
      <c r="A1520" s="1" t="s">
        <v>520</v>
      </c>
      <c r="B1520" s="6" t="s">
        <v>12</v>
      </c>
      <c r="C1520" s="3">
        <v>2.2799999999999998</v>
      </c>
      <c r="D1520" s="3">
        <v>3.22</v>
      </c>
      <c r="E1520" s="3">
        <v>40</v>
      </c>
      <c r="F1520" s="11"/>
      <c r="G1520" s="11"/>
      <c r="H1520" s="9">
        <f t="shared" si="69"/>
        <v>8.0500000000000002E-2</v>
      </c>
      <c r="I1520" s="4" t="str">
        <f t="shared" si="70"/>
        <v>Sin riesgo &lt;85%</v>
      </c>
      <c r="J1520" s="1" t="s">
        <v>13</v>
      </c>
      <c r="K1520" s="1" t="str">
        <f t="shared" si="71"/>
        <v>Sin riesgo</v>
      </c>
    </row>
    <row r="1521" spans="1:11">
      <c r="A1521" s="1" t="s">
        <v>520</v>
      </c>
      <c r="B1521" s="6" t="s">
        <v>14</v>
      </c>
      <c r="C1521" s="3">
        <v>2.29</v>
      </c>
      <c r="D1521" s="3">
        <v>3.27</v>
      </c>
      <c r="E1521" s="3">
        <v>40</v>
      </c>
      <c r="F1521" s="11"/>
      <c r="G1521" s="11"/>
      <c r="H1521" s="9">
        <f t="shared" si="69"/>
        <v>8.1750000000000003E-2</v>
      </c>
      <c r="I1521" s="4" t="str">
        <f t="shared" si="70"/>
        <v>Sin riesgo &lt;85%</v>
      </c>
      <c r="J1521" s="1" t="s">
        <v>13</v>
      </c>
      <c r="K1521" s="1" t="str">
        <f t="shared" si="71"/>
        <v>Sin riesgo</v>
      </c>
    </row>
    <row r="1522" spans="1:11">
      <c r="A1522" s="1" t="s">
        <v>520</v>
      </c>
      <c r="B1522" s="6" t="s">
        <v>15</v>
      </c>
      <c r="C1522" s="3">
        <v>2.29</v>
      </c>
      <c r="D1522" s="3">
        <v>3.27</v>
      </c>
      <c r="E1522" s="3">
        <v>40</v>
      </c>
      <c r="F1522" s="11"/>
      <c r="G1522" s="11"/>
      <c r="H1522" s="9">
        <f t="shared" si="69"/>
        <v>8.1750000000000003E-2</v>
      </c>
      <c r="I1522" s="4" t="str">
        <f t="shared" si="70"/>
        <v>Sin riesgo &lt;85%</v>
      </c>
      <c r="J1522" s="1" t="s">
        <v>13</v>
      </c>
      <c r="K1522" s="1" t="str">
        <f t="shared" si="71"/>
        <v>Sin riesgo</v>
      </c>
    </row>
    <row r="1523" spans="1:11">
      <c r="A1523" s="1" t="s">
        <v>521</v>
      </c>
      <c r="B1523" s="6" t="s">
        <v>12</v>
      </c>
      <c r="C1523" s="3">
        <v>5.71</v>
      </c>
      <c r="D1523" s="3">
        <v>4.8099999999999996</v>
      </c>
      <c r="E1523" s="3">
        <v>31.5</v>
      </c>
      <c r="F1523" s="11"/>
      <c r="G1523" s="11"/>
      <c r="H1523" s="9">
        <f t="shared" si="69"/>
        <v>0.18126984126984128</v>
      </c>
      <c r="I1523" s="4" t="str">
        <f t="shared" si="70"/>
        <v>Sin riesgo &lt;85%</v>
      </c>
      <c r="J1523" s="1" t="s">
        <v>13</v>
      </c>
      <c r="K1523" s="1" t="str">
        <f t="shared" si="71"/>
        <v>Sin riesgo</v>
      </c>
    </row>
    <row r="1524" spans="1:11">
      <c r="A1524" s="1" t="s">
        <v>521</v>
      </c>
      <c r="B1524" s="6" t="s">
        <v>14</v>
      </c>
      <c r="C1524" s="3">
        <v>5.74</v>
      </c>
      <c r="D1524" s="3">
        <v>4.87</v>
      </c>
      <c r="E1524" s="3">
        <v>31.5</v>
      </c>
      <c r="F1524" s="11"/>
      <c r="G1524" s="11"/>
      <c r="H1524" s="9">
        <f t="shared" si="69"/>
        <v>0.18222222222222223</v>
      </c>
      <c r="I1524" s="4" t="str">
        <f t="shared" si="70"/>
        <v>Sin riesgo &lt;85%</v>
      </c>
      <c r="J1524" s="1" t="s">
        <v>13</v>
      </c>
      <c r="K1524" s="1" t="str">
        <f t="shared" si="71"/>
        <v>Sin riesgo</v>
      </c>
    </row>
    <row r="1525" spans="1:11">
      <c r="A1525" s="1" t="s">
        <v>521</v>
      </c>
      <c r="B1525" s="6" t="s">
        <v>15</v>
      </c>
      <c r="C1525" s="3">
        <v>5.74</v>
      </c>
      <c r="D1525" s="3">
        <v>4.87</v>
      </c>
      <c r="E1525" s="3">
        <v>31.5</v>
      </c>
      <c r="F1525" s="11"/>
      <c r="G1525" s="11"/>
      <c r="H1525" s="9">
        <f t="shared" si="69"/>
        <v>0.18222222222222223</v>
      </c>
      <c r="I1525" s="4" t="str">
        <f t="shared" si="70"/>
        <v>Sin riesgo &lt;85%</v>
      </c>
      <c r="J1525" s="1" t="s">
        <v>13</v>
      </c>
      <c r="K1525" s="1" t="str">
        <f t="shared" si="71"/>
        <v>Sin riesgo</v>
      </c>
    </row>
    <row r="1526" spans="1:11">
      <c r="A1526" s="1" t="s">
        <v>522</v>
      </c>
      <c r="B1526" s="6" t="s">
        <v>12</v>
      </c>
      <c r="C1526" s="3">
        <v>2.99</v>
      </c>
      <c r="D1526" s="3">
        <v>3.33</v>
      </c>
      <c r="E1526" s="3">
        <v>31.5</v>
      </c>
      <c r="F1526" s="4">
        <v>8.2094620000000003</v>
      </c>
      <c r="G1526" s="4">
        <v>-72.462215</v>
      </c>
      <c r="H1526" s="9">
        <f t="shared" si="69"/>
        <v>0.10571428571428572</v>
      </c>
      <c r="I1526" s="4" t="str">
        <f t="shared" si="70"/>
        <v>Sin riesgo &lt;85%</v>
      </c>
      <c r="J1526" s="1" t="s">
        <v>13</v>
      </c>
      <c r="K1526" s="1" t="str">
        <f t="shared" si="71"/>
        <v>Sin riesgo</v>
      </c>
    </row>
    <row r="1527" spans="1:11">
      <c r="A1527" s="1" t="s">
        <v>522</v>
      </c>
      <c r="B1527" s="6" t="s">
        <v>14</v>
      </c>
      <c r="C1527" s="3">
        <v>3.01</v>
      </c>
      <c r="D1527" s="3">
        <v>3.38</v>
      </c>
      <c r="E1527" s="3">
        <v>31.5</v>
      </c>
      <c r="F1527" s="4">
        <v>8.2094620000000003</v>
      </c>
      <c r="G1527" s="4">
        <v>-72.462215</v>
      </c>
      <c r="H1527" s="9">
        <f t="shared" si="69"/>
        <v>0.1073015873015873</v>
      </c>
      <c r="I1527" s="4" t="str">
        <f t="shared" si="70"/>
        <v>Sin riesgo &lt;85%</v>
      </c>
      <c r="J1527" s="1" t="s">
        <v>13</v>
      </c>
      <c r="K1527" s="1" t="str">
        <f t="shared" si="71"/>
        <v>Sin riesgo</v>
      </c>
    </row>
    <row r="1528" spans="1:11">
      <c r="A1528" s="1" t="s">
        <v>522</v>
      </c>
      <c r="B1528" s="6" t="s">
        <v>15</v>
      </c>
      <c r="C1528" s="3">
        <v>3.01</v>
      </c>
      <c r="D1528" s="3">
        <v>3.38</v>
      </c>
      <c r="E1528" s="3">
        <v>31.5</v>
      </c>
      <c r="F1528" s="4">
        <v>8.2094620000000003</v>
      </c>
      <c r="G1528" s="4">
        <v>-72.462215</v>
      </c>
      <c r="H1528" s="9">
        <f t="shared" si="69"/>
        <v>0.1073015873015873</v>
      </c>
      <c r="I1528" s="4" t="str">
        <f t="shared" si="70"/>
        <v>Sin riesgo &lt;85%</v>
      </c>
      <c r="J1528" s="1" t="s">
        <v>13</v>
      </c>
      <c r="K1528" s="1" t="str">
        <f t="shared" si="71"/>
        <v>Sin riesgo</v>
      </c>
    </row>
    <row r="1529" spans="1:11">
      <c r="A1529" s="1" t="s">
        <v>523</v>
      </c>
      <c r="B1529" s="6" t="s">
        <v>12</v>
      </c>
      <c r="C1529" s="3">
        <v>1.1000000000000001</v>
      </c>
      <c r="D1529" s="3">
        <v>1.36</v>
      </c>
      <c r="E1529" s="3">
        <v>25</v>
      </c>
      <c r="F1529" s="4">
        <v>0.67190700000000003</v>
      </c>
      <c r="G1529" s="4">
        <v>-76.601517999999999</v>
      </c>
      <c r="H1529" s="9">
        <f t="shared" si="69"/>
        <v>5.4400000000000004E-2</v>
      </c>
      <c r="I1529" s="4" t="str">
        <f t="shared" si="70"/>
        <v>Sin riesgo &lt;85%</v>
      </c>
      <c r="J1529" s="1" t="s">
        <v>13</v>
      </c>
      <c r="K1529" s="1" t="str">
        <f t="shared" si="71"/>
        <v>Sin riesgo</v>
      </c>
    </row>
    <row r="1530" spans="1:11">
      <c r="A1530" s="1" t="s">
        <v>523</v>
      </c>
      <c r="B1530" s="6" t="s">
        <v>14</v>
      </c>
      <c r="C1530" s="3">
        <v>1.1000000000000001</v>
      </c>
      <c r="D1530" s="3">
        <v>1.36</v>
      </c>
      <c r="E1530" s="3">
        <v>25</v>
      </c>
      <c r="F1530" s="4">
        <v>0.67190700000000003</v>
      </c>
      <c r="G1530" s="4">
        <v>-76.601517999999999</v>
      </c>
      <c r="H1530" s="9">
        <f t="shared" si="69"/>
        <v>5.4400000000000004E-2</v>
      </c>
      <c r="I1530" s="4" t="str">
        <f t="shared" si="70"/>
        <v>Sin riesgo &lt;85%</v>
      </c>
      <c r="J1530" s="1" t="s">
        <v>13</v>
      </c>
      <c r="K1530" s="1" t="str">
        <f t="shared" si="71"/>
        <v>Sin riesgo</v>
      </c>
    </row>
    <row r="1531" spans="1:11">
      <c r="A1531" s="1" t="s">
        <v>523</v>
      </c>
      <c r="B1531" s="6" t="s">
        <v>15</v>
      </c>
      <c r="C1531" s="3">
        <v>1.1000000000000001</v>
      </c>
      <c r="D1531" s="3">
        <v>1.36</v>
      </c>
      <c r="E1531" s="3">
        <v>25</v>
      </c>
      <c r="F1531" s="4">
        <v>0.67190700000000003</v>
      </c>
      <c r="G1531" s="4">
        <v>-76.601517999999999</v>
      </c>
      <c r="H1531" s="9">
        <f t="shared" si="69"/>
        <v>5.4400000000000004E-2</v>
      </c>
      <c r="I1531" s="4" t="str">
        <f t="shared" si="70"/>
        <v>Sin riesgo &lt;85%</v>
      </c>
      <c r="J1531" s="1" t="s">
        <v>13</v>
      </c>
      <c r="K1531" s="1" t="str">
        <f t="shared" si="71"/>
        <v>Sin riesgo</v>
      </c>
    </row>
    <row r="1532" spans="1:11">
      <c r="A1532" s="1" t="s">
        <v>524</v>
      </c>
      <c r="B1532" s="6" t="s">
        <v>12</v>
      </c>
      <c r="C1532" s="3">
        <v>0.82</v>
      </c>
      <c r="D1532" s="3">
        <v>1.0900000000000001</v>
      </c>
      <c r="E1532" s="3">
        <v>27.2</v>
      </c>
      <c r="F1532" s="11"/>
      <c r="G1532" s="11"/>
      <c r="H1532" s="9">
        <f t="shared" si="69"/>
        <v>4.0073529411764709E-2</v>
      </c>
      <c r="I1532" s="4" t="str">
        <f t="shared" si="70"/>
        <v>Sin riesgo &lt;85%</v>
      </c>
      <c r="J1532" s="1" t="s">
        <v>13</v>
      </c>
      <c r="K1532" s="1" t="str">
        <f t="shared" si="71"/>
        <v>Sin riesgo</v>
      </c>
    </row>
    <row r="1533" spans="1:11">
      <c r="A1533" s="1" t="s">
        <v>524</v>
      </c>
      <c r="B1533" s="6" t="s">
        <v>14</v>
      </c>
      <c r="C1533" s="3">
        <v>0.82</v>
      </c>
      <c r="D1533" s="3">
        <v>1.0900000000000001</v>
      </c>
      <c r="E1533" s="3">
        <v>27.2</v>
      </c>
      <c r="F1533" s="11"/>
      <c r="G1533" s="11"/>
      <c r="H1533" s="9">
        <f t="shared" si="69"/>
        <v>4.0073529411764709E-2</v>
      </c>
      <c r="I1533" s="4" t="str">
        <f t="shared" si="70"/>
        <v>Sin riesgo &lt;85%</v>
      </c>
      <c r="J1533" s="1" t="s">
        <v>13</v>
      </c>
      <c r="K1533" s="1" t="str">
        <f t="shared" si="71"/>
        <v>Sin riesgo</v>
      </c>
    </row>
    <row r="1534" spans="1:11">
      <c r="A1534" s="1" t="s">
        <v>524</v>
      </c>
      <c r="B1534" s="6" t="s">
        <v>15</v>
      </c>
      <c r="C1534" s="3">
        <v>0.82</v>
      </c>
      <c r="D1534" s="3">
        <v>1.0900000000000001</v>
      </c>
      <c r="E1534" s="3">
        <v>27.2</v>
      </c>
      <c r="F1534" s="11"/>
      <c r="G1534" s="11"/>
      <c r="H1534" s="9">
        <f t="shared" si="69"/>
        <v>4.0073529411764709E-2</v>
      </c>
      <c r="I1534" s="4" t="str">
        <f t="shared" si="70"/>
        <v>Sin riesgo &lt;85%</v>
      </c>
      <c r="J1534" s="1" t="s">
        <v>13</v>
      </c>
      <c r="K1534" s="1" t="str">
        <f t="shared" si="71"/>
        <v>Sin riesgo</v>
      </c>
    </row>
    <row r="1535" spans="1:11">
      <c r="A1535" s="1" t="s">
        <v>525</v>
      </c>
      <c r="B1535" s="6" t="s">
        <v>12</v>
      </c>
      <c r="C1535" s="3">
        <v>21.7</v>
      </c>
      <c r="D1535" s="3">
        <v>17.21</v>
      </c>
      <c r="E1535" s="3">
        <v>31.5</v>
      </c>
      <c r="F1535" s="4">
        <v>7.0969340000000001</v>
      </c>
      <c r="G1535" s="4">
        <v>-73.884159999999994</v>
      </c>
      <c r="H1535" s="9">
        <f t="shared" si="69"/>
        <v>0.68888888888888888</v>
      </c>
      <c r="I1535" s="4" t="str">
        <f t="shared" si="70"/>
        <v>Sin riesgo &lt;85%</v>
      </c>
      <c r="J1535" s="1" t="s">
        <v>13</v>
      </c>
      <c r="K1535" s="1" t="str">
        <f t="shared" si="71"/>
        <v>Sin riesgo</v>
      </c>
    </row>
    <row r="1536" spans="1:11">
      <c r="A1536" s="1" t="s">
        <v>525</v>
      </c>
      <c r="B1536" s="6" t="s">
        <v>14</v>
      </c>
      <c r="C1536" s="3">
        <v>22.24</v>
      </c>
      <c r="D1536" s="3">
        <v>17.68</v>
      </c>
      <c r="E1536" s="3">
        <v>31.5</v>
      </c>
      <c r="F1536" s="4">
        <v>7.0969340000000001</v>
      </c>
      <c r="G1536" s="4">
        <v>-73.884159999999994</v>
      </c>
      <c r="H1536" s="9">
        <f t="shared" si="69"/>
        <v>0.70603174603174601</v>
      </c>
      <c r="I1536" s="4" t="str">
        <f t="shared" si="70"/>
        <v>Sin riesgo &lt;85%</v>
      </c>
      <c r="J1536" s="1" t="s">
        <v>13</v>
      </c>
      <c r="K1536" s="1" t="str">
        <f t="shared" si="71"/>
        <v>Sin riesgo</v>
      </c>
    </row>
    <row r="1537" spans="1:11">
      <c r="A1537" s="1" t="s">
        <v>525</v>
      </c>
      <c r="B1537" s="6" t="s">
        <v>15</v>
      </c>
      <c r="C1537" s="3">
        <v>22.24</v>
      </c>
      <c r="D1537" s="3">
        <v>17.68</v>
      </c>
      <c r="E1537" s="3">
        <v>31.5</v>
      </c>
      <c r="F1537" s="4">
        <v>7.0969340000000001</v>
      </c>
      <c r="G1537" s="4">
        <v>-73.884159999999994</v>
      </c>
      <c r="H1537" s="9">
        <f t="shared" si="69"/>
        <v>0.70603174603174601</v>
      </c>
      <c r="I1537" s="4" t="str">
        <f t="shared" si="70"/>
        <v>Sin riesgo &lt;85%</v>
      </c>
      <c r="J1537" s="1" t="s">
        <v>13</v>
      </c>
      <c r="K1537" s="1" t="str">
        <f t="shared" si="71"/>
        <v>Sin riesgo</v>
      </c>
    </row>
    <row r="1538" spans="1:11">
      <c r="A1538" s="1" t="s">
        <v>526</v>
      </c>
      <c r="B1538" s="6" t="s">
        <v>12</v>
      </c>
      <c r="C1538" s="3">
        <v>15.47</v>
      </c>
      <c r="D1538" s="3">
        <v>14.54</v>
      </c>
      <c r="E1538" s="3">
        <v>40</v>
      </c>
      <c r="F1538" s="4">
        <v>7.0969340000000001</v>
      </c>
      <c r="G1538" s="4">
        <v>-73.884159999999994</v>
      </c>
      <c r="H1538" s="9">
        <f t="shared" si="69"/>
        <v>0.38675000000000004</v>
      </c>
      <c r="I1538" s="4" t="str">
        <f t="shared" si="70"/>
        <v>Sin riesgo &lt;85%</v>
      </c>
      <c r="J1538" s="1" t="s">
        <v>13</v>
      </c>
      <c r="K1538" s="1" t="str">
        <f t="shared" si="71"/>
        <v>Sin riesgo</v>
      </c>
    </row>
    <row r="1539" spans="1:11">
      <c r="A1539" s="1" t="s">
        <v>526</v>
      </c>
      <c r="B1539" s="6" t="s">
        <v>14</v>
      </c>
      <c r="C1539" s="3">
        <v>15.8</v>
      </c>
      <c r="D1539" s="3">
        <v>14.88</v>
      </c>
      <c r="E1539" s="3">
        <v>40</v>
      </c>
      <c r="F1539" s="4">
        <v>7.0969340000000001</v>
      </c>
      <c r="G1539" s="4">
        <v>-73.884159999999994</v>
      </c>
      <c r="H1539" s="9">
        <f t="shared" ref="H1539:H1602" si="72">IF(C1539&gt;D1539,C1539/E1539,D1539/E1539)</f>
        <v>0.39500000000000002</v>
      </c>
      <c r="I1539" s="4" t="str">
        <f t="shared" ref="I1539:I1602" si="73">IF(H1539&gt;100%,"Altamente critico &gt;100%",IF(H1539&gt;95%,"Critico &gt;95%",IF(H1539&gt;85%,"En riesgo &gt;85%","Sin riesgo &lt;85%")))</f>
        <v>Sin riesgo &lt;85%</v>
      </c>
      <c r="J1539" s="1" t="s">
        <v>13</v>
      </c>
      <c r="K1539" s="1" t="str">
        <f t="shared" ref="K1539:K1602" si="74">IF(J1539="&gt;5","Sin riesgo",IF(J1539&gt;1.5,"Estado de alerta","Estado critico"))</f>
        <v>Sin riesgo</v>
      </c>
    </row>
    <row r="1540" spans="1:11">
      <c r="A1540" s="1" t="s">
        <v>526</v>
      </c>
      <c r="B1540" s="6" t="s">
        <v>15</v>
      </c>
      <c r="C1540" s="3">
        <v>15.8</v>
      </c>
      <c r="D1540" s="3">
        <v>14.87</v>
      </c>
      <c r="E1540" s="3">
        <v>40</v>
      </c>
      <c r="F1540" s="4">
        <v>7.0969340000000001</v>
      </c>
      <c r="G1540" s="4">
        <v>-73.884159999999994</v>
      </c>
      <c r="H1540" s="9">
        <f t="shared" si="72"/>
        <v>0.39500000000000002</v>
      </c>
      <c r="I1540" s="4" t="str">
        <f t="shared" si="73"/>
        <v>Sin riesgo &lt;85%</v>
      </c>
      <c r="J1540" s="1" t="s">
        <v>13</v>
      </c>
      <c r="K1540" s="1" t="str">
        <f t="shared" si="74"/>
        <v>Sin riesgo</v>
      </c>
    </row>
    <row r="1541" spans="1:11">
      <c r="A1541" s="1" t="s">
        <v>527</v>
      </c>
      <c r="B1541" s="6" t="s">
        <v>12</v>
      </c>
      <c r="C1541" s="3">
        <v>21.86</v>
      </c>
      <c r="D1541" s="3">
        <v>19.64</v>
      </c>
      <c r="E1541" s="3">
        <v>40</v>
      </c>
      <c r="F1541" s="4">
        <v>7.052753</v>
      </c>
      <c r="G1541" s="4">
        <v>-73.11242</v>
      </c>
      <c r="H1541" s="9">
        <f t="shared" si="72"/>
        <v>0.54649999999999999</v>
      </c>
      <c r="I1541" s="4" t="str">
        <f t="shared" si="73"/>
        <v>Sin riesgo &lt;85%</v>
      </c>
      <c r="J1541" s="1" t="s">
        <v>13</v>
      </c>
      <c r="K1541" s="1" t="str">
        <f t="shared" si="74"/>
        <v>Sin riesgo</v>
      </c>
    </row>
    <row r="1542" spans="1:11">
      <c r="A1542" s="1" t="s">
        <v>527</v>
      </c>
      <c r="B1542" s="6" t="s">
        <v>14</v>
      </c>
      <c r="C1542" s="3">
        <v>22.3</v>
      </c>
      <c r="D1542" s="3">
        <v>20.07</v>
      </c>
      <c r="E1542" s="3">
        <v>40</v>
      </c>
      <c r="F1542" s="4">
        <v>7.052753</v>
      </c>
      <c r="G1542" s="4">
        <v>-73.11242</v>
      </c>
      <c r="H1542" s="9">
        <f t="shared" si="72"/>
        <v>0.5575</v>
      </c>
      <c r="I1542" s="4" t="str">
        <f t="shared" si="73"/>
        <v>Sin riesgo &lt;85%</v>
      </c>
      <c r="J1542" s="1" t="s">
        <v>13</v>
      </c>
      <c r="K1542" s="1" t="str">
        <f t="shared" si="74"/>
        <v>Sin riesgo</v>
      </c>
    </row>
    <row r="1543" spans="1:11">
      <c r="A1543" s="1" t="s">
        <v>527</v>
      </c>
      <c r="B1543" s="6" t="s">
        <v>15</v>
      </c>
      <c r="C1543" s="3">
        <v>22.29</v>
      </c>
      <c r="D1543" s="3">
        <v>20.07</v>
      </c>
      <c r="E1543" s="3">
        <v>40</v>
      </c>
      <c r="F1543" s="4">
        <v>7.052753</v>
      </c>
      <c r="G1543" s="4">
        <v>-73.11242</v>
      </c>
      <c r="H1543" s="9">
        <f t="shared" si="72"/>
        <v>0.55725000000000002</v>
      </c>
      <c r="I1543" s="4" t="str">
        <f t="shared" si="73"/>
        <v>Sin riesgo &lt;85%</v>
      </c>
      <c r="J1543" s="1" t="s">
        <v>13</v>
      </c>
      <c r="K1543" s="1" t="str">
        <f t="shared" si="74"/>
        <v>Sin riesgo</v>
      </c>
    </row>
    <row r="1544" spans="1:11">
      <c r="A1544" s="1" t="s">
        <v>528</v>
      </c>
      <c r="B1544" s="6" t="s">
        <v>12</v>
      </c>
      <c r="C1544" s="3">
        <v>17.440000000000001</v>
      </c>
      <c r="D1544" s="3">
        <v>19.34</v>
      </c>
      <c r="E1544" s="3">
        <v>25</v>
      </c>
      <c r="F1544" s="4">
        <v>7.052753</v>
      </c>
      <c r="G1544" s="4">
        <v>-73.11242</v>
      </c>
      <c r="H1544" s="9">
        <f t="shared" si="72"/>
        <v>0.77359999999999995</v>
      </c>
      <c r="I1544" s="4" t="str">
        <f t="shared" si="73"/>
        <v>Sin riesgo &lt;85%</v>
      </c>
      <c r="J1544" s="1" t="s">
        <v>13</v>
      </c>
      <c r="K1544" s="1" t="str">
        <f t="shared" si="74"/>
        <v>Sin riesgo</v>
      </c>
    </row>
    <row r="1545" spans="1:11">
      <c r="A1545" s="1" t="s">
        <v>528</v>
      </c>
      <c r="B1545" s="6" t="s">
        <v>14</v>
      </c>
      <c r="C1545" s="3">
        <v>17.809999999999999</v>
      </c>
      <c r="D1545" s="3">
        <v>19.739999999999998</v>
      </c>
      <c r="E1545" s="3">
        <v>25</v>
      </c>
      <c r="F1545" s="4">
        <v>7.052753</v>
      </c>
      <c r="G1545" s="4">
        <v>-73.11242</v>
      </c>
      <c r="H1545" s="9">
        <f t="shared" si="72"/>
        <v>0.78959999999999997</v>
      </c>
      <c r="I1545" s="4" t="str">
        <f t="shared" si="73"/>
        <v>Sin riesgo &lt;85%</v>
      </c>
      <c r="J1545" s="1" t="s">
        <v>13</v>
      </c>
      <c r="K1545" s="1" t="str">
        <f t="shared" si="74"/>
        <v>Sin riesgo</v>
      </c>
    </row>
    <row r="1546" spans="1:11">
      <c r="A1546" s="1" t="s">
        <v>528</v>
      </c>
      <c r="B1546" s="6" t="s">
        <v>15</v>
      </c>
      <c r="C1546" s="3">
        <v>17.809999999999999</v>
      </c>
      <c r="D1546" s="3">
        <v>19.739999999999998</v>
      </c>
      <c r="E1546" s="3">
        <v>25</v>
      </c>
      <c r="F1546" s="4">
        <v>7.052753</v>
      </c>
      <c r="G1546" s="4">
        <v>-73.11242</v>
      </c>
      <c r="H1546" s="9">
        <f t="shared" si="72"/>
        <v>0.78959999999999997</v>
      </c>
      <c r="I1546" s="4" t="str">
        <f t="shared" si="73"/>
        <v>Sin riesgo &lt;85%</v>
      </c>
      <c r="J1546" s="1" t="s">
        <v>13</v>
      </c>
      <c r="K1546" s="1" t="str">
        <f t="shared" si="74"/>
        <v>Sin riesgo</v>
      </c>
    </row>
    <row r="1547" spans="1:11">
      <c r="A1547" s="1" t="s">
        <v>529</v>
      </c>
      <c r="B1547" s="6" t="s">
        <v>12</v>
      </c>
      <c r="C1547" s="3">
        <v>10.91</v>
      </c>
      <c r="D1547" s="3">
        <v>12.47</v>
      </c>
      <c r="E1547" s="3">
        <v>25</v>
      </c>
      <c r="F1547" s="11"/>
      <c r="G1547" s="11"/>
      <c r="H1547" s="9">
        <f t="shared" si="72"/>
        <v>0.49880000000000002</v>
      </c>
      <c r="I1547" s="4" t="str">
        <f t="shared" si="73"/>
        <v>Sin riesgo &lt;85%</v>
      </c>
      <c r="J1547" s="1" t="s">
        <v>13</v>
      </c>
      <c r="K1547" s="1" t="str">
        <f t="shared" si="74"/>
        <v>Sin riesgo</v>
      </c>
    </row>
    <row r="1548" spans="1:11">
      <c r="A1548" s="1" t="s">
        <v>529</v>
      </c>
      <c r="B1548" s="6" t="s">
        <v>14</v>
      </c>
      <c r="C1548" s="3">
        <v>11.09</v>
      </c>
      <c r="D1548" s="3">
        <v>12.7</v>
      </c>
      <c r="E1548" s="3">
        <v>25</v>
      </c>
      <c r="F1548" s="11"/>
      <c r="G1548" s="11"/>
      <c r="H1548" s="9">
        <f t="shared" si="72"/>
        <v>0.50800000000000001</v>
      </c>
      <c r="I1548" s="4" t="str">
        <f t="shared" si="73"/>
        <v>Sin riesgo &lt;85%</v>
      </c>
      <c r="J1548" s="1" t="s">
        <v>13</v>
      </c>
      <c r="K1548" s="1" t="str">
        <f t="shared" si="74"/>
        <v>Sin riesgo</v>
      </c>
    </row>
    <row r="1549" spans="1:11">
      <c r="A1549" s="1" t="s">
        <v>529</v>
      </c>
      <c r="B1549" s="6" t="s">
        <v>15</v>
      </c>
      <c r="C1549" s="3">
        <v>11.08</v>
      </c>
      <c r="D1549" s="3">
        <v>12.7</v>
      </c>
      <c r="E1549" s="3">
        <v>25</v>
      </c>
      <c r="F1549" s="11"/>
      <c r="G1549" s="11"/>
      <c r="H1549" s="9">
        <f t="shared" si="72"/>
        <v>0.50800000000000001</v>
      </c>
      <c r="I1549" s="4" t="str">
        <f t="shared" si="73"/>
        <v>Sin riesgo &lt;85%</v>
      </c>
      <c r="J1549" s="1" t="s">
        <v>13</v>
      </c>
      <c r="K1549" s="1" t="str">
        <f t="shared" si="74"/>
        <v>Sin riesgo</v>
      </c>
    </row>
    <row r="1550" spans="1:11">
      <c r="A1550" s="1" t="s">
        <v>530</v>
      </c>
      <c r="B1550" s="6" t="s">
        <v>12</v>
      </c>
      <c r="C1550" s="3">
        <v>12.29</v>
      </c>
      <c r="D1550" s="3">
        <v>11.12</v>
      </c>
      <c r="E1550" s="3">
        <v>25</v>
      </c>
      <c r="F1550" s="4">
        <v>7.0482529999999999</v>
      </c>
      <c r="G1550" s="4">
        <v>-73.824720999999997</v>
      </c>
      <c r="H1550" s="9">
        <f t="shared" si="72"/>
        <v>0.49159999999999998</v>
      </c>
      <c r="I1550" s="4" t="str">
        <f t="shared" si="73"/>
        <v>Sin riesgo &lt;85%</v>
      </c>
      <c r="J1550" s="1" t="s">
        <v>13</v>
      </c>
      <c r="K1550" s="1" t="str">
        <f t="shared" si="74"/>
        <v>Sin riesgo</v>
      </c>
    </row>
    <row r="1551" spans="1:11">
      <c r="A1551" s="1" t="s">
        <v>530</v>
      </c>
      <c r="B1551" s="6" t="s">
        <v>14</v>
      </c>
      <c r="C1551" s="3">
        <v>12.56</v>
      </c>
      <c r="D1551" s="3">
        <v>11.39</v>
      </c>
      <c r="E1551" s="3">
        <v>25</v>
      </c>
      <c r="F1551" s="4">
        <v>7.0482529999999999</v>
      </c>
      <c r="G1551" s="4">
        <v>-73.824720999999997</v>
      </c>
      <c r="H1551" s="9">
        <f t="shared" si="72"/>
        <v>0.50240000000000007</v>
      </c>
      <c r="I1551" s="4" t="str">
        <f t="shared" si="73"/>
        <v>Sin riesgo &lt;85%</v>
      </c>
      <c r="J1551" s="1" t="s">
        <v>13</v>
      </c>
      <c r="K1551" s="1" t="str">
        <f t="shared" si="74"/>
        <v>Sin riesgo</v>
      </c>
    </row>
    <row r="1552" spans="1:11">
      <c r="A1552" s="1" t="s">
        <v>530</v>
      </c>
      <c r="B1552" s="6" t="s">
        <v>15</v>
      </c>
      <c r="C1552" s="3">
        <v>12.56</v>
      </c>
      <c r="D1552" s="3">
        <v>11.39</v>
      </c>
      <c r="E1552" s="3">
        <v>25</v>
      </c>
      <c r="F1552" s="4">
        <v>7.0482529999999999</v>
      </c>
      <c r="G1552" s="4">
        <v>-73.824720999999997</v>
      </c>
      <c r="H1552" s="9">
        <f t="shared" si="72"/>
        <v>0.50240000000000007</v>
      </c>
      <c r="I1552" s="4" t="str">
        <f t="shared" si="73"/>
        <v>Sin riesgo &lt;85%</v>
      </c>
      <c r="J1552" s="1" t="s">
        <v>13</v>
      </c>
      <c r="K1552" s="1" t="str">
        <f t="shared" si="74"/>
        <v>Sin riesgo</v>
      </c>
    </row>
    <row r="1553" spans="1:11">
      <c r="A1553" s="1" t="s">
        <v>531</v>
      </c>
      <c r="B1553" s="6" t="s">
        <v>12</v>
      </c>
      <c r="C1553" s="3">
        <v>7.6</v>
      </c>
      <c r="D1553" s="3">
        <v>8.89</v>
      </c>
      <c r="E1553" s="3">
        <v>40</v>
      </c>
      <c r="F1553" s="11"/>
      <c r="G1553" s="11"/>
      <c r="H1553" s="9">
        <f t="shared" si="72"/>
        <v>0.22225</v>
      </c>
      <c r="I1553" s="4" t="str">
        <f t="shared" si="73"/>
        <v>Sin riesgo &lt;85%</v>
      </c>
      <c r="J1553" s="1" t="s">
        <v>13</v>
      </c>
      <c r="K1553" s="1" t="str">
        <f t="shared" si="74"/>
        <v>Sin riesgo</v>
      </c>
    </row>
    <row r="1554" spans="1:11">
      <c r="A1554" s="1" t="s">
        <v>531</v>
      </c>
      <c r="B1554" s="6" t="s">
        <v>14</v>
      </c>
      <c r="C1554" s="3">
        <v>7.75</v>
      </c>
      <c r="D1554" s="3">
        <v>9.08</v>
      </c>
      <c r="E1554" s="3">
        <v>40</v>
      </c>
      <c r="F1554" s="11"/>
      <c r="G1554" s="11"/>
      <c r="H1554" s="9">
        <f t="shared" si="72"/>
        <v>0.22700000000000001</v>
      </c>
      <c r="I1554" s="4" t="str">
        <f t="shared" si="73"/>
        <v>Sin riesgo &lt;85%</v>
      </c>
      <c r="J1554" s="1" t="s">
        <v>13</v>
      </c>
      <c r="K1554" s="1" t="str">
        <f t="shared" si="74"/>
        <v>Sin riesgo</v>
      </c>
    </row>
    <row r="1555" spans="1:11">
      <c r="A1555" s="1" t="s">
        <v>531</v>
      </c>
      <c r="B1555" s="6" t="s">
        <v>15</v>
      </c>
      <c r="C1555" s="3">
        <v>7.75</v>
      </c>
      <c r="D1555" s="3">
        <v>9.08</v>
      </c>
      <c r="E1555" s="3">
        <v>40</v>
      </c>
      <c r="F1555" s="11"/>
      <c r="G1555" s="11"/>
      <c r="H1555" s="9">
        <f t="shared" si="72"/>
        <v>0.22700000000000001</v>
      </c>
      <c r="I1555" s="4" t="str">
        <f t="shared" si="73"/>
        <v>Sin riesgo &lt;85%</v>
      </c>
      <c r="J1555" s="1" t="s">
        <v>13</v>
      </c>
      <c r="K1555" s="1" t="str">
        <f t="shared" si="74"/>
        <v>Sin riesgo</v>
      </c>
    </row>
    <row r="1556" spans="1:11">
      <c r="A1556" s="1" t="s">
        <v>532</v>
      </c>
      <c r="B1556" s="6" t="s">
        <v>12</v>
      </c>
      <c r="C1556" s="3">
        <v>17.940000000000001</v>
      </c>
      <c r="D1556" s="3">
        <v>15.65</v>
      </c>
      <c r="E1556" s="3">
        <v>20</v>
      </c>
      <c r="F1556" s="11"/>
      <c r="G1556" s="11"/>
      <c r="H1556" s="9">
        <f t="shared" si="72"/>
        <v>0.89700000000000002</v>
      </c>
      <c r="I1556" s="4" t="str">
        <f t="shared" si="73"/>
        <v>En riesgo &gt;85%</v>
      </c>
      <c r="J1556" s="1" t="s">
        <v>13</v>
      </c>
      <c r="K1556" s="1" t="str">
        <f t="shared" si="74"/>
        <v>Sin riesgo</v>
      </c>
    </row>
    <row r="1557" spans="1:11">
      <c r="A1557" s="1" t="s">
        <v>532</v>
      </c>
      <c r="B1557" s="6" t="s">
        <v>14</v>
      </c>
      <c r="C1557" s="3">
        <v>18.329999999999998</v>
      </c>
      <c r="D1557" s="3">
        <v>16.02</v>
      </c>
      <c r="E1557" s="3">
        <v>20</v>
      </c>
      <c r="F1557" s="11"/>
      <c r="G1557" s="11"/>
      <c r="H1557" s="9">
        <f t="shared" si="72"/>
        <v>0.91649999999999987</v>
      </c>
      <c r="I1557" s="4" t="str">
        <f t="shared" si="73"/>
        <v>En riesgo &gt;85%</v>
      </c>
      <c r="J1557" s="1" t="s">
        <v>13</v>
      </c>
      <c r="K1557" s="1" t="str">
        <f t="shared" si="74"/>
        <v>Sin riesgo</v>
      </c>
    </row>
    <row r="1558" spans="1:11">
      <c r="A1558" s="1" t="s">
        <v>532</v>
      </c>
      <c r="B1558" s="6" t="s">
        <v>15</v>
      </c>
      <c r="C1558" s="3">
        <v>18.329999999999998</v>
      </c>
      <c r="D1558" s="3">
        <v>16.010000000000002</v>
      </c>
      <c r="E1558" s="3">
        <v>20</v>
      </c>
      <c r="F1558" s="11"/>
      <c r="G1558" s="11"/>
      <c r="H1558" s="9">
        <f t="shared" si="72"/>
        <v>0.91649999999999987</v>
      </c>
      <c r="I1558" s="4" t="str">
        <f t="shared" si="73"/>
        <v>En riesgo &gt;85%</v>
      </c>
      <c r="J1558" s="1" t="s">
        <v>13</v>
      </c>
      <c r="K1558" s="1" t="str">
        <f t="shared" si="74"/>
        <v>Sin riesgo</v>
      </c>
    </row>
    <row r="1559" spans="1:11">
      <c r="A1559" s="1" t="s">
        <v>533</v>
      </c>
      <c r="B1559" s="6" t="s">
        <v>12</v>
      </c>
      <c r="C1559" s="3">
        <v>10.039999999999999</v>
      </c>
      <c r="D1559" s="3">
        <v>12</v>
      </c>
      <c r="E1559" s="3">
        <v>40</v>
      </c>
      <c r="F1559" s="4">
        <v>7.1056150000000002</v>
      </c>
      <c r="G1559" s="4">
        <v>-73.109228999999999</v>
      </c>
      <c r="H1559" s="9">
        <f t="shared" si="72"/>
        <v>0.3</v>
      </c>
      <c r="I1559" s="4" t="str">
        <f t="shared" si="73"/>
        <v>Sin riesgo &lt;85%</v>
      </c>
      <c r="J1559" s="1" t="s">
        <v>13</v>
      </c>
      <c r="K1559" s="1" t="str">
        <f t="shared" si="74"/>
        <v>Sin riesgo</v>
      </c>
    </row>
    <row r="1560" spans="1:11">
      <c r="A1560" s="1" t="s">
        <v>533</v>
      </c>
      <c r="B1560" s="6" t="s">
        <v>14</v>
      </c>
      <c r="C1560" s="3">
        <v>10.210000000000001</v>
      </c>
      <c r="D1560" s="3">
        <v>12.23</v>
      </c>
      <c r="E1560" s="3">
        <v>40</v>
      </c>
      <c r="F1560" s="4">
        <v>7.1056150000000002</v>
      </c>
      <c r="G1560" s="4">
        <v>-73.109228999999999</v>
      </c>
      <c r="H1560" s="9">
        <f t="shared" si="72"/>
        <v>0.30575000000000002</v>
      </c>
      <c r="I1560" s="4" t="str">
        <f t="shared" si="73"/>
        <v>Sin riesgo &lt;85%</v>
      </c>
      <c r="J1560" s="1" t="s">
        <v>13</v>
      </c>
      <c r="K1560" s="1" t="str">
        <f t="shared" si="74"/>
        <v>Sin riesgo</v>
      </c>
    </row>
    <row r="1561" spans="1:11">
      <c r="A1561" s="1" t="s">
        <v>533</v>
      </c>
      <c r="B1561" s="6" t="s">
        <v>15</v>
      </c>
      <c r="C1561" s="3">
        <v>10.210000000000001</v>
      </c>
      <c r="D1561" s="3">
        <v>12.22</v>
      </c>
      <c r="E1561" s="3">
        <v>40</v>
      </c>
      <c r="F1561" s="4">
        <v>7.1056150000000002</v>
      </c>
      <c r="G1561" s="4">
        <v>-73.109228999999999</v>
      </c>
      <c r="H1561" s="9">
        <f t="shared" si="72"/>
        <v>0.30549999999999999</v>
      </c>
      <c r="I1561" s="4" t="str">
        <f t="shared" si="73"/>
        <v>Sin riesgo &lt;85%</v>
      </c>
      <c r="J1561" s="1" t="s">
        <v>13</v>
      </c>
      <c r="K1561" s="1" t="str">
        <f t="shared" si="74"/>
        <v>Sin riesgo</v>
      </c>
    </row>
    <row r="1562" spans="1:11">
      <c r="A1562" s="1" t="s">
        <v>534</v>
      </c>
      <c r="B1562" s="6" t="s">
        <v>12</v>
      </c>
      <c r="C1562" s="3">
        <v>19.07</v>
      </c>
      <c r="D1562" s="3">
        <v>18.53</v>
      </c>
      <c r="E1562" s="3">
        <v>25</v>
      </c>
      <c r="F1562" s="4">
        <v>4.6916928699999998</v>
      </c>
      <c r="G1562" s="4">
        <v>-74.113607029999997</v>
      </c>
      <c r="H1562" s="9">
        <f t="shared" si="72"/>
        <v>0.76280000000000003</v>
      </c>
      <c r="I1562" s="4" t="str">
        <f t="shared" si="73"/>
        <v>Sin riesgo &lt;85%</v>
      </c>
      <c r="J1562" s="1" t="s">
        <v>13</v>
      </c>
      <c r="K1562" s="1" t="str">
        <f t="shared" si="74"/>
        <v>Sin riesgo</v>
      </c>
    </row>
    <row r="1563" spans="1:11">
      <c r="A1563" s="1" t="s">
        <v>534</v>
      </c>
      <c r="B1563" s="6" t="s">
        <v>14</v>
      </c>
      <c r="C1563" s="3">
        <v>19.47</v>
      </c>
      <c r="D1563" s="3">
        <v>18.97</v>
      </c>
      <c r="E1563" s="3">
        <v>25</v>
      </c>
      <c r="F1563" s="4">
        <v>4.6916928699999998</v>
      </c>
      <c r="G1563" s="4">
        <v>-74.113607029999997</v>
      </c>
      <c r="H1563" s="9">
        <f t="shared" si="72"/>
        <v>0.77879999999999994</v>
      </c>
      <c r="I1563" s="4" t="str">
        <f t="shared" si="73"/>
        <v>Sin riesgo &lt;85%</v>
      </c>
      <c r="J1563" s="1" t="s">
        <v>13</v>
      </c>
      <c r="K1563" s="1" t="str">
        <f t="shared" si="74"/>
        <v>Sin riesgo</v>
      </c>
    </row>
    <row r="1564" spans="1:11">
      <c r="A1564" s="1" t="s">
        <v>534</v>
      </c>
      <c r="B1564" s="6" t="s">
        <v>15</v>
      </c>
      <c r="C1564" s="3">
        <v>19.47</v>
      </c>
      <c r="D1564" s="3">
        <v>18.96</v>
      </c>
      <c r="E1564" s="3">
        <v>25</v>
      </c>
      <c r="F1564" s="4">
        <v>4.6916928699999998</v>
      </c>
      <c r="G1564" s="4">
        <v>-74.113607029999997</v>
      </c>
      <c r="H1564" s="9">
        <f t="shared" si="72"/>
        <v>0.77879999999999994</v>
      </c>
      <c r="I1564" s="4" t="str">
        <f t="shared" si="73"/>
        <v>Sin riesgo &lt;85%</v>
      </c>
      <c r="J1564" s="1" t="s">
        <v>13</v>
      </c>
      <c r="K1564" s="1" t="str">
        <f t="shared" si="74"/>
        <v>Sin riesgo</v>
      </c>
    </row>
    <row r="1565" spans="1:11">
      <c r="A1565" s="1" t="s">
        <v>535</v>
      </c>
      <c r="B1565" s="6" t="s">
        <v>12</v>
      </c>
      <c r="C1565" s="3">
        <v>22.55</v>
      </c>
      <c r="D1565" s="3">
        <v>22.88</v>
      </c>
      <c r="E1565" s="3">
        <v>25</v>
      </c>
      <c r="F1565" s="11"/>
      <c r="G1565" s="11"/>
      <c r="H1565" s="9">
        <f t="shared" si="72"/>
        <v>0.91520000000000001</v>
      </c>
      <c r="I1565" s="4" t="str">
        <f t="shared" si="73"/>
        <v>En riesgo &gt;85%</v>
      </c>
      <c r="J1565" s="1">
        <v>1.5</v>
      </c>
      <c r="K1565" s="1" t="str">
        <f t="shared" si="74"/>
        <v>Estado critico</v>
      </c>
    </row>
    <row r="1566" spans="1:11">
      <c r="A1566" s="1" t="s">
        <v>535</v>
      </c>
      <c r="B1566" s="6" t="s">
        <v>14</v>
      </c>
      <c r="C1566" s="3">
        <v>23.11</v>
      </c>
      <c r="D1566" s="3">
        <v>23.27</v>
      </c>
      <c r="E1566" s="3">
        <v>25</v>
      </c>
      <c r="F1566" s="11"/>
      <c r="G1566" s="11"/>
      <c r="H1566" s="9">
        <f t="shared" si="72"/>
        <v>0.93079999999999996</v>
      </c>
      <c r="I1566" s="4" t="str">
        <f t="shared" si="73"/>
        <v>En riesgo &gt;85%</v>
      </c>
      <c r="J1566" s="1">
        <v>1.5</v>
      </c>
      <c r="K1566" s="1" t="str">
        <f t="shared" si="74"/>
        <v>Estado critico</v>
      </c>
    </row>
    <row r="1567" spans="1:11">
      <c r="A1567" s="1" t="s">
        <v>535</v>
      </c>
      <c r="B1567" s="6" t="s">
        <v>15</v>
      </c>
      <c r="C1567" s="3">
        <v>23.11</v>
      </c>
      <c r="D1567" s="3">
        <v>23.28</v>
      </c>
      <c r="E1567" s="3">
        <v>25</v>
      </c>
      <c r="F1567" s="11"/>
      <c r="G1567" s="11"/>
      <c r="H1567" s="9">
        <f t="shared" si="72"/>
        <v>0.93120000000000003</v>
      </c>
      <c r="I1567" s="4" t="str">
        <f t="shared" si="73"/>
        <v>En riesgo &gt;85%</v>
      </c>
      <c r="J1567" s="1">
        <v>1.5</v>
      </c>
      <c r="K1567" s="1" t="str">
        <f t="shared" si="74"/>
        <v>Estado critico</v>
      </c>
    </row>
    <row r="1568" spans="1:11">
      <c r="A1568" s="1" t="s">
        <v>536</v>
      </c>
      <c r="B1568" s="6" t="s">
        <v>12</v>
      </c>
      <c r="C1568" s="3">
        <v>11.41</v>
      </c>
      <c r="D1568" s="3">
        <v>9.02</v>
      </c>
      <c r="E1568" s="3">
        <v>25</v>
      </c>
      <c r="F1568" s="4">
        <v>7.1295960000000003</v>
      </c>
      <c r="G1568" s="4">
        <v>-73.549796000000001</v>
      </c>
      <c r="H1568" s="9">
        <f t="shared" si="72"/>
        <v>0.45640000000000003</v>
      </c>
      <c r="I1568" s="4" t="str">
        <f t="shared" si="73"/>
        <v>Sin riesgo &lt;85%</v>
      </c>
      <c r="J1568" s="1" t="s">
        <v>13</v>
      </c>
      <c r="K1568" s="1" t="str">
        <f t="shared" si="74"/>
        <v>Sin riesgo</v>
      </c>
    </row>
    <row r="1569" spans="1:11">
      <c r="A1569" s="1" t="s">
        <v>536</v>
      </c>
      <c r="B1569" s="6" t="s">
        <v>14</v>
      </c>
      <c r="C1569" s="3">
        <v>11.59</v>
      </c>
      <c r="D1569" s="3">
        <v>9.19</v>
      </c>
      <c r="E1569" s="3">
        <v>25</v>
      </c>
      <c r="F1569" s="4">
        <v>7.1295960000000003</v>
      </c>
      <c r="G1569" s="4">
        <v>-73.549796000000001</v>
      </c>
      <c r="H1569" s="9">
        <f t="shared" si="72"/>
        <v>0.46360000000000001</v>
      </c>
      <c r="I1569" s="4" t="str">
        <f t="shared" si="73"/>
        <v>Sin riesgo &lt;85%</v>
      </c>
      <c r="J1569" s="1" t="s">
        <v>13</v>
      </c>
      <c r="K1569" s="1" t="str">
        <f t="shared" si="74"/>
        <v>Sin riesgo</v>
      </c>
    </row>
    <row r="1570" spans="1:11">
      <c r="A1570" s="1" t="s">
        <v>536</v>
      </c>
      <c r="B1570" s="6" t="s">
        <v>15</v>
      </c>
      <c r="C1570" s="3">
        <v>11.59</v>
      </c>
      <c r="D1570" s="3">
        <v>9.19</v>
      </c>
      <c r="E1570" s="3">
        <v>25</v>
      </c>
      <c r="F1570" s="4">
        <v>7.1295960000000003</v>
      </c>
      <c r="G1570" s="4">
        <v>-73.549796000000001</v>
      </c>
      <c r="H1570" s="9">
        <f t="shared" si="72"/>
        <v>0.46360000000000001</v>
      </c>
      <c r="I1570" s="4" t="str">
        <f t="shared" si="73"/>
        <v>Sin riesgo &lt;85%</v>
      </c>
      <c r="J1570" s="1" t="s">
        <v>13</v>
      </c>
      <c r="K1570" s="1" t="str">
        <f t="shared" si="74"/>
        <v>Sin riesgo</v>
      </c>
    </row>
    <row r="1571" spans="1:11">
      <c r="A1571" s="1" t="s">
        <v>537</v>
      </c>
      <c r="B1571" s="6" t="s">
        <v>12</v>
      </c>
      <c r="C1571" s="3">
        <v>4.3499999999999996</v>
      </c>
      <c r="D1571" s="3">
        <v>5.97</v>
      </c>
      <c r="E1571" s="3">
        <v>40</v>
      </c>
      <c r="F1571" s="11"/>
      <c r="G1571" s="11"/>
      <c r="H1571" s="9">
        <f t="shared" si="72"/>
        <v>0.14924999999999999</v>
      </c>
      <c r="I1571" s="4" t="str">
        <f t="shared" si="73"/>
        <v>Sin riesgo &lt;85%</v>
      </c>
      <c r="J1571" s="1" t="s">
        <v>13</v>
      </c>
      <c r="K1571" s="1" t="str">
        <f t="shared" si="74"/>
        <v>Sin riesgo</v>
      </c>
    </row>
    <row r="1572" spans="1:11">
      <c r="A1572" s="1" t="s">
        <v>537</v>
      </c>
      <c r="B1572" s="6" t="s">
        <v>14</v>
      </c>
      <c r="C1572" s="3">
        <v>5.38</v>
      </c>
      <c r="D1572" s="3">
        <v>7.49</v>
      </c>
      <c r="E1572" s="3">
        <v>40</v>
      </c>
      <c r="F1572" s="11"/>
      <c r="G1572" s="11"/>
      <c r="H1572" s="9">
        <f t="shared" si="72"/>
        <v>0.18725</v>
      </c>
      <c r="I1572" s="4" t="str">
        <f t="shared" si="73"/>
        <v>Sin riesgo &lt;85%</v>
      </c>
      <c r="J1572" s="1" t="s">
        <v>13</v>
      </c>
      <c r="K1572" s="1" t="str">
        <f t="shared" si="74"/>
        <v>Sin riesgo</v>
      </c>
    </row>
    <row r="1573" spans="1:11">
      <c r="A1573" s="1" t="s">
        <v>537</v>
      </c>
      <c r="B1573" s="6" t="s">
        <v>15</v>
      </c>
      <c r="C1573" s="3">
        <v>5.38</v>
      </c>
      <c r="D1573" s="3">
        <v>7.48</v>
      </c>
      <c r="E1573" s="3">
        <v>40</v>
      </c>
      <c r="F1573" s="11"/>
      <c r="G1573" s="11"/>
      <c r="H1573" s="9">
        <f t="shared" si="72"/>
        <v>0.187</v>
      </c>
      <c r="I1573" s="4" t="str">
        <f t="shared" si="73"/>
        <v>Sin riesgo &lt;85%</v>
      </c>
      <c r="J1573" s="1" t="s">
        <v>13</v>
      </c>
      <c r="K1573" s="1" t="str">
        <f t="shared" si="74"/>
        <v>Sin riesgo</v>
      </c>
    </row>
    <row r="1574" spans="1:11">
      <c r="A1574" s="1" t="s">
        <v>538</v>
      </c>
      <c r="B1574" s="6" t="s">
        <v>12</v>
      </c>
      <c r="C1574" s="3">
        <v>23.7</v>
      </c>
      <c r="D1574" s="3">
        <v>21.53</v>
      </c>
      <c r="E1574" s="3">
        <v>25</v>
      </c>
      <c r="F1574" s="4">
        <v>7.0975130000000002</v>
      </c>
      <c r="G1574" s="4">
        <v>-73.166321999999994</v>
      </c>
      <c r="H1574" s="9">
        <f t="shared" si="72"/>
        <v>0.94799999999999995</v>
      </c>
      <c r="I1574" s="4" t="str">
        <f t="shared" si="73"/>
        <v>En riesgo &gt;85%</v>
      </c>
      <c r="J1574" s="1" t="s">
        <v>13</v>
      </c>
      <c r="K1574" s="1" t="str">
        <f t="shared" si="74"/>
        <v>Sin riesgo</v>
      </c>
    </row>
    <row r="1575" spans="1:11">
      <c r="A1575" s="1" t="s">
        <v>538</v>
      </c>
      <c r="B1575" s="6" t="s">
        <v>14</v>
      </c>
      <c r="C1575" s="3">
        <v>24.1</v>
      </c>
      <c r="D1575" s="3">
        <v>21.93</v>
      </c>
      <c r="E1575" s="3">
        <v>25</v>
      </c>
      <c r="F1575" s="4">
        <v>7.0975130000000002</v>
      </c>
      <c r="G1575" s="4">
        <v>-73.166321999999994</v>
      </c>
      <c r="H1575" s="9">
        <f t="shared" si="72"/>
        <v>0.96400000000000008</v>
      </c>
      <c r="I1575" s="4" t="str">
        <f t="shared" si="73"/>
        <v>Critico &gt;95%</v>
      </c>
      <c r="J1575" s="1" t="s">
        <v>13</v>
      </c>
      <c r="K1575" s="1" t="str">
        <f t="shared" si="74"/>
        <v>Sin riesgo</v>
      </c>
    </row>
    <row r="1576" spans="1:11">
      <c r="A1576" s="1" t="s">
        <v>538</v>
      </c>
      <c r="B1576" s="6" t="s">
        <v>15</v>
      </c>
      <c r="C1576" s="3">
        <v>24.1</v>
      </c>
      <c r="D1576" s="3">
        <v>21.93</v>
      </c>
      <c r="E1576" s="3">
        <v>25</v>
      </c>
      <c r="F1576" s="4">
        <v>7.0975130000000002</v>
      </c>
      <c r="G1576" s="4">
        <v>-73.166321999999994</v>
      </c>
      <c r="H1576" s="9">
        <f t="shared" si="72"/>
        <v>0.96400000000000008</v>
      </c>
      <c r="I1576" s="4" t="str">
        <f t="shared" si="73"/>
        <v>Critico &gt;95%</v>
      </c>
      <c r="J1576" s="1" t="s">
        <v>13</v>
      </c>
      <c r="K1576" s="1" t="str">
        <f t="shared" si="74"/>
        <v>Sin riesgo</v>
      </c>
    </row>
    <row r="1577" spans="1:11">
      <c r="A1577" s="1" t="s">
        <v>539</v>
      </c>
      <c r="B1577" s="6" t="s">
        <v>12</v>
      </c>
      <c r="C1577" s="3">
        <v>17.350000000000001</v>
      </c>
      <c r="D1577" s="3">
        <v>20.41</v>
      </c>
      <c r="E1577" s="3">
        <v>50</v>
      </c>
      <c r="F1577" s="4">
        <v>7.0975130000000002</v>
      </c>
      <c r="G1577" s="4">
        <v>-73.166321999999994</v>
      </c>
      <c r="H1577" s="9">
        <f t="shared" si="72"/>
        <v>0.40820000000000001</v>
      </c>
      <c r="I1577" s="4" t="str">
        <f t="shared" si="73"/>
        <v>Sin riesgo &lt;85%</v>
      </c>
      <c r="J1577" s="1" t="s">
        <v>13</v>
      </c>
      <c r="K1577" s="1" t="str">
        <f t="shared" si="74"/>
        <v>Sin riesgo</v>
      </c>
    </row>
    <row r="1578" spans="1:11">
      <c r="A1578" s="1" t="s">
        <v>539</v>
      </c>
      <c r="B1578" s="6" t="s">
        <v>14</v>
      </c>
      <c r="C1578" s="3">
        <v>17.649999999999999</v>
      </c>
      <c r="D1578" s="3">
        <v>20.78</v>
      </c>
      <c r="E1578" s="3">
        <v>50</v>
      </c>
      <c r="F1578" s="4">
        <v>7.0975130000000002</v>
      </c>
      <c r="G1578" s="4">
        <v>-73.166321999999994</v>
      </c>
      <c r="H1578" s="9">
        <f t="shared" si="72"/>
        <v>0.41560000000000002</v>
      </c>
      <c r="I1578" s="4" t="str">
        <f t="shared" si="73"/>
        <v>Sin riesgo &lt;85%</v>
      </c>
      <c r="J1578" s="1" t="s">
        <v>13</v>
      </c>
      <c r="K1578" s="1" t="str">
        <f t="shared" si="74"/>
        <v>Sin riesgo</v>
      </c>
    </row>
    <row r="1579" spans="1:11">
      <c r="A1579" s="1" t="s">
        <v>539</v>
      </c>
      <c r="B1579" s="6" t="s">
        <v>15</v>
      </c>
      <c r="C1579" s="3">
        <v>17.649999999999999</v>
      </c>
      <c r="D1579" s="3">
        <v>20.78</v>
      </c>
      <c r="E1579" s="3">
        <v>50</v>
      </c>
      <c r="F1579" s="4">
        <v>7.0975130000000002</v>
      </c>
      <c r="G1579" s="4">
        <v>-73.166321999999994</v>
      </c>
      <c r="H1579" s="9">
        <f t="shared" si="72"/>
        <v>0.41560000000000002</v>
      </c>
      <c r="I1579" s="4" t="str">
        <f t="shared" si="73"/>
        <v>Sin riesgo &lt;85%</v>
      </c>
      <c r="J1579" s="1" t="s">
        <v>13</v>
      </c>
      <c r="K1579" s="1" t="str">
        <f t="shared" si="74"/>
        <v>Sin riesgo</v>
      </c>
    </row>
    <row r="1580" spans="1:11">
      <c r="A1580" s="1" t="s">
        <v>540</v>
      </c>
      <c r="B1580" s="6" t="s">
        <v>12</v>
      </c>
      <c r="C1580" s="3">
        <v>17.46</v>
      </c>
      <c r="D1580" s="3">
        <v>16.010000000000002</v>
      </c>
      <c r="E1580" s="3">
        <v>31.5</v>
      </c>
      <c r="F1580" s="11"/>
      <c r="G1580" s="11"/>
      <c r="H1580" s="9">
        <f t="shared" si="72"/>
        <v>0.55428571428571427</v>
      </c>
      <c r="I1580" s="4" t="str">
        <f t="shared" si="73"/>
        <v>Sin riesgo &lt;85%</v>
      </c>
      <c r="J1580" s="1" t="s">
        <v>13</v>
      </c>
      <c r="K1580" s="1" t="str">
        <f t="shared" si="74"/>
        <v>Sin riesgo</v>
      </c>
    </row>
    <row r="1581" spans="1:11">
      <c r="A1581" s="1" t="s">
        <v>540</v>
      </c>
      <c r="B1581" s="6" t="s">
        <v>14</v>
      </c>
      <c r="C1581" s="3">
        <v>17.75</v>
      </c>
      <c r="D1581" s="3">
        <v>16.309999999999999</v>
      </c>
      <c r="E1581" s="3">
        <v>31.5</v>
      </c>
      <c r="F1581" s="11"/>
      <c r="G1581" s="11"/>
      <c r="H1581" s="9">
        <f t="shared" si="72"/>
        <v>0.56349206349206349</v>
      </c>
      <c r="I1581" s="4" t="str">
        <f t="shared" si="73"/>
        <v>Sin riesgo &lt;85%</v>
      </c>
      <c r="J1581" s="1" t="s">
        <v>13</v>
      </c>
      <c r="K1581" s="1" t="str">
        <f t="shared" si="74"/>
        <v>Sin riesgo</v>
      </c>
    </row>
    <row r="1582" spans="1:11">
      <c r="A1582" s="1" t="s">
        <v>540</v>
      </c>
      <c r="B1582" s="6" t="s">
        <v>15</v>
      </c>
      <c r="C1582" s="3">
        <v>17.75</v>
      </c>
      <c r="D1582" s="3">
        <v>16.3</v>
      </c>
      <c r="E1582" s="3">
        <v>31.5</v>
      </c>
      <c r="F1582" s="11"/>
      <c r="G1582" s="11"/>
      <c r="H1582" s="9">
        <f t="shared" si="72"/>
        <v>0.56349206349206349</v>
      </c>
      <c r="I1582" s="4" t="str">
        <f t="shared" si="73"/>
        <v>Sin riesgo &lt;85%</v>
      </c>
      <c r="J1582" s="1" t="s">
        <v>13</v>
      </c>
      <c r="K1582" s="1" t="str">
        <f t="shared" si="74"/>
        <v>Sin riesgo</v>
      </c>
    </row>
    <row r="1583" spans="1:11">
      <c r="A1583" s="1" t="s">
        <v>541</v>
      </c>
      <c r="B1583" s="6" t="s">
        <v>12</v>
      </c>
      <c r="C1583" s="3">
        <v>14.21</v>
      </c>
      <c r="D1583" s="3">
        <v>16.29</v>
      </c>
      <c r="E1583" s="3">
        <v>25</v>
      </c>
      <c r="F1583" s="11"/>
      <c r="G1583" s="11"/>
      <c r="H1583" s="9">
        <f t="shared" si="72"/>
        <v>0.65159999999999996</v>
      </c>
      <c r="I1583" s="4" t="str">
        <f t="shared" si="73"/>
        <v>Sin riesgo &lt;85%</v>
      </c>
      <c r="J1583" s="1" t="s">
        <v>13</v>
      </c>
      <c r="K1583" s="1" t="str">
        <f t="shared" si="74"/>
        <v>Sin riesgo</v>
      </c>
    </row>
    <row r="1584" spans="1:11">
      <c r="A1584" s="1" t="s">
        <v>541</v>
      </c>
      <c r="B1584" s="6" t="s">
        <v>14</v>
      </c>
      <c r="C1584" s="3">
        <v>14.62</v>
      </c>
      <c r="D1584" s="3">
        <v>16.850000000000001</v>
      </c>
      <c r="E1584" s="3">
        <v>25</v>
      </c>
      <c r="F1584" s="11"/>
      <c r="G1584" s="11"/>
      <c r="H1584" s="9">
        <f t="shared" si="72"/>
        <v>0.67400000000000004</v>
      </c>
      <c r="I1584" s="4" t="str">
        <f t="shared" si="73"/>
        <v>Sin riesgo &lt;85%</v>
      </c>
      <c r="J1584" s="1" t="s">
        <v>13</v>
      </c>
      <c r="K1584" s="1" t="str">
        <f t="shared" si="74"/>
        <v>Sin riesgo</v>
      </c>
    </row>
    <row r="1585" spans="1:11">
      <c r="A1585" s="1" t="s">
        <v>541</v>
      </c>
      <c r="B1585" s="6" t="s">
        <v>15</v>
      </c>
      <c r="C1585" s="3">
        <v>14.62</v>
      </c>
      <c r="D1585" s="3">
        <v>16.850000000000001</v>
      </c>
      <c r="E1585" s="3">
        <v>25</v>
      </c>
      <c r="F1585" s="11"/>
      <c r="G1585" s="11"/>
      <c r="H1585" s="9">
        <f t="shared" si="72"/>
        <v>0.67400000000000004</v>
      </c>
      <c r="I1585" s="4" t="str">
        <f t="shared" si="73"/>
        <v>Sin riesgo &lt;85%</v>
      </c>
      <c r="J1585" s="1" t="s">
        <v>13</v>
      </c>
      <c r="K1585" s="1" t="str">
        <f t="shared" si="74"/>
        <v>Sin riesgo</v>
      </c>
    </row>
    <row r="1586" spans="1:11">
      <c r="A1586" s="1" t="s">
        <v>542</v>
      </c>
      <c r="B1586" s="6" t="s">
        <v>12</v>
      </c>
      <c r="C1586" s="3">
        <v>13.87</v>
      </c>
      <c r="D1586" s="3">
        <v>12.71</v>
      </c>
      <c r="E1586" s="3">
        <v>31.5</v>
      </c>
      <c r="F1586" s="4">
        <v>6.9691270000000003</v>
      </c>
      <c r="G1586" s="4">
        <v>-73.100035000000005</v>
      </c>
      <c r="H1586" s="9">
        <f t="shared" si="72"/>
        <v>0.44031746031746027</v>
      </c>
      <c r="I1586" s="4" t="str">
        <f t="shared" si="73"/>
        <v>Sin riesgo &lt;85%</v>
      </c>
      <c r="J1586" s="1" t="s">
        <v>13</v>
      </c>
      <c r="K1586" s="1" t="str">
        <f t="shared" si="74"/>
        <v>Sin riesgo</v>
      </c>
    </row>
    <row r="1587" spans="1:11">
      <c r="A1587" s="1" t="s">
        <v>542</v>
      </c>
      <c r="B1587" s="6" t="s">
        <v>14</v>
      </c>
      <c r="C1587" s="3">
        <v>14.58</v>
      </c>
      <c r="D1587" s="3">
        <v>13.45</v>
      </c>
      <c r="E1587" s="3">
        <v>31.5</v>
      </c>
      <c r="F1587" s="4">
        <v>6.9691270000000003</v>
      </c>
      <c r="G1587" s="4">
        <v>-73.100035000000005</v>
      </c>
      <c r="H1587" s="9">
        <f t="shared" si="72"/>
        <v>0.46285714285714286</v>
      </c>
      <c r="I1587" s="4" t="str">
        <f t="shared" si="73"/>
        <v>Sin riesgo &lt;85%</v>
      </c>
      <c r="J1587" s="1" t="s">
        <v>13</v>
      </c>
      <c r="K1587" s="1" t="str">
        <f t="shared" si="74"/>
        <v>Sin riesgo</v>
      </c>
    </row>
    <row r="1588" spans="1:11">
      <c r="A1588" s="1" t="s">
        <v>542</v>
      </c>
      <c r="B1588" s="6" t="s">
        <v>15</v>
      </c>
      <c r="C1588" s="3">
        <v>14.58</v>
      </c>
      <c r="D1588" s="3">
        <v>13.45</v>
      </c>
      <c r="E1588" s="3">
        <v>31.5</v>
      </c>
      <c r="F1588" s="4">
        <v>6.9691270000000003</v>
      </c>
      <c r="G1588" s="4">
        <v>-73.100035000000005</v>
      </c>
      <c r="H1588" s="9">
        <f t="shared" si="72"/>
        <v>0.46285714285714286</v>
      </c>
      <c r="I1588" s="4" t="str">
        <f t="shared" si="73"/>
        <v>Sin riesgo &lt;85%</v>
      </c>
      <c r="J1588" s="1" t="s">
        <v>13</v>
      </c>
      <c r="K1588" s="1" t="str">
        <f t="shared" si="74"/>
        <v>Sin riesgo</v>
      </c>
    </row>
    <row r="1589" spans="1:11">
      <c r="A1589" s="1" t="s">
        <v>543</v>
      </c>
      <c r="B1589" s="6" t="s">
        <v>12</v>
      </c>
      <c r="C1589" s="3">
        <v>12.8</v>
      </c>
      <c r="D1589" s="3">
        <v>13.69</v>
      </c>
      <c r="E1589" s="3">
        <v>40</v>
      </c>
      <c r="F1589" s="4">
        <v>7.1405950000000002</v>
      </c>
      <c r="G1589" s="4">
        <v>-73.126669000000007</v>
      </c>
      <c r="H1589" s="9">
        <f t="shared" si="72"/>
        <v>0.34225</v>
      </c>
      <c r="I1589" s="4" t="str">
        <f t="shared" si="73"/>
        <v>Sin riesgo &lt;85%</v>
      </c>
      <c r="J1589" s="1" t="s">
        <v>13</v>
      </c>
      <c r="K1589" s="1" t="str">
        <f t="shared" si="74"/>
        <v>Sin riesgo</v>
      </c>
    </row>
    <row r="1590" spans="1:11">
      <c r="A1590" s="1" t="s">
        <v>543</v>
      </c>
      <c r="B1590" s="6" t="s">
        <v>14</v>
      </c>
      <c r="C1590" s="3">
        <v>13.01</v>
      </c>
      <c r="D1590" s="3">
        <v>13.94</v>
      </c>
      <c r="E1590" s="3">
        <v>40</v>
      </c>
      <c r="F1590" s="4">
        <v>7.1405950000000002</v>
      </c>
      <c r="G1590" s="4">
        <v>-73.126669000000007</v>
      </c>
      <c r="H1590" s="9">
        <f t="shared" si="72"/>
        <v>0.34849999999999998</v>
      </c>
      <c r="I1590" s="4" t="str">
        <f t="shared" si="73"/>
        <v>Sin riesgo &lt;85%</v>
      </c>
      <c r="J1590" s="1" t="s">
        <v>13</v>
      </c>
      <c r="K1590" s="1" t="str">
        <f t="shared" si="74"/>
        <v>Sin riesgo</v>
      </c>
    </row>
    <row r="1591" spans="1:11">
      <c r="A1591" s="1" t="s">
        <v>543</v>
      </c>
      <c r="B1591" s="6" t="s">
        <v>15</v>
      </c>
      <c r="C1591" s="3">
        <v>13.01</v>
      </c>
      <c r="D1591" s="3">
        <v>13.94</v>
      </c>
      <c r="E1591" s="3">
        <v>40</v>
      </c>
      <c r="F1591" s="4">
        <v>7.1405950000000002</v>
      </c>
      <c r="G1591" s="4">
        <v>-73.126669000000007</v>
      </c>
      <c r="H1591" s="9">
        <f t="shared" si="72"/>
        <v>0.34849999999999998</v>
      </c>
      <c r="I1591" s="4" t="str">
        <f t="shared" si="73"/>
        <v>Sin riesgo &lt;85%</v>
      </c>
      <c r="J1591" s="1" t="s">
        <v>13</v>
      </c>
      <c r="K1591" s="1" t="str">
        <f t="shared" si="74"/>
        <v>Sin riesgo</v>
      </c>
    </row>
    <row r="1592" spans="1:11">
      <c r="A1592" s="1" t="s">
        <v>544</v>
      </c>
      <c r="B1592" s="6" t="s">
        <v>12</v>
      </c>
      <c r="C1592" s="3">
        <v>16.510000000000002</v>
      </c>
      <c r="D1592" s="3">
        <v>17.760000000000002</v>
      </c>
      <c r="E1592" s="3">
        <v>25</v>
      </c>
      <c r="F1592" s="4">
        <v>7.0954259999999998</v>
      </c>
      <c r="G1592" s="4">
        <v>-73.126656999999994</v>
      </c>
      <c r="H1592" s="9">
        <f t="shared" si="72"/>
        <v>0.71040000000000003</v>
      </c>
      <c r="I1592" s="4" t="str">
        <f t="shared" si="73"/>
        <v>Sin riesgo &lt;85%</v>
      </c>
      <c r="J1592" s="1" t="s">
        <v>13</v>
      </c>
      <c r="K1592" s="1" t="str">
        <f t="shared" si="74"/>
        <v>Sin riesgo</v>
      </c>
    </row>
    <row r="1593" spans="1:11">
      <c r="A1593" s="1" t="s">
        <v>544</v>
      </c>
      <c r="B1593" s="6" t="s">
        <v>14</v>
      </c>
      <c r="C1593" s="3">
        <v>16.79</v>
      </c>
      <c r="D1593" s="3">
        <v>18.100000000000001</v>
      </c>
      <c r="E1593" s="3">
        <v>25</v>
      </c>
      <c r="F1593" s="4">
        <v>7.0954259999999998</v>
      </c>
      <c r="G1593" s="4">
        <v>-73.126656999999994</v>
      </c>
      <c r="H1593" s="9">
        <f t="shared" si="72"/>
        <v>0.72400000000000009</v>
      </c>
      <c r="I1593" s="4" t="str">
        <f t="shared" si="73"/>
        <v>Sin riesgo &lt;85%</v>
      </c>
      <c r="J1593" s="1" t="s">
        <v>13</v>
      </c>
      <c r="K1593" s="1" t="str">
        <f t="shared" si="74"/>
        <v>Sin riesgo</v>
      </c>
    </row>
    <row r="1594" spans="1:11">
      <c r="A1594" s="1" t="s">
        <v>544</v>
      </c>
      <c r="B1594" s="6" t="s">
        <v>15</v>
      </c>
      <c r="C1594" s="3">
        <v>16.78</v>
      </c>
      <c r="D1594" s="3">
        <v>18.09</v>
      </c>
      <c r="E1594" s="3">
        <v>25</v>
      </c>
      <c r="F1594" s="4">
        <v>7.0954259999999998</v>
      </c>
      <c r="G1594" s="4">
        <v>-73.126656999999994</v>
      </c>
      <c r="H1594" s="9">
        <f t="shared" si="72"/>
        <v>0.72360000000000002</v>
      </c>
      <c r="I1594" s="4" t="str">
        <f t="shared" si="73"/>
        <v>Sin riesgo &lt;85%</v>
      </c>
      <c r="J1594" s="1" t="s">
        <v>13</v>
      </c>
      <c r="K1594" s="1" t="str">
        <f t="shared" si="74"/>
        <v>Sin riesgo</v>
      </c>
    </row>
    <row r="1595" spans="1:11">
      <c r="A1595" s="1" t="s">
        <v>545</v>
      </c>
      <c r="B1595" s="6" t="s">
        <v>12</v>
      </c>
      <c r="C1595" s="3">
        <v>14.79</v>
      </c>
      <c r="D1595" s="3">
        <v>15.64</v>
      </c>
      <c r="E1595" s="3">
        <v>40</v>
      </c>
      <c r="F1595" s="11"/>
      <c r="G1595" s="11"/>
      <c r="H1595" s="9">
        <f t="shared" si="72"/>
        <v>0.39100000000000001</v>
      </c>
      <c r="I1595" s="4" t="str">
        <f t="shared" si="73"/>
        <v>Sin riesgo &lt;85%</v>
      </c>
      <c r="J1595" s="1" t="s">
        <v>13</v>
      </c>
      <c r="K1595" s="1" t="str">
        <f t="shared" si="74"/>
        <v>Sin riesgo</v>
      </c>
    </row>
    <row r="1596" spans="1:11">
      <c r="A1596" s="1" t="s">
        <v>545</v>
      </c>
      <c r="B1596" s="6" t="s">
        <v>14</v>
      </c>
      <c r="C1596" s="3">
        <v>15.14</v>
      </c>
      <c r="D1596" s="3">
        <v>16.079999999999998</v>
      </c>
      <c r="E1596" s="3">
        <v>40</v>
      </c>
      <c r="F1596" s="11"/>
      <c r="G1596" s="11"/>
      <c r="H1596" s="9">
        <f t="shared" si="72"/>
        <v>0.40199999999999997</v>
      </c>
      <c r="I1596" s="4" t="str">
        <f t="shared" si="73"/>
        <v>Sin riesgo &lt;85%</v>
      </c>
      <c r="J1596" s="1" t="s">
        <v>13</v>
      </c>
      <c r="K1596" s="1" t="str">
        <f t="shared" si="74"/>
        <v>Sin riesgo</v>
      </c>
    </row>
    <row r="1597" spans="1:11">
      <c r="A1597" s="1" t="s">
        <v>545</v>
      </c>
      <c r="B1597" s="6" t="s">
        <v>15</v>
      </c>
      <c r="C1597" s="3">
        <v>15.13</v>
      </c>
      <c r="D1597" s="3">
        <v>16.07</v>
      </c>
      <c r="E1597" s="3">
        <v>40</v>
      </c>
      <c r="F1597" s="11"/>
      <c r="G1597" s="11"/>
      <c r="H1597" s="9">
        <f t="shared" si="72"/>
        <v>0.40175</v>
      </c>
      <c r="I1597" s="4" t="str">
        <f t="shared" si="73"/>
        <v>Sin riesgo &lt;85%</v>
      </c>
      <c r="J1597" s="1" t="s">
        <v>13</v>
      </c>
      <c r="K1597" s="1" t="str">
        <f t="shared" si="74"/>
        <v>Sin riesgo</v>
      </c>
    </row>
    <row r="1598" spans="1:11">
      <c r="A1598" s="1" t="s">
        <v>546</v>
      </c>
      <c r="B1598" s="6" t="s">
        <v>12</v>
      </c>
      <c r="C1598" s="3">
        <v>4.9000000000000004</v>
      </c>
      <c r="D1598" s="3">
        <v>5.71</v>
      </c>
      <c r="E1598" s="3">
        <v>25</v>
      </c>
      <c r="F1598" s="4">
        <v>7.3795320000000002</v>
      </c>
      <c r="G1598" s="4">
        <v>-73.494118999999998</v>
      </c>
      <c r="H1598" s="9">
        <f t="shared" si="72"/>
        <v>0.22839999999999999</v>
      </c>
      <c r="I1598" s="4" t="str">
        <f t="shared" si="73"/>
        <v>Sin riesgo &lt;85%</v>
      </c>
      <c r="J1598" s="1" t="s">
        <v>13</v>
      </c>
      <c r="K1598" s="1" t="str">
        <f t="shared" si="74"/>
        <v>Sin riesgo</v>
      </c>
    </row>
    <row r="1599" spans="1:11">
      <c r="A1599" s="1" t="s">
        <v>546</v>
      </c>
      <c r="B1599" s="6" t="s">
        <v>14</v>
      </c>
      <c r="C1599" s="3">
        <v>4.96</v>
      </c>
      <c r="D1599" s="3">
        <v>5.82</v>
      </c>
      <c r="E1599" s="3">
        <v>25</v>
      </c>
      <c r="F1599" s="4">
        <v>7.3795320000000002</v>
      </c>
      <c r="G1599" s="4">
        <v>-73.494118999999998</v>
      </c>
      <c r="H1599" s="9">
        <f t="shared" si="72"/>
        <v>0.23280000000000001</v>
      </c>
      <c r="I1599" s="4" t="str">
        <f t="shared" si="73"/>
        <v>Sin riesgo &lt;85%</v>
      </c>
      <c r="J1599" s="1" t="s">
        <v>13</v>
      </c>
      <c r="K1599" s="1" t="str">
        <f t="shared" si="74"/>
        <v>Sin riesgo</v>
      </c>
    </row>
    <row r="1600" spans="1:11">
      <c r="A1600" s="1" t="s">
        <v>546</v>
      </c>
      <c r="B1600" s="6" t="s">
        <v>15</v>
      </c>
      <c r="C1600" s="3">
        <v>4.96</v>
      </c>
      <c r="D1600" s="3">
        <v>5.81</v>
      </c>
      <c r="E1600" s="3">
        <v>25</v>
      </c>
      <c r="F1600" s="4">
        <v>7.3795320000000002</v>
      </c>
      <c r="G1600" s="4">
        <v>-73.494118999999998</v>
      </c>
      <c r="H1600" s="9">
        <f t="shared" si="72"/>
        <v>0.2324</v>
      </c>
      <c r="I1600" s="4" t="str">
        <f t="shared" si="73"/>
        <v>Sin riesgo &lt;85%</v>
      </c>
      <c r="J1600" s="1" t="s">
        <v>13</v>
      </c>
      <c r="K1600" s="1" t="str">
        <f t="shared" si="74"/>
        <v>Sin riesgo</v>
      </c>
    </row>
    <row r="1601" spans="1:11">
      <c r="A1601" s="1" t="s">
        <v>547</v>
      </c>
      <c r="B1601" s="6" t="s">
        <v>12</v>
      </c>
      <c r="C1601" s="3">
        <v>6.54</v>
      </c>
      <c r="D1601" s="3">
        <v>5.34</v>
      </c>
      <c r="E1601" s="3">
        <v>25</v>
      </c>
      <c r="F1601" s="4">
        <v>7.7449170000000001</v>
      </c>
      <c r="G1601" s="4">
        <v>-73.382763999999995</v>
      </c>
      <c r="H1601" s="9">
        <f t="shared" si="72"/>
        <v>0.2616</v>
      </c>
      <c r="I1601" s="4" t="str">
        <f t="shared" si="73"/>
        <v>Sin riesgo &lt;85%</v>
      </c>
      <c r="J1601" s="1" t="s">
        <v>13</v>
      </c>
      <c r="K1601" s="1" t="str">
        <f t="shared" si="74"/>
        <v>Sin riesgo</v>
      </c>
    </row>
    <row r="1602" spans="1:11">
      <c r="A1602" s="1" t="s">
        <v>547</v>
      </c>
      <c r="B1602" s="6" t="s">
        <v>14</v>
      </c>
      <c r="C1602" s="3">
        <v>6.59</v>
      </c>
      <c r="D1602" s="3">
        <v>5.43</v>
      </c>
      <c r="E1602" s="3">
        <v>25</v>
      </c>
      <c r="F1602" s="4">
        <v>7.7449170000000001</v>
      </c>
      <c r="G1602" s="4">
        <v>-73.382763999999995</v>
      </c>
      <c r="H1602" s="9">
        <f t="shared" si="72"/>
        <v>0.2636</v>
      </c>
      <c r="I1602" s="4" t="str">
        <f t="shared" si="73"/>
        <v>Sin riesgo &lt;85%</v>
      </c>
      <c r="J1602" s="1" t="s">
        <v>13</v>
      </c>
      <c r="K1602" s="1" t="str">
        <f t="shared" si="74"/>
        <v>Sin riesgo</v>
      </c>
    </row>
    <row r="1603" spans="1:11">
      <c r="A1603" s="1" t="s">
        <v>547</v>
      </c>
      <c r="B1603" s="6" t="s">
        <v>15</v>
      </c>
      <c r="C1603" s="3">
        <v>6.59</v>
      </c>
      <c r="D1603" s="3">
        <v>5.43</v>
      </c>
      <c r="E1603" s="3">
        <v>25</v>
      </c>
      <c r="F1603" s="4">
        <v>7.7449170000000001</v>
      </c>
      <c r="G1603" s="4">
        <v>-73.382763999999995</v>
      </c>
      <c r="H1603" s="9">
        <f t="shared" ref="H1603:H1666" si="75">IF(C1603&gt;D1603,C1603/E1603,D1603/E1603)</f>
        <v>0.2636</v>
      </c>
      <c r="I1603" s="4" t="str">
        <f t="shared" ref="I1603:I1666" si="76">IF(H1603&gt;100%,"Altamente critico &gt;100%",IF(H1603&gt;95%,"Critico &gt;95%",IF(H1603&gt;85%,"En riesgo &gt;85%","Sin riesgo &lt;85%")))</f>
        <v>Sin riesgo &lt;85%</v>
      </c>
      <c r="J1603" s="1" t="s">
        <v>13</v>
      </c>
      <c r="K1603" s="1" t="str">
        <f t="shared" ref="K1603:K1666" si="77">IF(J1603="&gt;5","Sin riesgo",IF(J1603&gt;1.5,"Estado de alerta","Estado critico"))</f>
        <v>Sin riesgo</v>
      </c>
    </row>
    <row r="1604" spans="1:11">
      <c r="A1604" s="1" t="s">
        <v>548</v>
      </c>
      <c r="B1604" s="6" t="s">
        <v>12</v>
      </c>
      <c r="C1604" s="3">
        <v>3.07</v>
      </c>
      <c r="D1604" s="3">
        <v>4.12</v>
      </c>
      <c r="E1604" s="3">
        <v>25</v>
      </c>
      <c r="F1604" s="4">
        <v>6.5585639999999996</v>
      </c>
      <c r="G1604" s="4">
        <v>-73.146666999999994</v>
      </c>
      <c r="H1604" s="9">
        <f t="shared" si="75"/>
        <v>0.1648</v>
      </c>
      <c r="I1604" s="4" t="str">
        <f t="shared" si="76"/>
        <v>Sin riesgo &lt;85%</v>
      </c>
      <c r="J1604" s="1" t="s">
        <v>13</v>
      </c>
      <c r="K1604" s="1" t="str">
        <f t="shared" si="77"/>
        <v>Sin riesgo</v>
      </c>
    </row>
    <row r="1605" spans="1:11">
      <c r="A1605" s="1" t="s">
        <v>548</v>
      </c>
      <c r="B1605" s="6" t="s">
        <v>14</v>
      </c>
      <c r="C1605" s="3">
        <v>9.11</v>
      </c>
      <c r="D1605" s="3">
        <v>10.41</v>
      </c>
      <c r="E1605" s="3">
        <v>25</v>
      </c>
      <c r="F1605" s="4">
        <v>6.5585639999999996</v>
      </c>
      <c r="G1605" s="4">
        <v>-73.146666999999994</v>
      </c>
      <c r="H1605" s="9">
        <f t="shared" si="75"/>
        <v>0.41639999999999999</v>
      </c>
      <c r="I1605" s="4" t="str">
        <f t="shared" si="76"/>
        <v>Sin riesgo &lt;85%</v>
      </c>
      <c r="J1605" s="1" t="s">
        <v>13</v>
      </c>
      <c r="K1605" s="1" t="str">
        <f t="shared" si="77"/>
        <v>Sin riesgo</v>
      </c>
    </row>
    <row r="1606" spans="1:11">
      <c r="A1606" s="1" t="s">
        <v>548</v>
      </c>
      <c r="B1606" s="6" t="s">
        <v>15</v>
      </c>
      <c r="C1606" s="3">
        <v>9.11</v>
      </c>
      <c r="D1606" s="3">
        <v>10.41</v>
      </c>
      <c r="E1606" s="3">
        <v>25</v>
      </c>
      <c r="F1606" s="4">
        <v>6.5585639999999996</v>
      </c>
      <c r="G1606" s="4">
        <v>-73.146666999999994</v>
      </c>
      <c r="H1606" s="9">
        <f t="shared" si="75"/>
        <v>0.41639999999999999</v>
      </c>
      <c r="I1606" s="4" t="str">
        <f t="shared" si="76"/>
        <v>Sin riesgo &lt;85%</v>
      </c>
      <c r="J1606" s="1" t="s">
        <v>13</v>
      </c>
      <c r="K1606" s="1" t="str">
        <f t="shared" si="77"/>
        <v>Sin riesgo</v>
      </c>
    </row>
    <row r="1607" spans="1:11">
      <c r="A1607" s="1" t="s">
        <v>549</v>
      </c>
      <c r="B1607" s="6" t="s">
        <v>12</v>
      </c>
      <c r="C1607" s="3">
        <v>12.69</v>
      </c>
      <c r="D1607" s="3">
        <v>11.11</v>
      </c>
      <c r="E1607" s="3">
        <v>25</v>
      </c>
      <c r="F1607" s="4">
        <v>7.0768870000000001</v>
      </c>
      <c r="G1607" s="4">
        <v>-73.829282000000006</v>
      </c>
      <c r="H1607" s="9">
        <f t="shared" si="75"/>
        <v>0.50759999999999994</v>
      </c>
      <c r="I1607" s="4" t="str">
        <f t="shared" si="76"/>
        <v>Sin riesgo &lt;85%</v>
      </c>
      <c r="J1607" s="1" t="s">
        <v>13</v>
      </c>
      <c r="K1607" s="1" t="str">
        <f t="shared" si="77"/>
        <v>Sin riesgo</v>
      </c>
    </row>
    <row r="1608" spans="1:11">
      <c r="A1608" s="1" t="s">
        <v>549</v>
      </c>
      <c r="B1608" s="6" t="s">
        <v>14</v>
      </c>
      <c r="C1608" s="3">
        <v>12.99</v>
      </c>
      <c r="D1608" s="3">
        <v>11.39</v>
      </c>
      <c r="E1608" s="3">
        <v>25</v>
      </c>
      <c r="F1608" s="4">
        <v>7.0768870000000001</v>
      </c>
      <c r="G1608" s="4">
        <v>-73.829282000000006</v>
      </c>
      <c r="H1608" s="9">
        <f t="shared" si="75"/>
        <v>0.51960000000000006</v>
      </c>
      <c r="I1608" s="4" t="str">
        <f t="shared" si="76"/>
        <v>Sin riesgo &lt;85%</v>
      </c>
      <c r="J1608" s="1" t="s">
        <v>13</v>
      </c>
      <c r="K1608" s="1" t="str">
        <f t="shared" si="77"/>
        <v>Sin riesgo</v>
      </c>
    </row>
    <row r="1609" spans="1:11">
      <c r="A1609" s="1" t="s">
        <v>549</v>
      </c>
      <c r="B1609" s="6" t="s">
        <v>15</v>
      </c>
      <c r="C1609" s="3">
        <v>12.99</v>
      </c>
      <c r="D1609" s="3">
        <v>11.39</v>
      </c>
      <c r="E1609" s="3">
        <v>25</v>
      </c>
      <c r="F1609" s="4">
        <v>7.0768870000000001</v>
      </c>
      <c r="G1609" s="4">
        <v>-73.829282000000006</v>
      </c>
      <c r="H1609" s="9">
        <f t="shared" si="75"/>
        <v>0.51960000000000006</v>
      </c>
      <c r="I1609" s="4" t="str">
        <f t="shared" si="76"/>
        <v>Sin riesgo &lt;85%</v>
      </c>
      <c r="J1609" s="1" t="s">
        <v>13</v>
      </c>
      <c r="K1609" s="1" t="str">
        <f t="shared" si="77"/>
        <v>Sin riesgo</v>
      </c>
    </row>
    <row r="1610" spans="1:11">
      <c r="A1610" s="1" t="s">
        <v>550</v>
      </c>
      <c r="B1610" s="6" t="s">
        <v>12</v>
      </c>
      <c r="C1610" s="3">
        <v>47.77</v>
      </c>
      <c r="D1610" s="3">
        <v>39.75</v>
      </c>
      <c r="E1610" s="3">
        <v>40</v>
      </c>
      <c r="F1610" s="11"/>
      <c r="G1610" s="11"/>
      <c r="H1610" s="9">
        <f t="shared" si="75"/>
        <v>1.19425</v>
      </c>
      <c r="I1610" s="4" t="str">
        <f t="shared" si="76"/>
        <v>Altamente critico &gt;100%</v>
      </c>
      <c r="J1610" s="1">
        <v>1.4</v>
      </c>
      <c r="K1610" s="1" t="str">
        <f t="shared" si="77"/>
        <v>Estado critico</v>
      </c>
    </row>
    <row r="1611" spans="1:11">
      <c r="A1611" s="1" t="s">
        <v>550</v>
      </c>
      <c r="B1611" s="6" t="s">
        <v>14</v>
      </c>
      <c r="C1611" s="3">
        <v>48.67</v>
      </c>
      <c r="D1611" s="3">
        <v>40.58</v>
      </c>
      <c r="E1611" s="3">
        <v>40</v>
      </c>
      <c r="F1611" s="11"/>
      <c r="G1611" s="11"/>
      <c r="H1611" s="9">
        <f t="shared" si="75"/>
        <v>1.21675</v>
      </c>
      <c r="I1611" s="4" t="str">
        <f t="shared" si="76"/>
        <v>Altamente critico &gt;100%</v>
      </c>
      <c r="J1611" s="1">
        <v>1.4</v>
      </c>
      <c r="K1611" s="1" t="str">
        <f t="shared" si="77"/>
        <v>Estado critico</v>
      </c>
    </row>
    <row r="1612" spans="1:11">
      <c r="A1612" s="1" t="s">
        <v>550</v>
      </c>
      <c r="B1612" s="6" t="s">
        <v>15</v>
      </c>
      <c r="C1612" s="3">
        <v>48.67</v>
      </c>
      <c r="D1612" s="3">
        <v>40.58</v>
      </c>
      <c r="E1612" s="3">
        <v>40</v>
      </c>
      <c r="F1612" s="11"/>
      <c r="G1612" s="11"/>
      <c r="H1612" s="9">
        <f t="shared" si="75"/>
        <v>1.21675</v>
      </c>
      <c r="I1612" s="4" t="str">
        <f t="shared" si="76"/>
        <v>Altamente critico &gt;100%</v>
      </c>
      <c r="J1612" s="1">
        <v>1.4</v>
      </c>
      <c r="K1612" s="1" t="str">
        <f t="shared" si="77"/>
        <v>Estado critico</v>
      </c>
    </row>
    <row r="1613" spans="1:11">
      <c r="A1613" s="1" t="s">
        <v>551</v>
      </c>
      <c r="B1613" s="6" t="s">
        <v>12</v>
      </c>
      <c r="C1613" s="3">
        <v>23.32</v>
      </c>
      <c r="D1613" s="3">
        <v>23.02</v>
      </c>
      <c r="E1613" s="3">
        <v>40</v>
      </c>
      <c r="F1613" s="11"/>
      <c r="G1613" s="11"/>
      <c r="H1613" s="9">
        <f t="shared" si="75"/>
        <v>0.58299999999999996</v>
      </c>
      <c r="I1613" s="4" t="str">
        <f t="shared" si="76"/>
        <v>Sin riesgo &lt;85%</v>
      </c>
      <c r="J1613" s="1" t="s">
        <v>13</v>
      </c>
      <c r="K1613" s="1" t="str">
        <f t="shared" si="77"/>
        <v>Sin riesgo</v>
      </c>
    </row>
    <row r="1614" spans="1:11">
      <c r="A1614" s="1" t="s">
        <v>551</v>
      </c>
      <c r="B1614" s="6" t="s">
        <v>14</v>
      </c>
      <c r="C1614" s="3">
        <v>23.86</v>
      </c>
      <c r="D1614" s="3">
        <v>23.66</v>
      </c>
      <c r="E1614" s="3">
        <v>40</v>
      </c>
      <c r="F1614" s="11"/>
      <c r="G1614" s="11"/>
      <c r="H1614" s="9">
        <f t="shared" si="75"/>
        <v>0.59650000000000003</v>
      </c>
      <c r="I1614" s="4" t="str">
        <f t="shared" si="76"/>
        <v>Sin riesgo &lt;85%</v>
      </c>
      <c r="J1614" s="1" t="s">
        <v>13</v>
      </c>
      <c r="K1614" s="1" t="str">
        <f t="shared" si="77"/>
        <v>Sin riesgo</v>
      </c>
    </row>
    <row r="1615" spans="1:11">
      <c r="A1615" s="1" t="s">
        <v>551</v>
      </c>
      <c r="B1615" s="6" t="s">
        <v>15</v>
      </c>
      <c r="C1615" s="3">
        <v>23.86</v>
      </c>
      <c r="D1615" s="3">
        <v>23.67</v>
      </c>
      <c r="E1615" s="3">
        <v>40</v>
      </c>
      <c r="F1615" s="11"/>
      <c r="G1615" s="11"/>
      <c r="H1615" s="9">
        <f t="shared" si="75"/>
        <v>0.59650000000000003</v>
      </c>
      <c r="I1615" s="4" t="str">
        <f t="shared" si="76"/>
        <v>Sin riesgo &lt;85%</v>
      </c>
      <c r="J1615" s="1" t="s">
        <v>13</v>
      </c>
      <c r="K1615" s="1" t="str">
        <f t="shared" si="77"/>
        <v>Sin riesgo</v>
      </c>
    </row>
    <row r="1616" spans="1:11">
      <c r="A1616" s="1" t="s">
        <v>552</v>
      </c>
      <c r="B1616" s="6" t="s">
        <v>12</v>
      </c>
      <c r="C1616" s="3">
        <v>8.44</v>
      </c>
      <c r="D1616" s="3">
        <v>6.92</v>
      </c>
      <c r="E1616" s="3">
        <v>25</v>
      </c>
      <c r="F1616" s="4">
        <v>7.3315510000000002</v>
      </c>
      <c r="G1616" s="4">
        <v>-73.884862999999996</v>
      </c>
      <c r="H1616" s="9">
        <f t="shared" si="75"/>
        <v>0.33759999999999996</v>
      </c>
      <c r="I1616" s="4" t="str">
        <f t="shared" si="76"/>
        <v>Sin riesgo &lt;85%</v>
      </c>
      <c r="J1616" s="1" t="s">
        <v>13</v>
      </c>
      <c r="K1616" s="1" t="str">
        <f t="shared" si="77"/>
        <v>Sin riesgo</v>
      </c>
    </row>
    <row r="1617" spans="1:11">
      <c r="A1617" s="1" t="s">
        <v>552</v>
      </c>
      <c r="B1617" s="6" t="s">
        <v>14</v>
      </c>
      <c r="C1617" s="3">
        <v>8.81</v>
      </c>
      <c r="D1617" s="3">
        <v>7.23</v>
      </c>
      <c r="E1617" s="3">
        <v>25</v>
      </c>
      <c r="F1617" s="4">
        <v>7.3315510000000002</v>
      </c>
      <c r="G1617" s="4">
        <v>-73.884862999999996</v>
      </c>
      <c r="H1617" s="9">
        <f t="shared" si="75"/>
        <v>0.35240000000000005</v>
      </c>
      <c r="I1617" s="4" t="str">
        <f t="shared" si="76"/>
        <v>Sin riesgo &lt;85%</v>
      </c>
      <c r="J1617" s="1" t="s">
        <v>13</v>
      </c>
      <c r="K1617" s="1" t="str">
        <f t="shared" si="77"/>
        <v>Sin riesgo</v>
      </c>
    </row>
    <row r="1618" spans="1:11">
      <c r="A1618" s="1" t="s">
        <v>552</v>
      </c>
      <c r="B1618" s="6" t="s">
        <v>15</v>
      </c>
      <c r="C1618" s="3">
        <v>8.8000000000000007</v>
      </c>
      <c r="D1618" s="3">
        <v>7.23</v>
      </c>
      <c r="E1618" s="3">
        <v>25</v>
      </c>
      <c r="F1618" s="4">
        <v>7.3315510000000002</v>
      </c>
      <c r="G1618" s="4">
        <v>-73.884862999999996</v>
      </c>
      <c r="H1618" s="9">
        <f t="shared" si="75"/>
        <v>0.35200000000000004</v>
      </c>
      <c r="I1618" s="4" t="str">
        <f t="shared" si="76"/>
        <v>Sin riesgo &lt;85%</v>
      </c>
      <c r="J1618" s="1" t="s">
        <v>13</v>
      </c>
      <c r="K1618" s="1" t="str">
        <f t="shared" si="77"/>
        <v>Sin riesgo</v>
      </c>
    </row>
    <row r="1619" spans="1:11">
      <c r="A1619" s="1" t="s">
        <v>553</v>
      </c>
      <c r="B1619" s="6" t="s">
        <v>12</v>
      </c>
      <c r="C1619" s="3">
        <v>22.37</v>
      </c>
      <c r="D1619" s="3">
        <v>28.26</v>
      </c>
      <c r="E1619" s="3">
        <v>31.5</v>
      </c>
      <c r="F1619" s="4">
        <v>3.4108000000000001</v>
      </c>
      <c r="G1619" s="4">
        <v>-76.485555000000005</v>
      </c>
      <c r="H1619" s="9">
        <f t="shared" si="75"/>
        <v>0.89714285714285724</v>
      </c>
      <c r="I1619" s="4" t="str">
        <f t="shared" si="76"/>
        <v>En riesgo &gt;85%</v>
      </c>
      <c r="J1619" s="1" t="s">
        <v>13</v>
      </c>
      <c r="K1619" s="1" t="str">
        <f t="shared" si="77"/>
        <v>Sin riesgo</v>
      </c>
    </row>
    <row r="1620" spans="1:11">
      <c r="A1620" s="1" t="s">
        <v>553</v>
      </c>
      <c r="B1620" s="6" t="s">
        <v>14</v>
      </c>
      <c r="C1620" s="3">
        <v>22.95</v>
      </c>
      <c r="D1620" s="3">
        <v>29.01</v>
      </c>
      <c r="E1620" s="3">
        <v>31.5</v>
      </c>
      <c r="F1620" s="4">
        <v>3.4108000000000001</v>
      </c>
      <c r="G1620" s="4">
        <v>-76.485555000000005</v>
      </c>
      <c r="H1620" s="9">
        <f t="shared" si="75"/>
        <v>0.92095238095238097</v>
      </c>
      <c r="I1620" s="4" t="str">
        <f t="shared" si="76"/>
        <v>En riesgo &gt;85%</v>
      </c>
      <c r="J1620" s="1" t="s">
        <v>13</v>
      </c>
      <c r="K1620" s="1" t="str">
        <f t="shared" si="77"/>
        <v>Sin riesgo</v>
      </c>
    </row>
    <row r="1621" spans="1:11">
      <c r="A1621" s="1" t="s">
        <v>553</v>
      </c>
      <c r="B1621" s="6" t="s">
        <v>15</v>
      </c>
      <c r="C1621" s="3">
        <v>22.95</v>
      </c>
      <c r="D1621" s="3">
        <v>29.01</v>
      </c>
      <c r="E1621" s="3">
        <v>31.5</v>
      </c>
      <c r="F1621" s="4">
        <v>3.4108000000000001</v>
      </c>
      <c r="G1621" s="4">
        <v>-76.485555000000005</v>
      </c>
      <c r="H1621" s="9">
        <f t="shared" si="75"/>
        <v>0.92095238095238097</v>
      </c>
      <c r="I1621" s="4" t="str">
        <f t="shared" si="76"/>
        <v>En riesgo &gt;85%</v>
      </c>
      <c r="J1621" s="1" t="s">
        <v>13</v>
      </c>
      <c r="K1621" s="1" t="str">
        <f t="shared" si="77"/>
        <v>Sin riesgo</v>
      </c>
    </row>
    <row r="1622" spans="1:11">
      <c r="A1622" s="1" t="s">
        <v>554</v>
      </c>
      <c r="B1622" s="6" t="s">
        <v>12</v>
      </c>
      <c r="C1622" s="3">
        <v>29.24</v>
      </c>
      <c r="D1622" s="3">
        <v>27.89</v>
      </c>
      <c r="E1622" s="3">
        <v>40</v>
      </c>
      <c r="F1622" s="4">
        <v>3.3683830000000001</v>
      </c>
      <c r="G1622" s="4">
        <v>-76.498187000000001</v>
      </c>
      <c r="H1622" s="9">
        <f t="shared" si="75"/>
        <v>0.73099999999999998</v>
      </c>
      <c r="I1622" s="4" t="str">
        <f t="shared" si="76"/>
        <v>Sin riesgo &lt;85%</v>
      </c>
      <c r="J1622" s="1" t="s">
        <v>13</v>
      </c>
      <c r="K1622" s="1" t="str">
        <f t="shared" si="77"/>
        <v>Sin riesgo</v>
      </c>
    </row>
    <row r="1623" spans="1:11">
      <c r="A1623" s="1" t="s">
        <v>554</v>
      </c>
      <c r="B1623" s="6" t="s">
        <v>14</v>
      </c>
      <c r="C1623" s="3">
        <v>29.23</v>
      </c>
      <c r="D1623" s="3">
        <v>27.75</v>
      </c>
      <c r="E1623" s="3">
        <v>40</v>
      </c>
      <c r="F1623" s="4">
        <v>3.3683830000000001</v>
      </c>
      <c r="G1623" s="4">
        <v>-76.498187000000001</v>
      </c>
      <c r="H1623" s="9">
        <f t="shared" si="75"/>
        <v>0.73075000000000001</v>
      </c>
      <c r="I1623" s="4" t="str">
        <f t="shared" si="76"/>
        <v>Sin riesgo &lt;85%</v>
      </c>
      <c r="J1623" s="1" t="s">
        <v>13</v>
      </c>
      <c r="K1623" s="1" t="str">
        <f t="shared" si="77"/>
        <v>Sin riesgo</v>
      </c>
    </row>
    <row r="1624" spans="1:11">
      <c r="A1624" s="1" t="s">
        <v>554</v>
      </c>
      <c r="B1624" s="6" t="s">
        <v>15</v>
      </c>
      <c r="C1624" s="3">
        <v>29.23</v>
      </c>
      <c r="D1624" s="3">
        <v>27.75</v>
      </c>
      <c r="E1624" s="3">
        <v>40</v>
      </c>
      <c r="F1624" s="4">
        <v>3.3683830000000001</v>
      </c>
      <c r="G1624" s="4">
        <v>-76.498187000000001</v>
      </c>
      <c r="H1624" s="9">
        <f t="shared" si="75"/>
        <v>0.73075000000000001</v>
      </c>
      <c r="I1624" s="4" t="str">
        <f t="shared" si="76"/>
        <v>Sin riesgo &lt;85%</v>
      </c>
      <c r="J1624" s="1" t="s">
        <v>13</v>
      </c>
      <c r="K1624" s="1" t="str">
        <f t="shared" si="77"/>
        <v>Sin riesgo</v>
      </c>
    </row>
    <row r="1625" spans="1:11">
      <c r="A1625" s="1" t="s">
        <v>555</v>
      </c>
      <c r="B1625" s="6" t="s">
        <v>12</v>
      </c>
      <c r="C1625" s="3">
        <v>11.15</v>
      </c>
      <c r="D1625" s="3">
        <v>11.98</v>
      </c>
      <c r="E1625" s="3">
        <v>40</v>
      </c>
      <c r="F1625" s="4">
        <v>3.3683830000000001</v>
      </c>
      <c r="G1625" s="4">
        <v>-76.498187000000001</v>
      </c>
      <c r="H1625" s="9">
        <f t="shared" si="75"/>
        <v>0.29949999999999999</v>
      </c>
      <c r="I1625" s="4" t="str">
        <f t="shared" si="76"/>
        <v>Sin riesgo &lt;85%</v>
      </c>
      <c r="J1625" s="1" t="s">
        <v>13</v>
      </c>
      <c r="K1625" s="1" t="str">
        <f t="shared" si="77"/>
        <v>Sin riesgo</v>
      </c>
    </row>
    <row r="1626" spans="1:11">
      <c r="A1626" s="1" t="s">
        <v>555</v>
      </c>
      <c r="B1626" s="6" t="s">
        <v>14</v>
      </c>
      <c r="C1626" s="3">
        <v>11.26</v>
      </c>
      <c r="D1626" s="3">
        <v>12.08</v>
      </c>
      <c r="E1626" s="3">
        <v>40</v>
      </c>
      <c r="F1626" s="4">
        <v>3.3683830000000001</v>
      </c>
      <c r="G1626" s="4">
        <v>-76.498187000000001</v>
      </c>
      <c r="H1626" s="9">
        <f t="shared" si="75"/>
        <v>0.30199999999999999</v>
      </c>
      <c r="I1626" s="4" t="str">
        <f t="shared" si="76"/>
        <v>Sin riesgo &lt;85%</v>
      </c>
      <c r="J1626" s="1" t="s">
        <v>13</v>
      </c>
      <c r="K1626" s="1" t="str">
        <f t="shared" si="77"/>
        <v>Sin riesgo</v>
      </c>
    </row>
    <row r="1627" spans="1:11">
      <c r="A1627" s="1" t="s">
        <v>555</v>
      </c>
      <c r="B1627" s="6" t="s">
        <v>15</v>
      </c>
      <c r="C1627" s="3">
        <v>11.26</v>
      </c>
      <c r="D1627" s="3">
        <v>12.08</v>
      </c>
      <c r="E1627" s="3">
        <v>40</v>
      </c>
      <c r="F1627" s="4">
        <v>3.3683830000000001</v>
      </c>
      <c r="G1627" s="4">
        <v>-76.498187000000001</v>
      </c>
      <c r="H1627" s="9">
        <f t="shared" si="75"/>
        <v>0.30199999999999999</v>
      </c>
      <c r="I1627" s="4" t="str">
        <f t="shared" si="76"/>
        <v>Sin riesgo &lt;85%</v>
      </c>
      <c r="J1627" s="1" t="s">
        <v>13</v>
      </c>
      <c r="K1627" s="1" t="str">
        <f t="shared" si="77"/>
        <v>Sin riesgo</v>
      </c>
    </row>
    <row r="1628" spans="1:11">
      <c r="A1628" s="1" t="s">
        <v>556</v>
      </c>
      <c r="B1628" s="6" t="s">
        <v>12</v>
      </c>
      <c r="C1628" s="3">
        <v>17.5</v>
      </c>
      <c r="D1628" s="3">
        <v>24.07</v>
      </c>
      <c r="E1628" s="3">
        <v>40</v>
      </c>
      <c r="F1628" s="4">
        <v>3.3683830000000001</v>
      </c>
      <c r="G1628" s="4">
        <v>-76.498187000000001</v>
      </c>
      <c r="H1628" s="9">
        <f t="shared" si="75"/>
        <v>0.60175000000000001</v>
      </c>
      <c r="I1628" s="4" t="str">
        <f t="shared" si="76"/>
        <v>Sin riesgo &lt;85%</v>
      </c>
      <c r="J1628" s="1" t="s">
        <v>13</v>
      </c>
      <c r="K1628" s="1" t="str">
        <f t="shared" si="77"/>
        <v>Sin riesgo</v>
      </c>
    </row>
    <row r="1629" spans="1:11">
      <c r="A1629" s="1" t="s">
        <v>556</v>
      </c>
      <c r="B1629" s="6" t="s">
        <v>14</v>
      </c>
      <c r="C1629" s="3">
        <v>17.59</v>
      </c>
      <c r="D1629" s="3">
        <v>24.2</v>
      </c>
      <c r="E1629" s="3">
        <v>40</v>
      </c>
      <c r="F1629" s="4">
        <v>3.3683830000000001</v>
      </c>
      <c r="G1629" s="4">
        <v>-76.498187000000001</v>
      </c>
      <c r="H1629" s="9">
        <f t="shared" si="75"/>
        <v>0.60499999999999998</v>
      </c>
      <c r="I1629" s="4" t="str">
        <f t="shared" si="76"/>
        <v>Sin riesgo &lt;85%</v>
      </c>
      <c r="J1629" s="1" t="s">
        <v>13</v>
      </c>
      <c r="K1629" s="1" t="str">
        <f t="shared" si="77"/>
        <v>Sin riesgo</v>
      </c>
    </row>
    <row r="1630" spans="1:11">
      <c r="A1630" s="1" t="s">
        <v>556</v>
      </c>
      <c r="B1630" s="6" t="s">
        <v>15</v>
      </c>
      <c r="C1630" s="3">
        <v>17.59</v>
      </c>
      <c r="D1630" s="3">
        <v>24.2</v>
      </c>
      <c r="E1630" s="3">
        <v>40</v>
      </c>
      <c r="F1630" s="4">
        <v>3.3683830000000001</v>
      </c>
      <c r="G1630" s="4">
        <v>-76.498187000000001</v>
      </c>
      <c r="H1630" s="9">
        <f t="shared" si="75"/>
        <v>0.60499999999999998</v>
      </c>
      <c r="I1630" s="4" t="str">
        <f t="shared" si="76"/>
        <v>Sin riesgo &lt;85%</v>
      </c>
      <c r="J1630" s="1" t="s">
        <v>13</v>
      </c>
      <c r="K1630" s="1" t="str">
        <f t="shared" si="77"/>
        <v>Sin riesgo</v>
      </c>
    </row>
    <row r="1631" spans="1:11">
      <c r="A1631" s="1" t="s">
        <v>557</v>
      </c>
      <c r="B1631" s="6" t="s">
        <v>12</v>
      </c>
      <c r="C1631" s="3">
        <v>30.44</v>
      </c>
      <c r="D1631" s="3">
        <v>29.83</v>
      </c>
      <c r="E1631" s="3">
        <v>40</v>
      </c>
      <c r="F1631" s="4">
        <v>3.3683830000000001</v>
      </c>
      <c r="G1631" s="4">
        <v>-76.498187000000001</v>
      </c>
      <c r="H1631" s="9">
        <f t="shared" si="75"/>
        <v>0.76100000000000001</v>
      </c>
      <c r="I1631" s="4" t="str">
        <f t="shared" si="76"/>
        <v>Sin riesgo &lt;85%</v>
      </c>
      <c r="J1631" s="1" t="s">
        <v>13</v>
      </c>
      <c r="K1631" s="1" t="str">
        <f t="shared" si="77"/>
        <v>Sin riesgo</v>
      </c>
    </row>
    <row r="1632" spans="1:11">
      <c r="A1632" s="1" t="s">
        <v>557</v>
      </c>
      <c r="B1632" s="6" t="s">
        <v>14</v>
      </c>
      <c r="C1632" s="3">
        <v>30.69</v>
      </c>
      <c r="D1632" s="3">
        <v>30.09</v>
      </c>
      <c r="E1632" s="3">
        <v>40</v>
      </c>
      <c r="F1632" s="4">
        <v>3.3683830000000001</v>
      </c>
      <c r="G1632" s="4">
        <v>-76.498187000000001</v>
      </c>
      <c r="H1632" s="9">
        <f t="shared" si="75"/>
        <v>0.76724999999999999</v>
      </c>
      <c r="I1632" s="4" t="str">
        <f t="shared" si="76"/>
        <v>Sin riesgo &lt;85%</v>
      </c>
      <c r="J1632" s="1" t="s">
        <v>13</v>
      </c>
      <c r="K1632" s="1" t="str">
        <f t="shared" si="77"/>
        <v>Sin riesgo</v>
      </c>
    </row>
    <row r="1633" spans="1:11">
      <c r="A1633" s="1" t="s">
        <v>557</v>
      </c>
      <c r="B1633" s="6" t="s">
        <v>15</v>
      </c>
      <c r="C1633" s="3">
        <v>30.69</v>
      </c>
      <c r="D1633" s="3">
        <v>30.09</v>
      </c>
      <c r="E1633" s="3">
        <v>40</v>
      </c>
      <c r="F1633" s="4">
        <v>3.3683830000000001</v>
      </c>
      <c r="G1633" s="4">
        <v>-76.498187000000001</v>
      </c>
      <c r="H1633" s="9">
        <f t="shared" si="75"/>
        <v>0.76724999999999999</v>
      </c>
      <c r="I1633" s="4" t="str">
        <f t="shared" si="76"/>
        <v>Sin riesgo &lt;85%</v>
      </c>
      <c r="J1633" s="1" t="s">
        <v>13</v>
      </c>
      <c r="K1633" s="1" t="str">
        <f t="shared" si="77"/>
        <v>Sin riesgo</v>
      </c>
    </row>
    <row r="1634" spans="1:11">
      <c r="A1634" s="1" t="s">
        <v>558</v>
      </c>
      <c r="B1634" s="6" t="s">
        <v>12</v>
      </c>
      <c r="C1634" s="3">
        <v>11.74</v>
      </c>
      <c r="D1634" s="3">
        <v>12.39</v>
      </c>
      <c r="E1634" s="3">
        <v>31.5</v>
      </c>
      <c r="F1634" s="4">
        <v>3.6084522141479298</v>
      </c>
      <c r="G1634" s="4">
        <v>-76.891551839122201</v>
      </c>
      <c r="H1634" s="9">
        <f t="shared" si="75"/>
        <v>0.39333333333333337</v>
      </c>
      <c r="I1634" s="4" t="str">
        <f t="shared" si="76"/>
        <v>Sin riesgo &lt;85%</v>
      </c>
      <c r="J1634" s="1" t="s">
        <v>13</v>
      </c>
      <c r="K1634" s="1" t="str">
        <f t="shared" si="77"/>
        <v>Sin riesgo</v>
      </c>
    </row>
    <row r="1635" spans="1:11">
      <c r="A1635" s="1" t="s">
        <v>558</v>
      </c>
      <c r="B1635" s="6" t="s">
        <v>14</v>
      </c>
      <c r="C1635" s="3">
        <v>11.79</v>
      </c>
      <c r="D1635" s="3">
        <v>12.45</v>
      </c>
      <c r="E1635" s="3">
        <v>31.5</v>
      </c>
      <c r="F1635" s="4">
        <v>3.6084522141479298</v>
      </c>
      <c r="G1635" s="4">
        <v>-76.891551839122201</v>
      </c>
      <c r="H1635" s="9">
        <f t="shared" si="75"/>
        <v>0.39523809523809522</v>
      </c>
      <c r="I1635" s="4" t="str">
        <f t="shared" si="76"/>
        <v>Sin riesgo &lt;85%</v>
      </c>
      <c r="J1635" s="1" t="s">
        <v>13</v>
      </c>
      <c r="K1635" s="1" t="str">
        <f t="shared" si="77"/>
        <v>Sin riesgo</v>
      </c>
    </row>
    <row r="1636" spans="1:11">
      <c r="A1636" s="1" t="s">
        <v>558</v>
      </c>
      <c r="B1636" s="6" t="s">
        <v>15</v>
      </c>
      <c r="C1636" s="3">
        <v>11.79</v>
      </c>
      <c r="D1636" s="3">
        <v>12.45</v>
      </c>
      <c r="E1636" s="3">
        <v>31.5</v>
      </c>
      <c r="F1636" s="4">
        <v>3.6084522141479298</v>
      </c>
      <c r="G1636" s="4">
        <v>-76.891551839122201</v>
      </c>
      <c r="H1636" s="9">
        <f t="shared" si="75"/>
        <v>0.39523809523809522</v>
      </c>
      <c r="I1636" s="4" t="str">
        <f t="shared" si="76"/>
        <v>Sin riesgo &lt;85%</v>
      </c>
      <c r="J1636" s="1" t="s">
        <v>13</v>
      </c>
      <c r="K1636" s="1" t="str">
        <f t="shared" si="77"/>
        <v>Sin riesgo</v>
      </c>
    </row>
    <row r="1637" spans="1:11">
      <c r="A1637" s="1" t="s">
        <v>559</v>
      </c>
      <c r="B1637" s="6" t="s">
        <v>12</v>
      </c>
      <c r="C1637" s="3">
        <v>1</v>
      </c>
      <c r="D1637" s="3">
        <v>1.81</v>
      </c>
      <c r="E1637" s="3">
        <v>40</v>
      </c>
      <c r="F1637" s="4">
        <v>3.97484125697697</v>
      </c>
      <c r="G1637" s="4">
        <v>-77.3249419309237</v>
      </c>
      <c r="H1637" s="9">
        <f t="shared" si="75"/>
        <v>4.5249999999999999E-2</v>
      </c>
      <c r="I1637" s="4" t="str">
        <f t="shared" si="76"/>
        <v>Sin riesgo &lt;85%</v>
      </c>
      <c r="J1637" s="1" t="s">
        <v>13</v>
      </c>
      <c r="K1637" s="1" t="str">
        <f t="shared" si="77"/>
        <v>Sin riesgo</v>
      </c>
    </row>
    <row r="1638" spans="1:11">
      <c r="A1638" s="1" t="s">
        <v>559</v>
      </c>
      <c r="B1638" s="6" t="s">
        <v>14</v>
      </c>
      <c r="C1638" s="3">
        <v>1</v>
      </c>
      <c r="D1638" s="3">
        <v>1.82</v>
      </c>
      <c r="E1638" s="3">
        <v>40</v>
      </c>
      <c r="F1638" s="4">
        <v>3.97484125697697</v>
      </c>
      <c r="G1638" s="4">
        <v>-77.3249419309237</v>
      </c>
      <c r="H1638" s="9">
        <f t="shared" si="75"/>
        <v>4.5499999999999999E-2</v>
      </c>
      <c r="I1638" s="4" t="str">
        <f t="shared" si="76"/>
        <v>Sin riesgo &lt;85%</v>
      </c>
      <c r="J1638" s="1" t="s">
        <v>13</v>
      </c>
      <c r="K1638" s="1" t="str">
        <f t="shared" si="77"/>
        <v>Sin riesgo</v>
      </c>
    </row>
    <row r="1639" spans="1:11">
      <c r="A1639" s="1" t="s">
        <v>559</v>
      </c>
      <c r="B1639" s="6" t="s">
        <v>15</v>
      </c>
      <c r="C1639" s="3">
        <v>1</v>
      </c>
      <c r="D1639" s="3">
        <v>1.82</v>
      </c>
      <c r="E1639" s="3">
        <v>40</v>
      </c>
      <c r="F1639" s="4">
        <v>3.97484125697697</v>
      </c>
      <c r="G1639" s="4">
        <v>-77.3249419309237</v>
      </c>
      <c r="H1639" s="9">
        <f t="shared" si="75"/>
        <v>4.5499999999999999E-2</v>
      </c>
      <c r="I1639" s="4" t="str">
        <f t="shared" si="76"/>
        <v>Sin riesgo &lt;85%</v>
      </c>
      <c r="J1639" s="1" t="s">
        <v>13</v>
      </c>
      <c r="K1639" s="1" t="str">
        <f t="shared" si="77"/>
        <v>Sin riesgo</v>
      </c>
    </row>
    <row r="1640" spans="1:11">
      <c r="A1640" s="1" t="s">
        <v>560</v>
      </c>
      <c r="B1640" s="6" t="s">
        <v>12</v>
      </c>
      <c r="C1640" s="3">
        <v>7.74</v>
      </c>
      <c r="D1640" s="3">
        <v>8.32</v>
      </c>
      <c r="E1640" s="3">
        <v>40</v>
      </c>
      <c r="F1640" s="4">
        <v>3.6059198236248999</v>
      </c>
      <c r="G1640" s="4">
        <v>-76.923439757876494</v>
      </c>
      <c r="H1640" s="9">
        <f t="shared" si="75"/>
        <v>0.20800000000000002</v>
      </c>
      <c r="I1640" s="4" t="str">
        <f t="shared" si="76"/>
        <v>Sin riesgo &lt;85%</v>
      </c>
      <c r="J1640" s="1" t="s">
        <v>13</v>
      </c>
      <c r="K1640" s="1" t="str">
        <f t="shared" si="77"/>
        <v>Sin riesgo</v>
      </c>
    </row>
    <row r="1641" spans="1:11">
      <c r="A1641" s="1" t="s">
        <v>560</v>
      </c>
      <c r="B1641" s="6" t="s">
        <v>14</v>
      </c>
      <c r="C1641" s="3">
        <v>7.76</v>
      </c>
      <c r="D1641" s="3">
        <v>8.34</v>
      </c>
      <c r="E1641" s="3">
        <v>40</v>
      </c>
      <c r="F1641" s="4">
        <v>3.6059198236248999</v>
      </c>
      <c r="G1641" s="4">
        <v>-76.923439757876494</v>
      </c>
      <c r="H1641" s="9">
        <f t="shared" si="75"/>
        <v>0.20849999999999999</v>
      </c>
      <c r="I1641" s="4" t="str">
        <f t="shared" si="76"/>
        <v>Sin riesgo &lt;85%</v>
      </c>
      <c r="J1641" s="1" t="s">
        <v>13</v>
      </c>
      <c r="K1641" s="1" t="str">
        <f t="shared" si="77"/>
        <v>Sin riesgo</v>
      </c>
    </row>
    <row r="1642" spans="1:11">
      <c r="A1642" s="1" t="s">
        <v>560</v>
      </c>
      <c r="B1642" s="6" t="s">
        <v>15</v>
      </c>
      <c r="C1642" s="3">
        <v>7.76</v>
      </c>
      <c r="D1642" s="3">
        <v>8.34</v>
      </c>
      <c r="E1642" s="3">
        <v>40</v>
      </c>
      <c r="F1642" s="4">
        <v>3.6059198236248999</v>
      </c>
      <c r="G1642" s="4">
        <v>-76.923439757876494</v>
      </c>
      <c r="H1642" s="9">
        <f t="shared" si="75"/>
        <v>0.20849999999999999</v>
      </c>
      <c r="I1642" s="4" t="str">
        <f t="shared" si="76"/>
        <v>Sin riesgo &lt;85%</v>
      </c>
      <c r="J1642" s="1" t="s">
        <v>13</v>
      </c>
      <c r="K1642" s="1" t="str">
        <f t="shared" si="77"/>
        <v>Sin riesgo</v>
      </c>
    </row>
    <row r="1643" spans="1:11">
      <c r="A1643" s="1" t="s">
        <v>561</v>
      </c>
      <c r="B1643" s="6" t="s">
        <v>12</v>
      </c>
      <c r="C1643" s="3">
        <v>11.28</v>
      </c>
      <c r="D1643" s="3">
        <v>12.92</v>
      </c>
      <c r="E1643" s="3">
        <v>31.5</v>
      </c>
      <c r="F1643" s="4">
        <v>3.8703841749526302</v>
      </c>
      <c r="G1643" s="4">
        <v>-76.303905824391293</v>
      </c>
      <c r="H1643" s="9">
        <f t="shared" si="75"/>
        <v>0.41015873015873017</v>
      </c>
      <c r="I1643" s="4" t="str">
        <f t="shared" si="76"/>
        <v>Sin riesgo &lt;85%</v>
      </c>
      <c r="J1643" s="1" t="s">
        <v>13</v>
      </c>
      <c r="K1643" s="1" t="str">
        <f t="shared" si="77"/>
        <v>Sin riesgo</v>
      </c>
    </row>
    <row r="1644" spans="1:11">
      <c r="A1644" s="1" t="s">
        <v>561</v>
      </c>
      <c r="B1644" s="6" t="s">
        <v>14</v>
      </c>
      <c r="C1644" s="3">
        <v>11.32</v>
      </c>
      <c r="D1644" s="3">
        <v>12.97</v>
      </c>
      <c r="E1644" s="3">
        <v>31.5</v>
      </c>
      <c r="F1644" s="4">
        <v>3.8703841749526302</v>
      </c>
      <c r="G1644" s="4">
        <v>-76.303905824391293</v>
      </c>
      <c r="H1644" s="9">
        <f t="shared" si="75"/>
        <v>0.41174603174603175</v>
      </c>
      <c r="I1644" s="4" t="str">
        <f t="shared" si="76"/>
        <v>Sin riesgo &lt;85%</v>
      </c>
      <c r="J1644" s="1" t="s">
        <v>13</v>
      </c>
      <c r="K1644" s="1" t="str">
        <f t="shared" si="77"/>
        <v>Sin riesgo</v>
      </c>
    </row>
    <row r="1645" spans="1:11">
      <c r="A1645" s="1" t="s">
        <v>561</v>
      </c>
      <c r="B1645" s="6" t="s">
        <v>15</v>
      </c>
      <c r="C1645" s="3">
        <v>11.32</v>
      </c>
      <c r="D1645" s="3">
        <v>12.97</v>
      </c>
      <c r="E1645" s="3">
        <v>31.5</v>
      </c>
      <c r="F1645" s="4">
        <v>3.8703841749526302</v>
      </c>
      <c r="G1645" s="4">
        <v>-76.303905824391293</v>
      </c>
      <c r="H1645" s="9">
        <f t="shared" si="75"/>
        <v>0.41174603174603175</v>
      </c>
      <c r="I1645" s="4" t="str">
        <f t="shared" si="76"/>
        <v>Sin riesgo &lt;85%</v>
      </c>
      <c r="J1645" s="1" t="s">
        <v>13</v>
      </c>
      <c r="K1645" s="1" t="str">
        <f t="shared" si="77"/>
        <v>Sin riesgo</v>
      </c>
    </row>
    <row r="1646" spans="1:11">
      <c r="A1646" s="1" t="s">
        <v>562</v>
      </c>
      <c r="B1646" s="6" t="s">
        <v>12</v>
      </c>
      <c r="C1646" s="3">
        <v>9.49</v>
      </c>
      <c r="D1646" s="3">
        <v>8.51</v>
      </c>
      <c r="E1646" s="3">
        <v>25</v>
      </c>
      <c r="F1646" s="4">
        <v>3.8806479227789898</v>
      </c>
      <c r="G1646" s="4">
        <v>-76.560202073315594</v>
      </c>
      <c r="H1646" s="9">
        <f t="shared" si="75"/>
        <v>0.37959999999999999</v>
      </c>
      <c r="I1646" s="4" t="str">
        <f t="shared" si="76"/>
        <v>Sin riesgo &lt;85%</v>
      </c>
      <c r="J1646" s="1" t="s">
        <v>13</v>
      </c>
      <c r="K1646" s="1" t="str">
        <f t="shared" si="77"/>
        <v>Sin riesgo</v>
      </c>
    </row>
    <row r="1647" spans="1:11">
      <c r="A1647" s="1" t="s">
        <v>562</v>
      </c>
      <c r="B1647" s="6" t="s">
        <v>14</v>
      </c>
      <c r="C1647" s="3">
        <v>9.52</v>
      </c>
      <c r="D1647" s="3">
        <v>8.5299999999999994</v>
      </c>
      <c r="E1647" s="3">
        <v>25</v>
      </c>
      <c r="F1647" s="4">
        <v>3.8806479227789898</v>
      </c>
      <c r="G1647" s="4">
        <v>-76.560202073315594</v>
      </c>
      <c r="H1647" s="9">
        <f t="shared" si="75"/>
        <v>0.38079999999999997</v>
      </c>
      <c r="I1647" s="4" t="str">
        <f t="shared" si="76"/>
        <v>Sin riesgo &lt;85%</v>
      </c>
      <c r="J1647" s="1" t="s">
        <v>13</v>
      </c>
      <c r="K1647" s="1" t="str">
        <f t="shared" si="77"/>
        <v>Sin riesgo</v>
      </c>
    </row>
    <row r="1648" spans="1:11">
      <c r="A1648" s="1" t="s">
        <v>562</v>
      </c>
      <c r="B1648" s="6" t="s">
        <v>15</v>
      </c>
      <c r="C1648" s="3">
        <v>9.52</v>
      </c>
      <c r="D1648" s="3">
        <v>8.5299999999999994</v>
      </c>
      <c r="E1648" s="3">
        <v>25</v>
      </c>
      <c r="F1648" s="4">
        <v>3.8806479227789898</v>
      </c>
      <c r="G1648" s="4">
        <v>-76.560202073315594</v>
      </c>
      <c r="H1648" s="9">
        <f t="shared" si="75"/>
        <v>0.38079999999999997</v>
      </c>
      <c r="I1648" s="4" t="str">
        <f t="shared" si="76"/>
        <v>Sin riesgo &lt;85%</v>
      </c>
      <c r="J1648" s="1" t="s">
        <v>13</v>
      </c>
      <c r="K1648" s="1" t="str">
        <f t="shared" si="77"/>
        <v>Sin riesgo</v>
      </c>
    </row>
    <row r="1649" spans="1:11">
      <c r="A1649" s="1" t="s">
        <v>563</v>
      </c>
      <c r="B1649" s="6" t="s">
        <v>12</v>
      </c>
      <c r="C1649" s="3">
        <v>12.65</v>
      </c>
      <c r="D1649" s="3">
        <v>12.94</v>
      </c>
      <c r="E1649" s="3">
        <v>20</v>
      </c>
      <c r="F1649" s="4">
        <v>3.3928656806631001</v>
      </c>
      <c r="G1649" s="4">
        <v>-76.353315847431503</v>
      </c>
      <c r="H1649" s="9">
        <f t="shared" si="75"/>
        <v>0.64700000000000002</v>
      </c>
      <c r="I1649" s="4" t="str">
        <f t="shared" si="76"/>
        <v>Sin riesgo &lt;85%</v>
      </c>
      <c r="J1649" s="1" t="s">
        <v>13</v>
      </c>
      <c r="K1649" s="1" t="str">
        <f t="shared" si="77"/>
        <v>Sin riesgo</v>
      </c>
    </row>
    <row r="1650" spans="1:11">
      <c r="A1650" s="1" t="s">
        <v>563</v>
      </c>
      <c r="B1650" s="6" t="s">
        <v>14</v>
      </c>
      <c r="C1650" s="3">
        <v>12.85</v>
      </c>
      <c r="D1650" s="3">
        <v>13.18</v>
      </c>
      <c r="E1650" s="3">
        <v>20</v>
      </c>
      <c r="F1650" s="4">
        <v>3.3928656806631001</v>
      </c>
      <c r="G1650" s="4">
        <v>-76.353315847431503</v>
      </c>
      <c r="H1650" s="9">
        <f t="shared" si="75"/>
        <v>0.65900000000000003</v>
      </c>
      <c r="I1650" s="4" t="str">
        <f t="shared" si="76"/>
        <v>Sin riesgo &lt;85%</v>
      </c>
      <c r="J1650" s="1" t="s">
        <v>13</v>
      </c>
      <c r="K1650" s="1" t="str">
        <f t="shared" si="77"/>
        <v>Sin riesgo</v>
      </c>
    </row>
    <row r="1651" spans="1:11">
      <c r="A1651" s="1" t="s">
        <v>563</v>
      </c>
      <c r="B1651" s="6" t="s">
        <v>15</v>
      </c>
      <c r="C1651" s="3">
        <v>12.85</v>
      </c>
      <c r="D1651" s="3">
        <v>13.18</v>
      </c>
      <c r="E1651" s="3">
        <v>20</v>
      </c>
      <c r="F1651" s="4">
        <v>3.3928656806631001</v>
      </c>
      <c r="G1651" s="4">
        <v>-76.353315847431503</v>
      </c>
      <c r="H1651" s="9">
        <f t="shared" si="75"/>
        <v>0.65900000000000003</v>
      </c>
      <c r="I1651" s="4" t="str">
        <f t="shared" si="76"/>
        <v>Sin riesgo &lt;85%</v>
      </c>
      <c r="J1651" s="1" t="s">
        <v>13</v>
      </c>
      <c r="K1651" s="1" t="str">
        <f t="shared" si="77"/>
        <v>Sin riesgo</v>
      </c>
    </row>
    <row r="1652" spans="1:11">
      <c r="A1652" s="1" t="s">
        <v>564</v>
      </c>
      <c r="B1652" s="6" t="s">
        <v>12</v>
      </c>
      <c r="C1652" s="3">
        <v>18.89</v>
      </c>
      <c r="D1652" s="3">
        <v>15.77</v>
      </c>
      <c r="E1652" s="3">
        <v>31.5</v>
      </c>
      <c r="F1652" s="4">
        <v>4.7293840657191399</v>
      </c>
      <c r="G1652" s="4">
        <v>-75.909247292205194</v>
      </c>
      <c r="H1652" s="9">
        <f t="shared" si="75"/>
        <v>0.59968253968253971</v>
      </c>
      <c r="I1652" s="4" t="str">
        <f t="shared" si="76"/>
        <v>Sin riesgo &lt;85%</v>
      </c>
      <c r="J1652" s="1" t="s">
        <v>13</v>
      </c>
      <c r="K1652" s="1" t="str">
        <f t="shared" si="77"/>
        <v>Sin riesgo</v>
      </c>
    </row>
    <row r="1653" spans="1:11">
      <c r="A1653" s="1" t="s">
        <v>564</v>
      </c>
      <c r="B1653" s="6" t="s">
        <v>14</v>
      </c>
      <c r="C1653" s="3">
        <v>19.32</v>
      </c>
      <c r="D1653" s="3">
        <v>15.97</v>
      </c>
      <c r="E1653" s="3">
        <v>31.5</v>
      </c>
      <c r="F1653" s="4">
        <v>4.7293840657191399</v>
      </c>
      <c r="G1653" s="4">
        <v>-75.909247292205194</v>
      </c>
      <c r="H1653" s="9">
        <f t="shared" si="75"/>
        <v>0.6133333333333334</v>
      </c>
      <c r="I1653" s="4" t="str">
        <f t="shared" si="76"/>
        <v>Sin riesgo &lt;85%</v>
      </c>
      <c r="J1653" s="1" t="s">
        <v>13</v>
      </c>
      <c r="K1653" s="1" t="str">
        <f t="shared" si="77"/>
        <v>Sin riesgo</v>
      </c>
    </row>
    <row r="1654" spans="1:11">
      <c r="A1654" s="1" t="s">
        <v>564</v>
      </c>
      <c r="B1654" s="6" t="s">
        <v>15</v>
      </c>
      <c r="C1654" s="3">
        <v>19.309999999999999</v>
      </c>
      <c r="D1654" s="3">
        <v>15.97</v>
      </c>
      <c r="E1654" s="3">
        <v>31.5</v>
      </c>
      <c r="F1654" s="4">
        <v>4.7293840657191399</v>
      </c>
      <c r="G1654" s="4">
        <v>-75.909247292205194</v>
      </c>
      <c r="H1654" s="9">
        <f t="shared" si="75"/>
        <v>0.61301587301587301</v>
      </c>
      <c r="I1654" s="4" t="str">
        <f t="shared" si="76"/>
        <v>Sin riesgo &lt;85%</v>
      </c>
      <c r="J1654" s="1" t="s">
        <v>13</v>
      </c>
      <c r="K1654" s="1" t="str">
        <f t="shared" si="77"/>
        <v>Sin riesgo</v>
      </c>
    </row>
    <row r="1655" spans="1:11">
      <c r="A1655" s="1" t="s">
        <v>565</v>
      </c>
      <c r="B1655" s="6" t="s">
        <v>12</v>
      </c>
      <c r="C1655" s="3">
        <v>17.61</v>
      </c>
      <c r="D1655" s="3">
        <v>17.850000000000001</v>
      </c>
      <c r="E1655" s="3">
        <v>40</v>
      </c>
      <c r="F1655" s="4">
        <v>4.7293840657191399</v>
      </c>
      <c r="G1655" s="4">
        <v>-75.909247292205194</v>
      </c>
      <c r="H1655" s="9">
        <f t="shared" si="75"/>
        <v>0.44625000000000004</v>
      </c>
      <c r="I1655" s="4" t="str">
        <f t="shared" si="76"/>
        <v>Sin riesgo &lt;85%</v>
      </c>
      <c r="J1655" s="1" t="s">
        <v>13</v>
      </c>
      <c r="K1655" s="1" t="str">
        <f t="shared" si="77"/>
        <v>Sin riesgo</v>
      </c>
    </row>
    <row r="1656" spans="1:11">
      <c r="A1656" s="1" t="s">
        <v>565</v>
      </c>
      <c r="B1656" s="6" t="s">
        <v>14</v>
      </c>
      <c r="C1656" s="3">
        <v>19.690000000000001</v>
      </c>
      <c r="D1656" s="3">
        <v>18.149999999999999</v>
      </c>
      <c r="E1656" s="3">
        <v>40</v>
      </c>
      <c r="F1656" s="4">
        <v>4.7293840657191399</v>
      </c>
      <c r="G1656" s="4">
        <v>-75.909247292205194</v>
      </c>
      <c r="H1656" s="9">
        <f t="shared" si="75"/>
        <v>0.49225000000000002</v>
      </c>
      <c r="I1656" s="4" t="str">
        <f t="shared" si="76"/>
        <v>Sin riesgo &lt;85%</v>
      </c>
      <c r="J1656" s="1" t="s">
        <v>13</v>
      </c>
      <c r="K1656" s="1" t="str">
        <f t="shared" si="77"/>
        <v>Sin riesgo</v>
      </c>
    </row>
    <row r="1657" spans="1:11">
      <c r="A1657" s="1" t="s">
        <v>565</v>
      </c>
      <c r="B1657" s="6" t="s">
        <v>15</v>
      </c>
      <c r="C1657" s="3">
        <v>19.690000000000001</v>
      </c>
      <c r="D1657" s="3">
        <v>18.149999999999999</v>
      </c>
      <c r="E1657" s="3">
        <v>40</v>
      </c>
      <c r="F1657" s="4">
        <v>4.7293840657191399</v>
      </c>
      <c r="G1657" s="4">
        <v>-75.909247292205194</v>
      </c>
      <c r="H1657" s="9">
        <f t="shared" si="75"/>
        <v>0.49225000000000002</v>
      </c>
      <c r="I1657" s="4" t="str">
        <f t="shared" si="76"/>
        <v>Sin riesgo &lt;85%</v>
      </c>
      <c r="J1657" s="1" t="s">
        <v>13</v>
      </c>
      <c r="K1657" s="1" t="str">
        <f t="shared" si="77"/>
        <v>Sin riesgo</v>
      </c>
    </row>
    <row r="1658" spans="1:11">
      <c r="A1658" s="1" t="s">
        <v>566</v>
      </c>
      <c r="B1658" s="6" t="s">
        <v>12</v>
      </c>
      <c r="C1658" s="3">
        <v>10.86</v>
      </c>
      <c r="D1658" s="3">
        <v>13.41</v>
      </c>
      <c r="E1658" s="3">
        <v>31.5</v>
      </c>
      <c r="F1658" s="4">
        <v>3.6854095838804501</v>
      </c>
      <c r="G1658" s="4">
        <v>-76.325579400612796</v>
      </c>
      <c r="H1658" s="9">
        <f t="shared" si="75"/>
        <v>0.42571428571428571</v>
      </c>
      <c r="I1658" s="4" t="str">
        <f t="shared" si="76"/>
        <v>Sin riesgo &lt;85%</v>
      </c>
      <c r="J1658" s="1" t="s">
        <v>13</v>
      </c>
      <c r="K1658" s="1" t="str">
        <f t="shared" si="77"/>
        <v>Sin riesgo</v>
      </c>
    </row>
    <row r="1659" spans="1:11">
      <c r="A1659" s="1" t="s">
        <v>566</v>
      </c>
      <c r="B1659" s="6" t="s">
        <v>14</v>
      </c>
      <c r="C1659" s="3">
        <v>10.92</v>
      </c>
      <c r="D1659" s="3">
        <v>13.48</v>
      </c>
      <c r="E1659" s="3">
        <v>31.5</v>
      </c>
      <c r="F1659" s="4">
        <v>3.6854095838804501</v>
      </c>
      <c r="G1659" s="4">
        <v>-76.325579400612796</v>
      </c>
      <c r="H1659" s="9">
        <f t="shared" si="75"/>
        <v>0.42793650793650795</v>
      </c>
      <c r="I1659" s="4" t="str">
        <f t="shared" si="76"/>
        <v>Sin riesgo &lt;85%</v>
      </c>
      <c r="J1659" s="1" t="s">
        <v>13</v>
      </c>
      <c r="K1659" s="1" t="str">
        <f t="shared" si="77"/>
        <v>Sin riesgo</v>
      </c>
    </row>
    <row r="1660" spans="1:11">
      <c r="A1660" s="1" t="s">
        <v>566</v>
      </c>
      <c r="B1660" s="6" t="s">
        <v>15</v>
      </c>
      <c r="C1660" s="3">
        <v>10.92</v>
      </c>
      <c r="D1660" s="3">
        <v>13.48</v>
      </c>
      <c r="E1660" s="3">
        <v>31.5</v>
      </c>
      <c r="F1660" s="4">
        <v>3.6854095838804501</v>
      </c>
      <c r="G1660" s="4">
        <v>-76.325579400612796</v>
      </c>
      <c r="H1660" s="9">
        <f t="shared" si="75"/>
        <v>0.42793650793650795</v>
      </c>
      <c r="I1660" s="4" t="str">
        <f t="shared" si="76"/>
        <v>Sin riesgo &lt;85%</v>
      </c>
      <c r="J1660" s="1" t="s">
        <v>13</v>
      </c>
      <c r="K1660" s="1" t="str">
        <f t="shared" si="77"/>
        <v>Sin riesgo</v>
      </c>
    </row>
    <row r="1661" spans="1:11">
      <c r="A1661" s="1" t="s">
        <v>567</v>
      </c>
      <c r="B1661" s="6" t="s">
        <v>12</v>
      </c>
      <c r="C1661" s="3">
        <v>1.46</v>
      </c>
      <c r="D1661" s="3">
        <v>2.2200000000000002</v>
      </c>
      <c r="E1661" s="3">
        <v>40</v>
      </c>
      <c r="F1661" s="4">
        <v>3.4710781243645599</v>
      </c>
      <c r="G1661" s="4">
        <v>-76.531544173085294</v>
      </c>
      <c r="H1661" s="9">
        <f t="shared" si="75"/>
        <v>5.5500000000000008E-2</v>
      </c>
      <c r="I1661" s="4" t="str">
        <f t="shared" si="76"/>
        <v>Sin riesgo &lt;85%</v>
      </c>
      <c r="J1661" s="1" t="s">
        <v>13</v>
      </c>
      <c r="K1661" s="1" t="str">
        <f t="shared" si="77"/>
        <v>Sin riesgo</v>
      </c>
    </row>
    <row r="1662" spans="1:11">
      <c r="A1662" s="1" t="s">
        <v>567</v>
      </c>
      <c r="B1662" s="6" t="s">
        <v>14</v>
      </c>
      <c r="C1662" s="3">
        <v>1.46</v>
      </c>
      <c r="D1662" s="3">
        <v>2.2200000000000002</v>
      </c>
      <c r="E1662" s="3">
        <v>40</v>
      </c>
      <c r="F1662" s="4">
        <v>3.4710781243645599</v>
      </c>
      <c r="G1662" s="4">
        <v>-76.531544173085294</v>
      </c>
      <c r="H1662" s="9">
        <f t="shared" si="75"/>
        <v>5.5500000000000008E-2</v>
      </c>
      <c r="I1662" s="4" t="str">
        <f t="shared" si="76"/>
        <v>Sin riesgo &lt;85%</v>
      </c>
      <c r="J1662" s="1" t="s">
        <v>13</v>
      </c>
      <c r="K1662" s="1" t="str">
        <f t="shared" si="77"/>
        <v>Sin riesgo</v>
      </c>
    </row>
    <row r="1663" spans="1:11">
      <c r="A1663" s="1" t="s">
        <v>567</v>
      </c>
      <c r="B1663" s="6" t="s">
        <v>15</v>
      </c>
      <c r="C1663" s="3">
        <v>1.46</v>
      </c>
      <c r="D1663" s="3">
        <v>2.2200000000000002</v>
      </c>
      <c r="E1663" s="3">
        <v>40</v>
      </c>
      <c r="F1663" s="4">
        <v>3.4710781243645599</v>
      </c>
      <c r="G1663" s="4">
        <v>-76.531544173085294</v>
      </c>
      <c r="H1663" s="9">
        <f t="shared" si="75"/>
        <v>5.5500000000000008E-2</v>
      </c>
      <c r="I1663" s="4" t="str">
        <f t="shared" si="76"/>
        <v>Sin riesgo &lt;85%</v>
      </c>
      <c r="J1663" s="1" t="s">
        <v>13</v>
      </c>
      <c r="K1663" s="1" t="str">
        <f t="shared" si="77"/>
        <v>Sin riesgo</v>
      </c>
    </row>
    <row r="1664" spans="1:11">
      <c r="A1664" s="1" t="s">
        <v>568</v>
      </c>
      <c r="B1664" s="6" t="s">
        <v>12</v>
      </c>
      <c r="C1664" s="3">
        <v>11.59</v>
      </c>
      <c r="D1664" s="3">
        <v>16.88</v>
      </c>
      <c r="E1664" s="3">
        <v>40</v>
      </c>
      <c r="F1664" s="4">
        <v>3.5205944056108902</v>
      </c>
      <c r="G1664" s="4">
        <v>-76.276966546542496</v>
      </c>
      <c r="H1664" s="9">
        <f t="shared" si="75"/>
        <v>0.42199999999999999</v>
      </c>
      <c r="I1664" s="4" t="str">
        <f t="shared" si="76"/>
        <v>Sin riesgo &lt;85%</v>
      </c>
      <c r="J1664" s="1" t="s">
        <v>13</v>
      </c>
      <c r="K1664" s="1" t="str">
        <f t="shared" si="77"/>
        <v>Sin riesgo</v>
      </c>
    </row>
    <row r="1665" spans="1:11">
      <c r="A1665" s="1" t="s">
        <v>568</v>
      </c>
      <c r="B1665" s="6" t="s">
        <v>14</v>
      </c>
      <c r="C1665" s="3">
        <v>11.76</v>
      </c>
      <c r="D1665" s="3">
        <v>17.05</v>
      </c>
      <c r="E1665" s="3">
        <v>40</v>
      </c>
      <c r="F1665" s="4">
        <v>3.5205944056108902</v>
      </c>
      <c r="G1665" s="4">
        <v>-76.276966546542496</v>
      </c>
      <c r="H1665" s="9">
        <f t="shared" si="75"/>
        <v>0.42625000000000002</v>
      </c>
      <c r="I1665" s="4" t="str">
        <f t="shared" si="76"/>
        <v>Sin riesgo &lt;85%</v>
      </c>
      <c r="J1665" s="1" t="s">
        <v>13</v>
      </c>
      <c r="K1665" s="1" t="str">
        <f t="shared" si="77"/>
        <v>Sin riesgo</v>
      </c>
    </row>
    <row r="1666" spans="1:11">
      <c r="A1666" s="1" t="s">
        <v>568</v>
      </c>
      <c r="B1666" s="6" t="s">
        <v>15</v>
      </c>
      <c r="C1666" s="3">
        <v>11.76</v>
      </c>
      <c r="D1666" s="3">
        <v>17.05</v>
      </c>
      <c r="E1666" s="3">
        <v>40</v>
      </c>
      <c r="F1666" s="4">
        <v>3.5205944056108902</v>
      </c>
      <c r="G1666" s="4">
        <v>-76.276966546542496</v>
      </c>
      <c r="H1666" s="9">
        <f t="shared" si="75"/>
        <v>0.42625000000000002</v>
      </c>
      <c r="I1666" s="4" t="str">
        <f t="shared" si="76"/>
        <v>Sin riesgo &lt;85%</v>
      </c>
      <c r="J1666" s="1" t="s">
        <v>13</v>
      </c>
      <c r="K1666" s="1" t="str">
        <f t="shared" si="77"/>
        <v>Sin riesgo</v>
      </c>
    </row>
    <row r="1667" spans="1:11">
      <c r="A1667" s="1" t="s">
        <v>569</v>
      </c>
      <c r="B1667" s="6" t="s">
        <v>12</v>
      </c>
      <c r="C1667" s="3">
        <v>21.56</v>
      </c>
      <c r="D1667" s="3">
        <v>26.27</v>
      </c>
      <c r="E1667" s="3">
        <v>40</v>
      </c>
      <c r="F1667" s="4">
        <v>3.4368099999999999</v>
      </c>
      <c r="G1667" s="4">
        <v>-76.517362000000006</v>
      </c>
      <c r="H1667" s="9">
        <f t="shared" ref="H1667:H1730" si="78">IF(C1667&gt;D1667,C1667/E1667,D1667/E1667)</f>
        <v>0.65674999999999994</v>
      </c>
      <c r="I1667" s="4" t="str">
        <f t="shared" ref="I1667:I1730" si="79">IF(H1667&gt;100%,"Altamente critico &gt;100%",IF(H1667&gt;95%,"Critico &gt;95%",IF(H1667&gt;85%,"En riesgo &gt;85%","Sin riesgo &lt;85%")))</f>
        <v>Sin riesgo &lt;85%</v>
      </c>
      <c r="J1667" s="1" t="s">
        <v>13</v>
      </c>
      <c r="K1667" s="1" t="str">
        <f t="shared" ref="K1667:K1730" si="80">IF(J1667="&gt;5","Sin riesgo",IF(J1667&gt;1.5,"Estado de alerta","Estado critico"))</f>
        <v>Sin riesgo</v>
      </c>
    </row>
    <row r="1668" spans="1:11">
      <c r="A1668" s="1" t="s">
        <v>569</v>
      </c>
      <c r="B1668" s="6" t="s">
        <v>14</v>
      </c>
      <c r="C1668" s="3">
        <v>22.24</v>
      </c>
      <c r="D1668" s="3">
        <v>27.07</v>
      </c>
      <c r="E1668" s="3">
        <v>40</v>
      </c>
      <c r="F1668" s="4">
        <v>3.4368099999999999</v>
      </c>
      <c r="G1668" s="4">
        <v>-76.517362000000006</v>
      </c>
      <c r="H1668" s="9">
        <f t="shared" si="78"/>
        <v>0.67674999999999996</v>
      </c>
      <c r="I1668" s="4" t="str">
        <f t="shared" si="79"/>
        <v>Sin riesgo &lt;85%</v>
      </c>
      <c r="J1668" s="1" t="s">
        <v>13</v>
      </c>
      <c r="K1668" s="1" t="str">
        <f t="shared" si="80"/>
        <v>Sin riesgo</v>
      </c>
    </row>
    <row r="1669" spans="1:11">
      <c r="A1669" s="1" t="s">
        <v>569</v>
      </c>
      <c r="B1669" s="6" t="s">
        <v>15</v>
      </c>
      <c r="C1669" s="3">
        <v>22.24</v>
      </c>
      <c r="D1669" s="3">
        <v>27.07</v>
      </c>
      <c r="E1669" s="3">
        <v>40</v>
      </c>
      <c r="F1669" s="4">
        <v>3.4368099999999999</v>
      </c>
      <c r="G1669" s="4">
        <v>-76.517362000000006</v>
      </c>
      <c r="H1669" s="9">
        <f t="shared" si="78"/>
        <v>0.67674999999999996</v>
      </c>
      <c r="I1669" s="4" t="str">
        <f t="shared" si="79"/>
        <v>Sin riesgo &lt;85%</v>
      </c>
      <c r="J1669" s="1" t="s">
        <v>13</v>
      </c>
      <c r="K1669" s="1" t="str">
        <f t="shared" si="80"/>
        <v>Sin riesgo</v>
      </c>
    </row>
    <row r="1670" spans="1:11">
      <c r="A1670" s="1" t="s">
        <v>570</v>
      </c>
      <c r="B1670" s="6" t="s">
        <v>12</v>
      </c>
      <c r="C1670" s="3">
        <v>17.03</v>
      </c>
      <c r="D1670" s="3">
        <v>18.47</v>
      </c>
      <c r="E1670" s="3">
        <v>40</v>
      </c>
      <c r="F1670" s="4">
        <v>3.41525802232416</v>
      </c>
      <c r="G1670" s="4">
        <v>-76.415216133492606</v>
      </c>
      <c r="H1670" s="9">
        <f t="shared" si="78"/>
        <v>0.46174999999999999</v>
      </c>
      <c r="I1670" s="4" t="str">
        <f t="shared" si="79"/>
        <v>Sin riesgo &lt;85%</v>
      </c>
      <c r="J1670" s="1" t="s">
        <v>13</v>
      </c>
      <c r="K1670" s="1" t="str">
        <f t="shared" si="80"/>
        <v>Sin riesgo</v>
      </c>
    </row>
    <row r="1671" spans="1:11">
      <c r="A1671" s="1" t="s">
        <v>570</v>
      </c>
      <c r="B1671" s="6" t="s">
        <v>14</v>
      </c>
      <c r="C1671" s="3">
        <v>17.43</v>
      </c>
      <c r="D1671" s="3">
        <v>18.95</v>
      </c>
      <c r="E1671" s="3">
        <v>40</v>
      </c>
      <c r="F1671" s="4">
        <v>3.41525802232416</v>
      </c>
      <c r="G1671" s="4">
        <v>-76.415216133492606</v>
      </c>
      <c r="H1671" s="9">
        <f t="shared" si="78"/>
        <v>0.47375</v>
      </c>
      <c r="I1671" s="4" t="str">
        <f t="shared" si="79"/>
        <v>Sin riesgo &lt;85%</v>
      </c>
      <c r="J1671" s="1" t="s">
        <v>13</v>
      </c>
      <c r="K1671" s="1" t="str">
        <f t="shared" si="80"/>
        <v>Sin riesgo</v>
      </c>
    </row>
    <row r="1672" spans="1:11">
      <c r="A1672" s="1" t="s">
        <v>570</v>
      </c>
      <c r="B1672" s="6" t="s">
        <v>15</v>
      </c>
      <c r="C1672" s="3">
        <v>17.43</v>
      </c>
      <c r="D1672" s="3">
        <v>18.95</v>
      </c>
      <c r="E1672" s="3">
        <v>40</v>
      </c>
      <c r="F1672" s="4">
        <v>3.41525802232416</v>
      </c>
      <c r="G1672" s="4">
        <v>-76.415216133492606</v>
      </c>
      <c r="H1672" s="9">
        <f t="shared" si="78"/>
        <v>0.47375</v>
      </c>
      <c r="I1672" s="4" t="str">
        <f t="shared" si="79"/>
        <v>Sin riesgo &lt;85%</v>
      </c>
      <c r="J1672" s="1" t="s">
        <v>13</v>
      </c>
      <c r="K1672" s="1" t="str">
        <f t="shared" si="80"/>
        <v>Sin riesgo</v>
      </c>
    </row>
    <row r="1673" spans="1:11">
      <c r="A1673" s="1" t="s">
        <v>571</v>
      </c>
      <c r="B1673" s="6" t="s">
        <v>12</v>
      </c>
      <c r="C1673" s="3">
        <v>26.02</v>
      </c>
      <c r="D1673" s="3">
        <v>31</v>
      </c>
      <c r="E1673" s="3">
        <v>40</v>
      </c>
      <c r="F1673" s="11"/>
      <c r="G1673" s="11"/>
      <c r="H1673" s="9">
        <f t="shared" si="78"/>
        <v>0.77500000000000002</v>
      </c>
      <c r="I1673" s="4" t="str">
        <f t="shared" si="79"/>
        <v>Sin riesgo &lt;85%</v>
      </c>
      <c r="J1673" s="1" t="s">
        <v>13</v>
      </c>
      <c r="K1673" s="1" t="str">
        <f t="shared" si="80"/>
        <v>Sin riesgo</v>
      </c>
    </row>
    <row r="1674" spans="1:11">
      <c r="A1674" s="1" t="s">
        <v>571</v>
      </c>
      <c r="B1674" s="6" t="s">
        <v>14</v>
      </c>
      <c r="C1674" s="3">
        <v>37.630000000000003</v>
      </c>
      <c r="D1674" s="3">
        <v>35.57</v>
      </c>
      <c r="E1674" s="3">
        <v>40</v>
      </c>
      <c r="F1674" s="11"/>
      <c r="G1674" s="11"/>
      <c r="H1674" s="9">
        <f t="shared" si="78"/>
        <v>0.94075000000000009</v>
      </c>
      <c r="I1674" s="4" t="str">
        <f t="shared" si="79"/>
        <v>En riesgo &gt;85%</v>
      </c>
      <c r="J1674" s="1" t="s">
        <v>13</v>
      </c>
      <c r="K1674" s="1" t="str">
        <f t="shared" si="80"/>
        <v>Sin riesgo</v>
      </c>
    </row>
    <row r="1675" spans="1:11">
      <c r="A1675" s="1" t="s">
        <v>571</v>
      </c>
      <c r="B1675" s="6" t="s">
        <v>15</v>
      </c>
      <c r="C1675" s="3">
        <v>37.630000000000003</v>
      </c>
      <c r="D1675" s="3">
        <v>35.56</v>
      </c>
      <c r="E1675" s="3">
        <v>40</v>
      </c>
      <c r="F1675" s="11"/>
      <c r="G1675" s="11"/>
      <c r="H1675" s="9">
        <f t="shared" si="78"/>
        <v>0.94075000000000009</v>
      </c>
      <c r="I1675" s="4" t="str">
        <f t="shared" si="79"/>
        <v>En riesgo &gt;85%</v>
      </c>
      <c r="J1675" s="1" t="s">
        <v>13</v>
      </c>
      <c r="K1675" s="1" t="str">
        <f t="shared" si="80"/>
        <v>Sin riesgo</v>
      </c>
    </row>
    <row r="1676" spans="1:11">
      <c r="A1676" s="1" t="s">
        <v>572</v>
      </c>
      <c r="B1676" s="6" t="s">
        <v>12</v>
      </c>
      <c r="C1676" s="3">
        <v>0</v>
      </c>
      <c r="D1676" s="3">
        <v>0</v>
      </c>
      <c r="E1676" s="3">
        <v>40</v>
      </c>
      <c r="F1676" s="11"/>
      <c r="G1676" s="11"/>
      <c r="H1676" s="9">
        <f t="shared" si="78"/>
        <v>0</v>
      </c>
      <c r="I1676" s="4" t="str">
        <f t="shared" si="79"/>
        <v>Sin riesgo &lt;85%</v>
      </c>
      <c r="J1676" s="1" t="s">
        <v>13</v>
      </c>
      <c r="K1676" s="1" t="str">
        <f t="shared" si="80"/>
        <v>Sin riesgo</v>
      </c>
    </row>
    <row r="1677" spans="1:11">
      <c r="A1677" s="1" t="s">
        <v>572</v>
      </c>
      <c r="B1677" s="6" t="s">
        <v>14</v>
      </c>
      <c r="C1677" s="3">
        <v>24.98</v>
      </c>
      <c r="D1677" s="3">
        <v>25.81</v>
      </c>
      <c r="E1677" s="3">
        <v>40</v>
      </c>
      <c r="F1677" s="11"/>
      <c r="G1677" s="11"/>
      <c r="H1677" s="9">
        <f t="shared" si="78"/>
        <v>0.64524999999999999</v>
      </c>
      <c r="I1677" s="4" t="str">
        <f t="shared" si="79"/>
        <v>Sin riesgo &lt;85%</v>
      </c>
      <c r="J1677" s="1" t="s">
        <v>13</v>
      </c>
      <c r="K1677" s="1" t="str">
        <f t="shared" si="80"/>
        <v>Sin riesgo</v>
      </c>
    </row>
    <row r="1678" spans="1:11">
      <c r="A1678" s="1" t="s">
        <v>572</v>
      </c>
      <c r="B1678" s="6" t="s">
        <v>15</v>
      </c>
      <c r="C1678" s="3">
        <v>24.98</v>
      </c>
      <c r="D1678" s="3">
        <v>25.81</v>
      </c>
      <c r="E1678" s="3">
        <v>40</v>
      </c>
      <c r="F1678" s="11"/>
      <c r="G1678" s="11"/>
      <c r="H1678" s="9">
        <f t="shared" si="78"/>
        <v>0.64524999999999999</v>
      </c>
      <c r="I1678" s="4" t="str">
        <f t="shared" si="79"/>
        <v>Sin riesgo &lt;85%</v>
      </c>
      <c r="J1678" s="1" t="s">
        <v>13</v>
      </c>
      <c r="K1678" s="1" t="str">
        <f t="shared" si="80"/>
        <v>Sin riesgo</v>
      </c>
    </row>
    <row r="1679" spans="1:11">
      <c r="A1679" s="1" t="s">
        <v>573</v>
      </c>
      <c r="B1679" s="6" t="s">
        <v>12</v>
      </c>
      <c r="C1679" s="3">
        <v>14.54</v>
      </c>
      <c r="D1679" s="3">
        <v>16.07</v>
      </c>
      <c r="E1679" s="3">
        <v>40</v>
      </c>
      <c r="F1679" s="4">
        <v>3.5588519999999999</v>
      </c>
      <c r="G1679" s="4">
        <v>-76.467686999999998</v>
      </c>
      <c r="H1679" s="9">
        <f t="shared" si="78"/>
        <v>0.40175</v>
      </c>
      <c r="I1679" s="4" t="str">
        <f t="shared" si="79"/>
        <v>Sin riesgo &lt;85%</v>
      </c>
      <c r="J1679" s="1" t="s">
        <v>13</v>
      </c>
      <c r="K1679" s="1" t="str">
        <f t="shared" si="80"/>
        <v>Sin riesgo</v>
      </c>
    </row>
    <row r="1680" spans="1:11">
      <c r="A1680" s="1" t="s">
        <v>573</v>
      </c>
      <c r="B1680" s="6" t="s">
        <v>14</v>
      </c>
      <c r="C1680" s="3">
        <v>14.6</v>
      </c>
      <c r="D1680" s="3">
        <v>16.14</v>
      </c>
      <c r="E1680" s="3">
        <v>40</v>
      </c>
      <c r="F1680" s="4">
        <v>3.5588519999999999</v>
      </c>
      <c r="G1680" s="4">
        <v>-76.467686999999998</v>
      </c>
      <c r="H1680" s="9">
        <f t="shared" si="78"/>
        <v>0.40350000000000003</v>
      </c>
      <c r="I1680" s="4" t="str">
        <f t="shared" si="79"/>
        <v>Sin riesgo &lt;85%</v>
      </c>
      <c r="J1680" s="1" t="s">
        <v>13</v>
      </c>
      <c r="K1680" s="1" t="str">
        <f t="shared" si="80"/>
        <v>Sin riesgo</v>
      </c>
    </row>
    <row r="1681" spans="1:11">
      <c r="A1681" s="1" t="s">
        <v>573</v>
      </c>
      <c r="B1681" s="6" t="s">
        <v>15</v>
      </c>
      <c r="C1681" s="3">
        <v>14.6</v>
      </c>
      <c r="D1681" s="3">
        <v>16.14</v>
      </c>
      <c r="E1681" s="3">
        <v>40</v>
      </c>
      <c r="F1681" s="4">
        <v>3.5588519999999999</v>
      </c>
      <c r="G1681" s="4">
        <v>-76.467686999999998</v>
      </c>
      <c r="H1681" s="9">
        <f t="shared" si="78"/>
        <v>0.40350000000000003</v>
      </c>
      <c r="I1681" s="4" t="str">
        <f t="shared" si="79"/>
        <v>Sin riesgo &lt;85%</v>
      </c>
      <c r="J1681" s="1" t="s">
        <v>13</v>
      </c>
      <c r="K1681" s="1" t="str">
        <f t="shared" si="80"/>
        <v>Sin riesgo</v>
      </c>
    </row>
    <row r="1682" spans="1:11">
      <c r="A1682" s="1" t="s">
        <v>574</v>
      </c>
      <c r="B1682" s="6" t="s">
        <v>12</v>
      </c>
      <c r="C1682" s="3">
        <v>31.75</v>
      </c>
      <c r="D1682" s="3">
        <v>32.51</v>
      </c>
      <c r="E1682" s="3">
        <v>31.5</v>
      </c>
      <c r="F1682" s="4">
        <v>3.4423471703077602</v>
      </c>
      <c r="G1682" s="4">
        <v>-76.483161223624506</v>
      </c>
      <c r="H1682" s="9">
        <f t="shared" si="78"/>
        <v>1.0320634920634919</v>
      </c>
      <c r="I1682" s="4" t="str">
        <f t="shared" si="79"/>
        <v>Altamente critico &gt;100%</v>
      </c>
      <c r="J1682" s="1" t="s">
        <v>13</v>
      </c>
      <c r="K1682" s="1" t="str">
        <f t="shared" si="80"/>
        <v>Sin riesgo</v>
      </c>
    </row>
    <row r="1683" spans="1:11">
      <c r="A1683" s="1" t="s">
        <v>574</v>
      </c>
      <c r="B1683" s="6" t="s">
        <v>14</v>
      </c>
      <c r="C1683" s="3">
        <v>33.58</v>
      </c>
      <c r="D1683" s="3">
        <v>33.99</v>
      </c>
      <c r="E1683" s="3">
        <v>31.5</v>
      </c>
      <c r="F1683" s="4">
        <v>3.4423471703077602</v>
      </c>
      <c r="G1683" s="4">
        <v>-76.483161223624506</v>
      </c>
      <c r="H1683" s="9">
        <f t="shared" si="78"/>
        <v>1.079047619047619</v>
      </c>
      <c r="I1683" s="4" t="str">
        <f t="shared" si="79"/>
        <v>Altamente critico &gt;100%</v>
      </c>
      <c r="J1683" s="1" t="s">
        <v>13</v>
      </c>
      <c r="K1683" s="1" t="str">
        <f t="shared" si="80"/>
        <v>Sin riesgo</v>
      </c>
    </row>
    <row r="1684" spans="1:11">
      <c r="A1684" s="1" t="s">
        <v>574</v>
      </c>
      <c r="B1684" s="6" t="s">
        <v>15</v>
      </c>
      <c r="C1684" s="3">
        <v>33.58</v>
      </c>
      <c r="D1684" s="3">
        <v>33.979999999999997</v>
      </c>
      <c r="E1684" s="3">
        <v>31.5</v>
      </c>
      <c r="F1684" s="4">
        <v>3.4423471703077602</v>
      </c>
      <c r="G1684" s="4">
        <v>-76.483161223624506</v>
      </c>
      <c r="H1684" s="9">
        <f t="shared" si="78"/>
        <v>1.0787301587301585</v>
      </c>
      <c r="I1684" s="4" t="str">
        <f t="shared" si="79"/>
        <v>Altamente critico &gt;100%</v>
      </c>
      <c r="J1684" s="1" t="s">
        <v>13</v>
      </c>
      <c r="K1684" s="1" t="str">
        <f t="shared" si="80"/>
        <v>Sin riesgo</v>
      </c>
    </row>
    <row r="1685" spans="1:11">
      <c r="A1685" s="1" t="s">
        <v>575</v>
      </c>
      <c r="B1685" s="6" t="s">
        <v>12</v>
      </c>
      <c r="C1685" s="3">
        <v>20.02</v>
      </c>
      <c r="D1685" s="3">
        <v>21.95</v>
      </c>
      <c r="E1685" s="3">
        <v>40</v>
      </c>
      <c r="F1685" s="4">
        <v>3.4423471703077602</v>
      </c>
      <c r="G1685" s="4">
        <v>-76.483161223624506</v>
      </c>
      <c r="H1685" s="9">
        <f t="shared" si="78"/>
        <v>0.54874999999999996</v>
      </c>
      <c r="I1685" s="4" t="str">
        <f t="shared" si="79"/>
        <v>Sin riesgo &lt;85%</v>
      </c>
      <c r="J1685" s="1" t="s">
        <v>13</v>
      </c>
      <c r="K1685" s="1" t="str">
        <f t="shared" si="80"/>
        <v>Sin riesgo</v>
      </c>
    </row>
    <row r="1686" spans="1:11">
      <c r="A1686" s="1" t="s">
        <v>575</v>
      </c>
      <c r="B1686" s="6" t="s">
        <v>14</v>
      </c>
      <c r="C1686" s="3">
        <v>20.78</v>
      </c>
      <c r="D1686" s="3">
        <v>22.44</v>
      </c>
      <c r="E1686" s="3">
        <v>40</v>
      </c>
      <c r="F1686" s="4">
        <v>3.4423471703077602</v>
      </c>
      <c r="G1686" s="4">
        <v>-76.483161223624506</v>
      </c>
      <c r="H1686" s="9">
        <f t="shared" si="78"/>
        <v>0.56100000000000005</v>
      </c>
      <c r="I1686" s="4" t="str">
        <f t="shared" si="79"/>
        <v>Sin riesgo &lt;85%</v>
      </c>
      <c r="J1686" s="1" t="s">
        <v>13</v>
      </c>
      <c r="K1686" s="1" t="str">
        <f t="shared" si="80"/>
        <v>Sin riesgo</v>
      </c>
    </row>
    <row r="1687" spans="1:11">
      <c r="A1687" s="1" t="s">
        <v>575</v>
      </c>
      <c r="B1687" s="6" t="s">
        <v>15</v>
      </c>
      <c r="C1687" s="3">
        <v>20.78</v>
      </c>
      <c r="D1687" s="3">
        <v>22.44</v>
      </c>
      <c r="E1687" s="3">
        <v>40</v>
      </c>
      <c r="F1687" s="4">
        <v>3.4423471703077602</v>
      </c>
      <c r="G1687" s="4">
        <v>-76.483161223624506</v>
      </c>
      <c r="H1687" s="9">
        <f t="shared" si="78"/>
        <v>0.56100000000000005</v>
      </c>
      <c r="I1687" s="4" t="str">
        <f t="shared" si="79"/>
        <v>Sin riesgo &lt;85%</v>
      </c>
      <c r="J1687" s="1" t="s">
        <v>13</v>
      </c>
      <c r="K1687" s="1" t="str">
        <f t="shared" si="80"/>
        <v>Sin riesgo</v>
      </c>
    </row>
    <row r="1688" spans="1:11">
      <c r="A1688" s="1" t="s">
        <v>576</v>
      </c>
      <c r="B1688" s="6" t="s">
        <v>12</v>
      </c>
      <c r="C1688" s="3">
        <v>31.1</v>
      </c>
      <c r="D1688" s="3">
        <v>30.62</v>
      </c>
      <c r="E1688" s="3">
        <v>40</v>
      </c>
      <c r="F1688" s="4">
        <v>3.4423471703077602</v>
      </c>
      <c r="G1688" s="4">
        <v>-76.483161223624506</v>
      </c>
      <c r="H1688" s="9">
        <f t="shared" si="78"/>
        <v>0.77750000000000008</v>
      </c>
      <c r="I1688" s="4" t="str">
        <f t="shared" si="79"/>
        <v>Sin riesgo &lt;85%</v>
      </c>
      <c r="J1688" s="1" t="s">
        <v>13</v>
      </c>
      <c r="K1688" s="1" t="str">
        <f t="shared" si="80"/>
        <v>Sin riesgo</v>
      </c>
    </row>
    <row r="1689" spans="1:11">
      <c r="A1689" s="1" t="s">
        <v>576</v>
      </c>
      <c r="B1689" s="6" t="s">
        <v>14</v>
      </c>
      <c r="C1689" s="3">
        <v>32.25</v>
      </c>
      <c r="D1689" s="3">
        <v>31.69</v>
      </c>
      <c r="E1689" s="3">
        <v>40</v>
      </c>
      <c r="F1689" s="4">
        <v>3.4423471703077602</v>
      </c>
      <c r="G1689" s="4">
        <v>-76.483161223624506</v>
      </c>
      <c r="H1689" s="9">
        <f t="shared" si="78"/>
        <v>0.80625000000000002</v>
      </c>
      <c r="I1689" s="4" t="str">
        <f t="shared" si="79"/>
        <v>Sin riesgo &lt;85%</v>
      </c>
      <c r="J1689" s="1" t="s">
        <v>13</v>
      </c>
      <c r="K1689" s="1" t="str">
        <f t="shared" si="80"/>
        <v>Sin riesgo</v>
      </c>
    </row>
    <row r="1690" spans="1:11">
      <c r="A1690" s="1" t="s">
        <v>576</v>
      </c>
      <c r="B1690" s="6" t="s">
        <v>15</v>
      </c>
      <c r="C1690" s="3">
        <v>32.25</v>
      </c>
      <c r="D1690" s="3">
        <v>31.69</v>
      </c>
      <c r="E1690" s="3">
        <v>40</v>
      </c>
      <c r="F1690" s="4">
        <v>3.4423471703077602</v>
      </c>
      <c r="G1690" s="4">
        <v>-76.483161223624506</v>
      </c>
      <c r="H1690" s="9">
        <f t="shared" si="78"/>
        <v>0.80625000000000002</v>
      </c>
      <c r="I1690" s="4" t="str">
        <f t="shared" si="79"/>
        <v>Sin riesgo &lt;85%</v>
      </c>
      <c r="J1690" s="1" t="s">
        <v>13</v>
      </c>
      <c r="K1690" s="1" t="str">
        <f t="shared" si="80"/>
        <v>Sin riesgo</v>
      </c>
    </row>
    <row r="1691" spans="1:11">
      <c r="A1691" s="1" t="s">
        <v>577</v>
      </c>
      <c r="B1691" s="6" t="s">
        <v>12</v>
      </c>
      <c r="C1691" s="3">
        <v>1.43</v>
      </c>
      <c r="D1691" s="3">
        <v>2.1800000000000002</v>
      </c>
      <c r="E1691" s="3">
        <v>40</v>
      </c>
      <c r="F1691" s="4">
        <v>3.4814989999999999</v>
      </c>
      <c r="G1691" s="4">
        <v>-76.531548999999998</v>
      </c>
      <c r="H1691" s="9">
        <f t="shared" si="78"/>
        <v>5.4500000000000007E-2</v>
      </c>
      <c r="I1691" s="4" t="str">
        <f t="shared" si="79"/>
        <v>Sin riesgo &lt;85%</v>
      </c>
      <c r="J1691" s="1" t="s">
        <v>13</v>
      </c>
      <c r="K1691" s="1" t="str">
        <f t="shared" si="80"/>
        <v>Sin riesgo</v>
      </c>
    </row>
    <row r="1692" spans="1:11">
      <c r="A1692" s="1" t="s">
        <v>577</v>
      </c>
      <c r="B1692" s="6" t="s">
        <v>14</v>
      </c>
      <c r="C1692" s="3">
        <v>1.44</v>
      </c>
      <c r="D1692" s="3">
        <v>2.19</v>
      </c>
      <c r="E1692" s="3">
        <v>40</v>
      </c>
      <c r="F1692" s="4">
        <v>3.4814989999999999</v>
      </c>
      <c r="G1692" s="4">
        <v>-76.531548999999998</v>
      </c>
      <c r="H1692" s="9">
        <f t="shared" si="78"/>
        <v>5.475E-2</v>
      </c>
      <c r="I1692" s="4" t="str">
        <f t="shared" si="79"/>
        <v>Sin riesgo &lt;85%</v>
      </c>
      <c r="J1692" s="1" t="s">
        <v>13</v>
      </c>
      <c r="K1692" s="1" t="str">
        <f t="shared" si="80"/>
        <v>Sin riesgo</v>
      </c>
    </row>
    <row r="1693" spans="1:11">
      <c r="A1693" s="1" t="s">
        <v>577</v>
      </c>
      <c r="B1693" s="6" t="s">
        <v>15</v>
      </c>
      <c r="C1693" s="3">
        <v>1.44</v>
      </c>
      <c r="D1693" s="3">
        <v>2.19</v>
      </c>
      <c r="E1693" s="3">
        <v>40</v>
      </c>
      <c r="F1693" s="4">
        <v>3.4814989999999999</v>
      </c>
      <c r="G1693" s="4">
        <v>-76.531548999999998</v>
      </c>
      <c r="H1693" s="9">
        <f t="shared" si="78"/>
        <v>5.475E-2</v>
      </c>
      <c r="I1693" s="4" t="str">
        <f t="shared" si="79"/>
        <v>Sin riesgo &lt;85%</v>
      </c>
      <c r="J1693" s="1" t="s">
        <v>13</v>
      </c>
      <c r="K1693" s="1" t="str">
        <f t="shared" si="80"/>
        <v>Sin riesgo</v>
      </c>
    </row>
    <row r="1694" spans="1:11">
      <c r="A1694" s="1" t="s">
        <v>578</v>
      </c>
      <c r="B1694" s="6" t="s">
        <v>12</v>
      </c>
      <c r="C1694" s="3">
        <v>4.53</v>
      </c>
      <c r="D1694" s="3">
        <v>6.89</v>
      </c>
      <c r="E1694" s="3">
        <v>40</v>
      </c>
      <c r="F1694" s="4">
        <v>4.5326180678058998</v>
      </c>
      <c r="G1694" s="4">
        <v>-76.062105354462901</v>
      </c>
      <c r="H1694" s="9">
        <f t="shared" si="78"/>
        <v>0.17224999999999999</v>
      </c>
      <c r="I1694" s="4" t="str">
        <f t="shared" si="79"/>
        <v>Sin riesgo &lt;85%</v>
      </c>
      <c r="J1694" s="1" t="s">
        <v>13</v>
      </c>
      <c r="K1694" s="1" t="str">
        <f t="shared" si="80"/>
        <v>Sin riesgo</v>
      </c>
    </row>
    <row r="1695" spans="1:11">
      <c r="A1695" s="1" t="s">
        <v>578</v>
      </c>
      <c r="B1695" s="6" t="s">
        <v>14</v>
      </c>
      <c r="C1695" s="3">
        <v>4.57</v>
      </c>
      <c r="D1695" s="3">
        <v>6.95</v>
      </c>
      <c r="E1695" s="3">
        <v>40</v>
      </c>
      <c r="F1695" s="4">
        <v>4.5326180678058998</v>
      </c>
      <c r="G1695" s="4">
        <v>-76.062105354462901</v>
      </c>
      <c r="H1695" s="9">
        <f t="shared" si="78"/>
        <v>0.17375000000000002</v>
      </c>
      <c r="I1695" s="4" t="str">
        <f t="shared" si="79"/>
        <v>Sin riesgo &lt;85%</v>
      </c>
      <c r="J1695" s="1" t="s">
        <v>13</v>
      </c>
      <c r="K1695" s="1" t="str">
        <f t="shared" si="80"/>
        <v>Sin riesgo</v>
      </c>
    </row>
    <row r="1696" spans="1:11">
      <c r="A1696" s="1" t="s">
        <v>578</v>
      </c>
      <c r="B1696" s="6" t="s">
        <v>15</v>
      </c>
      <c r="C1696" s="3">
        <v>4.57</v>
      </c>
      <c r="D1696" s="3">
        <v>6.95</v>
      </c>
      <c r="E1696" s="3">
        <v>40</v>
      </c>
      <c r="F1696" s="4">
        <v>4.5326180678058998</v>
      </c>
      <c r="G1696" s="4">
        <v>-76.062105354462901</v>
      </c>
      <c r="H1696" s="9">
        <f t="shared" si="78"/>
        <v>0.17375000000000002</v>
      </c>
      <c r="I1696" s="4" t="str">
        <f t="shared" si="79"/>
        <v>Sin riesgo &lt;85%</v>
      </c>
      <c r="J1696" s="1" t="s">
        <v>13</v>
      </c>
      <c r="K1696" s="1" t="str">
        <f t="shared" si="80"/>
        <v>Sin riesgo</v>
      </c>
    </row>
    <row r="1697" spans="1:11">
      <c r="A1697" s="1" t="s">
        <v>579</v>
      </c>
      <c r="B1697" s="6" t="s">
        <v>12</v>
      </c>
      <c r="C1697" s="3">
        <v>11.22</v>
      </c>
      <c r="D1697" s="3">
        <v>15.36</v>
      </c>
      <c r="E1697" s="3">
        <v>40</v>
      </c>
      <c r="F1697" s="4">
        <v>3.4261210000000002</v>
      </c>
      <c r="G1697" s="4">
        <v>-76.552368999999999</v>
      </c>
      <c r="H1697" s="9">
        <f t="shared" si="78"/>
        <v>0.38400000000000001</v>
      </c>
      <c r="I1697" s="4" t="str">
        <f t="shared" si="79"/>
        <v>Sin riesgo &lt;85%</v>
      </c>
      <c r="J1697" s="1" t="s">
        <v>13</v>
      </c>
      <c r="K1697" s="1" t="str">
        <f t="shared" si="80"/>
        <v>Sin riesgo</v>
      </c>
    </row>
    <row r="1698" spans="1:11">
      <c r="A1698" s="1" t="s">
        <v>579</v>
      </c>
      <c r="B1698" s="6" t="s">
        <v>14</v>
      </c>
      <c r="C1698" s="3">
        <v>11.25</v>
      </c>
      <c r="D1698" s="3">
        <v>15.41</v>
      </c>
      <c r="E1698" s="3">
        <v>40</v>
      </c>
      <c r="F1698" s="4">
        <v>3.4261210000000002</v>
      </c>
      <c r="G1698" s="4">
        <v>-76.552368999999999</v>
      </c>
      <c r="H1698" s="9">
        <f t="shared" si="78"/>
        <v>0.38524999999999998</v>
      </c>
      <c r="I1698" s="4" t="str">
        <f t="shared" si="79"/>
        <v>Sin riesgo &lt;85%</v>
      </c>
      <c r="J1698" s="1" t="s">
        <v>13</v>
      </c>
      <c r="K1698" s="1" t="str">
        <f t="shared" si="80"/>
        <v>Sin riesgo</v>
      </c>
    </row>
    <row r="1699" spans="1:11">
      <c r="A1699" s="1" t="s">
        <v>579</v>
      </c>
      <c r="B1699" s="6" t="s">
        <v>15</v>
      </c>
      <c r="C1699" s="3">
        <v>11.25</v>
      </c>
      <c r="D1699" s="3">
        <v>15.41</v>
      </c>
      <c r="E1699" s="3">
        <v>40</v>
      </c>
      <c r="F1699" s="4">
        <v>3.4261210000000002</v>
      </c>
      <c r="G1699" s="4">
        <v>-76.552368999999999</v>
      </c>
      <c r="H1699" s="9">
        <f t="shared" si="78"/>
        <v>0.38524999999999998</v>
      </c>
      <c r="I1699" s="4" t="str">
        <f t="shared" si="79"/>
        <v>Sin riesgo &lt;85%</v>
      </c>
      <c r="J1699" s="1" t="s">
        <v>13</v>
      </c>
      <c r="K1699" s="1" t="str">
        <f t="shared" si="80"/>
        <v>Sin riesgo</v>
      </c>
    </row>
    <row r="1700" spans="1:11">
      <c r="A1700" s="1" t="s">
        <v>580</v>
      </c>
      <c r="B1700" s="6" t="s">
        <v>12</v>
      </c>
      <c r="C1700" s="3">
        <v>9.81</v>
      </c>
      <c r="D1700" s="3">
        <v>10.74</v>
      </c>
      <c r="E1700" s="3">
        <v>25</v>
      </c>
      <c r="F1700" s="11"/>
      <c r="G1700" s="11"/>
      <c r="H1700" s="9">
        <f t="shared" si="78"/>
        <v>0.42959999999999998</v>
      </c>
      <c r="I1700" s="4" t="str">
        <f t="shared" si="79"/>
        <v>Sin riesgo &lt;85%</v>
      </c>
      <c r="J1700" s="1" t="s">
        <v>13</v>
      </c>
      <c r="K1700" s="1" t="str">
        <f t="shared" si="80"/>
        <v>Sin riesgo</v>
      </c>
    </row>
    <row r="1701" spans="1:11">
      <c r="A1701" s="1" t="s">
        <v>580</v>
      </c>
      <c r="B1701" s="6" t="s">
        <v>14</v>
      </c>
      <c r="C1701" s="3">
        <v>9.93</v>
      </c>
      <c r="D1701" s="3">
        <v>10.91</v>
      </c>
      <c r="E1701" s="3">
        <v>25</v>
      </c>
      <c r="F1701" s="11"/>
      <c r="G1701" s="11"/>
      <c r="H1701" s="9">
        <f t="shared" si="78"/>
        <v>0.43640000000000001</v>
      </c>
      <c r="I1701" s="4" t="str">
        <f t="shared" si="79"/>
        <v>Sin riesgo &lt;85%</v>
      </c>
      <c r="J1701" s="1" t="s">
        <v>13</v>
      </c>
      <c r="K1701" s="1" t="str">
        <f t="shared" si="80"/>
        <v>Sin riesgo</v>
      </c>
    </row>
    <row r="1702" spans="1:11">
      <c r="A1702" s="1" t="s">
        <v>580</v>
      </c>
      <c r="B1702" s="6" t="s">
        <v>15</v>
      </c>
      <c r="C1702" s="3">
        <v>9.93</v>
      </c>
      <c r="D1702" s="3">
        <v>10.91</v>
      </c>
      <c r="E1702" s="3">
        <v>25</v>
      </c>
      <c r="F1702" s="11"/>
      <c r="G1702" s="11"/>
      <c r="H1702" s="9">
        <f t="shared" si="78"/>
        <v>0.43640000000000001</v>
      </c>
      <c r="I1702" s="4" t="str">
        <f t="shared" si="79"/>
        <v>Sin riesgo &lt;85%</v>
      </c>
      <c r="J1702" s="1" t="s">
        <v>13</v>
      </c>
      <c r="K1702" s="1" t="str">
        <f t="shared" si="80"/>
        <v>Sin riesgo</v>
      </c>
    </row>
    <row r="1703" spans="1:11">
      <c r="A1703" s="1" t="s">
        <v>581</v>
      </c>
      <c r="B1703" s="6" t="s">
        <v>12</v>
      </c>
      <c r="C1703" s="3">
        <v>21.48</v>
      </c>
      <c r="D1703" s="3">
        <v>26.28</v>
      </c>
      <c r="E1703" s="3">
        <v>40</v>
      </c>
      <c r="F1703" s="4">
        <v>3.3894133531636701</v>
      </c>
      <c r="G1703" s="4">
        <v>-76.525365738306903</v>
      </c>
      <c r="H1703" s="9">
        <f t="shared" si="78"/>
        <v>0.65700000000000003</v>
      </c>
      <c r="I1703" s="4" t="str">
        <f t="shared" si="79"/>
        <v>Sin riesgo &lt;85%</v>
      </c>
      <c r="J1703" s="1" t="s">
        <v>13</v>
      </c>
      <c r="K1703" s="1" t="str">
        <f t="shared" si="80"/>
        <v>Sin riesgo</v>
      </c>
    </row>
    <row r="1704" spans="1:11">
      <c r="A1704" s="1" t="s">
        <v>581</v>
      </c>
      <c r="B1704" s="6" t="s">
        <v>14</v>
      </c>
      <c r="C1704" s="3">
        <v>21.68</v>
      </c>
      <c r="D1704" s="3">
        <v>26.56</v>
      </c>
      <c r="E1704" s="3">
        <v>40</v>
      </c>
      <c r="F1704" s="4">
        <v>3.3894133531636701</v>
      </c>
      <c r="G1704" s="4">
        <v>-76.525365738306903</v>
      </c>
      <c r="H1704" s="9">
        <f t="shared" si="78"/>
        <v>0.66399999999999992</v>
      </c>
      <c r="I1704" s="4" t="str">
        <f t="shared" si="79"/>
        <v>Sin riesgo &lt;85%</v>
      </c>
      <c r="J1704" s="1" t="s">
        <v>13</v>
      </c>
      <c r="K1704" s="1" t="str">
        <f t="shared" si="80"/>
        <v>Sin riesgo</v>
      </c>
    </row>
    <row r="1705" spans="1:11">
      <c r="A1705" s="1" t="s">
        <v>581</v>
      </c>
      <c r="B1705" s="6" t="s">
        <v>15</v>
      </c>
      <c r="C1705" s="3">
        <v>21.68</v>
      </c>
      <c r="D1705" s="3">
        <v>26.56</v>
      </c>
      <c r="E1705" s="3">
        <v>40</v>
      </c>
      <c r="F1705" s="4">
        <v>3.3894133531636701</v>
      </c>
      <c r="G1705" s="4">
        <v>-76.525365738306903</v>
      </c>
      <c r="H1705" s="9">
        <f t="shared" si="78"/>
        <v>0.66399999999999992</v>
      </c>
      <c r="I1705" s="4" t="str">
        <f t="shared" si="79"/>
        <v>Sin riesgo &lt;85%</v>
      </c>
      <c r="J1705" s="1" t="s">
        <v>13</v>
      </c>
      <c r="K1705" s="1" t="str">
        <f t="shared" si="80"/>
        <v>Sin riesgo</v>
      </c>
    </row>
    <row r="1706" spans="1:11">
      <c r="A1706" s="1" t="s">
        <v>582</v>
      </c>
      <c r="B1706" s="6" t="s">
        <v>12</v>
      </c>
      <c r="C1706" s="3">
        <v>4.6500000000000004</v>
      </c>
      <c r="D1706" s="3">
        <v>11.17</v>
      </c>
      <c r="E1706" s="3">
        <v>40</v>
      </c>
      <c r="F1706" s="11"/>
      <c r="G1706" s="11"/>
      <c r="H1706" s="9">
        <f t="shared" si="78"/>
        <v>0.27925</v>
      </c>
      <c r="I1706" s="4" t="str">
        <f t="shared" si="79"/>
        <v>Sin riesgo &lt;85%</v>
      </c>
      <c r="J1706" s="1" t="s">
        <v>13</v>
      </c>
      <c r="K1706" s="1" t="str">
        <f t="shared" si="80"/>
        <v>Sin riesgo</v>
      </c>
    </row>
    <row r="1707" spans="1:11">
      <c r="A1707" s="1" t="s">
        <v>582</v>
      </c>
      <c r="B1707" s="6" t="s">
        <v>14</v>
      </c>
      <c r="C1707" s="3">
        <v>4.67</v>
      </c>
      <c r="D1707" s="3">
        <v>11.21</v>
      </c>
      <c r="E1707" s="3">
        <v>40</v>
      </c>
      <c r="F1707" s="11"/>
      <c r="G1707" s="11"/>
      <c r="H1707" s="9">
        <f t="shared" si="78"/>
        <v>0.28025</v>
      </c>
      <c r="I1707" s="4" t="str">
        <f t="shared" si="79"/>
        <v>Sin riesgo &lt;85%</v>
      </c>
      <c r="J1707" s="1" t="s">
        <v>13</v>
      </c>
      <c r="K1707" s="1" t="str">
        <f t="shared" si="80"/>
        <v>Sin riesgo</v>
      </c>
    </row>
    <row r="1708" spans="1:11">
      <c r="A1708" s="1" t="s">
        <v>582</v>
      </c>
      <c r="B1708" s="6" t="s">
        <v>15</v>
      </c>
      <c r="C1708" s="3">
        <v>4.67</v>
      </c>
      <c r="D1708" s="3">
        <v>11.21</v>
      </c>
      <c r="E1708" s="3">
        <v>40</v>
      </c>
      <c r="F1708" s="11"/>
      <c r="G1708" s="11"/>
      <c r="H1708" s="9">
        <f t="shared" si="78"/>
        <v>0.28025</v>
      </c>
      <c r="I1708" s="4" t="str">
        <f t="shared" si="79"/>
        <v>Sin riesgo &lt;85%</v>
      </c>
      <c r="J1708" s="1" t="s">
        <v>13</v>
      </c>
      <c r="K1708" s="1" t="str">
        <f t="shared" si="80"/>
        <v>Sin riesgo</v>
      </c>
    </row>
    <row r="1709" spans="1:11">
      <c r="A1709" s="1" t="s">
        <v>583</v>
      </c>
      <c r="B1709" s="6" t="s">
        <v>12</v>
      </c>
      <c r="C1709" s="3">
        <v>9.11</v>
      </c>
      <c r="D1709" s="3">
        <v>7.94</v>
      </c>
      <c r="E1709" s="3">
        <v>40</v>
      </c>
      <c r="F1709" s="11"/>
      <c r="G1709" s="11"/>
      <c r="H1709" s="9">
        <f t="shared" si="78"/>
        <v>0.22774999999999998</v>
      </c>
      <c r="I1709" s="4" t="str">
        <f t="shared" si="79"/>
        <v>Sin riesgo &lt;85%</v>
      </c>
      <c r="J1709" s="1" t="s">
        <v>13</v>
      </c>
      <c r="K1709" s="1" t="str">
        <f t="shared" si="80"/>
        <v>Sin riesgo</v>
      </c>
    </row>
    <row r="1710" spans="1:11">
      <c r="A1710" s="1" t="s">
        <v>583</v>
      </c>
      <c r="B1710" s="6" t="s">
        <v>14</v>
      </c>
      <c r="C1710" s="3">
        <v>9.14</v>
      </c>
      <c r="D1710" s="3">
        <v>7.96</v>
      </c>
      <c r="E1710" s="3">
        <v>40</v>
      </c>
      <c r="F1710" s="11"/>
      <c r="G1710" s="11"/>
      <c r="H1710" s="9">
        <f t="shared" si="78"/>
        <v>0.22850000000000001</v>
      </c>
      <c r="I1710" s="4" t="str">
        <f t="shared" si="79"/>
        <v>Sin riesgo &lt;85%</v>
      </c>
      <c r="J1710" s="1" t="s">
        <v>13</v>
      </c>
      <c r="K1710" s="1" t="str">
        <f t="shared" si="80"/>
        <v>Sin riesgo</v>
      </c>
    </row>
    <row r="1711" spans="1:11">
      <c r="A1711" s="1" t="s">
        <v>583</v>
      </c>
      <c r="B1711" s="6" t="s">
        <v>15</v>
      </c>
      <c r="C1711" s="3">
        <v>9.14</v>
      </c>
      <c r="D1711" s="3">
        <v>7.96</v>
      </c>
      <c r="E1711" s="3">
        <v>40</v>
      </c>
      <c r="F1711" s="11"/>
      <c r="G1711" s="11"/>
      <c r="H1711" s="9">
        <f t="shared" si="78"/>
        <v>0.22850000000000001</v>
      </c>
      <c r="I1711" s="4" t="str">
        <f t="shared" si="79"/>
        <v>Sin riesgo &lt;85%</v>
      </c>
      <c r="J1711" s="1" t="s">
        <v>13</v>
      </c>
      <c r="K1711" s="1" t="str">
        <f t="shared" si="80"/>
        <v>Sin riesgo</v>
      </c>
    </row>
    <row r="1712" spans="1:11">
      <c r="A1712" s="1" t="s">
        <v>584</v>
      </c>
      <c r="B1712" s="6" t="s">
        <v>12</v>
      </c>
      <c r="C1712" s="3">
        <v>4.57</v>
      </c>
      <c r="D1712" s="3">
        <v>10.38</v>
      </c>
      <c r="E1712" s="3">
        <v>25</v>
      </c>
      <c r="F1712" s="4">
        <v>3.8683237324195199</v>
      </c>
      <c r="G1712" s="4">
        <v>-77.005440883044301</v>
      </c>
      <c r="H1712" s="9">
        <f t="shared" si="78"/>
        <v>0.41520000000000001</v>
      </c>
      <c r="I1712" s="4" t="str">
        <f t="shared" si="79"/>
        <v>Sin riesgo &lt;85%</v>
      </c>
      <c r="J1712" s="1" t="s">
        <v>13</v>
      </c>
      <c r="K1712" s="1" t="str">
        <f t="shared" si="80"/>
        <v>Sin riesgo</v>
      </c>
    </row>
    <row r="1713" spans="1:11">
      <c r="A1713" s="1" t="s">
        <v>584</v>
      </c>
      <c r="B1713" s="6" t="s">
        <v>14</v>
      </c>
      <c r="C1713" s="3">
        <v>4.59</v>
      </c>
      <c r="D1713" s="3">
        <v>10.41</v>
      </c>
      <c r="E1713" s="3">
        <v>25</v>
      </c>
      <c r="F1713" s="4">
        <v>3.8683237324195199</v>
      </c>
      <c r="G1713" s="4">
        <v>-77.005440883044301</v>
      </c>
      <c r="H1713" s="9">
        <f t="shared" si="78"/>
        <v>0.41639999999999999</v>
      </c>
      <c r="I1713" s="4" t="str">
        <f t="shared" si="79"/>
        <v>Sin riesgo &lt;85%</v>
      </c>
      <c r="J1713" s="1" t="s">
        <v>13</v>
      </c>
      <c r="K1713" s="1" t="str">
        <f t="shared" si="80"/>
        <v>Sin riesgo</v>
      </c>
    </row>
    <row r="1714" spans="1:11">
      <c r="A1714" s="1" t="s">
        <v>584</v>
      </c>
      <c r="B1714" s="6" t="s">
        <v>15</v>
      </c>
      <c r="C1714" s="3">
        <v>4.58</v>
      </c>
      <c r="D1714" s="3">
        <v>10.41</v>
      </c>
      <c r="E1714" s="3">
        <v>25</v>
      </c>
      <c r="F1714" s="4">
        <v>3.8683237324195199</v>
      </c>
      <c r="G1714" s="4">
        <v>-77.005440883044301</v>
      </c>
      <c r="H1714" s="9">
        <f t="shared" si="78"/>
        <v>0.41639999999999999</v>
      </c>
      <c r="I1714" s="4" t="str">
        <f t="shared" si="79"/>
        <v>Sin riesgo &lt;85%</v>
      </c>
      <c r="J1714" s="1" t="s">
        <v>13</v>
      </c>
      <c r="K1714" s="1" t="str">
        <f t="shared" si="80"/>
        <v>Sin riesgo</v>
      </c>
    </row>
    <row r="1715" spans="1:11">
      <c r="A1715" s="1" t="s">
        <v>585</v>
      </c>
      <c r="B1715" s="6" t="s">
        <v>12</v>
      </c>
      <c r="C1715" s="3">
        <v>22.2</v>
      </c>
      <c r="D1715" s="3">
        <v>27.17</v>
      </c>
      <c r="E1715" s="3">
        <v>31.5</v>
      </c>
      <c r="F1715" s="4">
        <v>3.5052190123017501</v>
      </c>
      <c r="G1715" s="4">
        <v>-76.428367392502594</v>
      </c>
      <c r="H1715" s="9">
        <f t="shared" si="78"/>
        <v>0.86253968253968261</v>
      </c>
      <c r="I1715" s="4" t="str">
        <f t="shared" si="79"/>
        <v>En riesgo &gt;85%</v>
      </c>
      <c r="J1715" s="1" t="s">
        <v>13</v>
      </c>
      <c r="K1715" s="1" t="str">
        <f t="shared" si="80"/>
        <v>Sin riesgo</v>
      </c>
    </row>
    <row r="1716" spans="1:11">
      <c r="A1716" s="1" t="s">
        <v>585</v>
      </c>
      <c r="B1716" s="6" t="s">
        <v>14</v>
      </c>
      <c r="C1716" s="3">
        <v>26.05</v>
      </c>
      <c r="D1716" s="3">
        <v>29.49</v>
      </c>
      <c r="E1716" s="3">
        <v>31.5</v>
      </c>
      <c r="F1716" s="4">
        <v>3.5052190123017501</v>
      </c>
      <c r="G1716" s="4">
        <v>-76.428367392502594</v>
      </c>
      <c r="H1716" s="9">
        <f t="shared" si="78"/>
        <v>0.93619047619047613</v>
      </c>
      <c r="I1716" s="4" t="str">
        <f t="shared" si="79"/>
        <v>En riesgo &gt;85%</v>
      </c>
      <c r="J1716" s="1" t="s">
        <v>13</v>
      </c>
      <c r="K1716" s="1" t="str">
        <f t="shared" si="80"/>
        <v>Sin riesgo</v>
      </c>
    </row>
    <row r="1717" spans="1:11">
      <c r="A1717" s="1" t="s">
        <v>585</v>
      </c>
      <c r="B1717" s="6" t="s">
        <v>15</v>
      </c>
      <c r="C1717" s="3">
        <v>26.05</v>
      </c>
      <c r="D1717" s="3">
        <v>29.49</v>
      </c>
      <c r="E1717" s="3">
        <v>31.5</v>
      </c>
      <c r="F1717" s="4">
        <v>3.5052190123017501</v>
      </c>
      <c r="G1717" s="4">
        <v>-76.428367392502594</v>
      </c>
      <c r="H1717" s="9">
        <f t="shared" si="78"/>
        <v>0.93619047619047613</v>
      </c>
      <c r="I1717" s="4" t="str">
        <f t="shared" si="79"/>
        <v>En riesgo &gt;85%</v>
      </c>
      <c r="J1717" s="1" t="s">
        <v>13</v>
      </c>
      <c r="K1717" s="1" t="str">
        <f t="shared" si="80"/>
        <v>Sin riesgo</v>
      </c>
    </row>
    <row r="1718" spans="1:11">
      <c r="A1718" s="1" t="s">
        <v>586</v>
      </c>
      <c r="B1718" s="6" t="s">
        <v>12</v>
      </c>
      <c r="C1718" s="3">
        <v>29.05</v>
      </c>
      <c r="D1718" s="3">
        <v>27.05</v>
      </c>
      <c r="E1718" s="3">
        <v>31.5</v>
      </c>
      <c r="F1718" s="4">
        <v>3.35183896133735</v>
      </c>
      <c r="G1718" s="4">
        <v>-76.5469104757249</v>
      </c>
      <c r="H1718" s="9">
        <f t="shared" si="78"/>
        <v>0.92222222222222228</v>
      </c>
      <c r="I1718" s="4" t="str">
        <f t="shared" si="79"/>
        <v>En riesgo &gt;85%</v>
      </c>
      <c r="J1718" s="1" t="s">
        <v>13</v>
      </c>
      <c r="K1718" s="1" t="str">
        <f t="shared" si="80"/>
        <v>Sin riesgo</v>
      </c>
    </row>
    <row r="1719" spans="1:11">
      <c r="A1719" s="1" t="s">
        <v>586</v>
      </c>
      <c r="B1719" s="6" t="s">
        <v>14</v>
      </c>
      <c r="C1719" s="3">
        <v>29.15</v>
      </c>
      <c r="D1719" s="3">
        <v>27.13</v>
      </c>
      <c r="E1719" s="3">
        <v>31.5</v>
      </c>
      <c r="F1719" s="4">
        <v>3.35183896133735</v>
      </c>
      <c r="G1719" s="4">
        <v>-76.5469104757249</v>
      </c>
      <c r="H1719" s="9">
        <f t="shared" si="78"/>
        <v>0.92539682539682533</v>
      </c>
      <c r="I1719" s="4" t="str">
        <f t="shared" si="79"/>
        <v>En riesgo &gt;85%</v>
      </c>
      <c r="J1719" s="1" t="s">
        <v>13</v>
      </c>
      <c r="K1719" s="1" t="str">
        <f t="shared" si="80"/>
        <v>Sin riesgo</v>
      </c>
    </row>
    <row r="1720" spans="1:11">
      <c r="A1720" s="1" t="s">
        <v>586</v>
      </c>
      <c r="B1720" s="6" t="s">
        <v>15</v>
      </c>
      <c r="C1720" s="3">
        <v>29.15</v>
      </c>
      <c r="D1720" s="3">
        <v>27.13</v>
      </c>
      <c r="E1720" s="3">
        <v>31.5</v>
      </c>
      <c r="F1720" s="4">
        <v>3.35183896133735</v>
      </c>
      <c r="G1720" s="4">
        <v>-76.5469104757249</v>
      </c>
      <c r="H1720" s="9">
        <f t="shared" si="78"/>
        <v>0.92539682539682533</v>
      </c>
      <c r="I1720" s="4" t="str">
        <f t="shared" si="79"/>
        <v>En riesgo &gt;85%</v>
      </c>
      <c r="J1720" s="1" t="s">
        <v>13</v>
      </c>
      <c r="K1720" s="1" t="str">
        <f t="shared" si="80"/>
        <v>Sin riesgo</v>
      </c>
    </row>
    <row r="1721" spans="1:11">
      <c r="A1721" s="1" t="s">
        <v>587</v>
      </c>
      <c r="B1721" s="6" t="s">
        <v>12</v>
      </c>
      <c r="C1721" s="3">
        <v>20.78</v>
      </c>
      <c r="D1721" s="3">
        <v>22.7</v>
      </c>
      <c r="E1721" s="3">
        <v>31.5</v>
      </c>
      <c r="F1721" s="4">
        <v>3.35183896133735</v>
      </c>
      <c r="G1721" s="4">
        <v>-76.5469104757249</v>
      </c>
      <c r="H1721" s="9">
        <f t="shared" si="78"/>
        <v>0.72063492063492063</v>
      </c>
      <c r="I1721" s="4" t="str">
        <f t="shared" si="79"/>
        <v>Sin riesgo &lt;85%</v>
      </c>
      <c r="J1721" s="1" t="s">
        <v>13</v>
      </c>
      <c r="K1721" s="1" t="str">
        <f t="shared" si="80"/>
        <v>Sin riesgo</v>
      </c>
    </row>
    <row r="1722" spans="1:11">
      <c r="A1722" s="1" t="s">
        <v>587</v>
      </c>
      <c r="B1722" s="6" t="s">
        <v>14</v>
      </c>
      <c r="C1722" s="3">
        <v>20.91</v>
      </c>
      <c r="D1722" s="3">
        <v>22.79</v>
      </c>
      <c r="E1722" s="3">
        <v>31.5</v>
      </c>
      <c r="F1722" s="4">
        <v>3.35183896133735</v>
      </c>
      <c r="G1722" s="4">
        <v>-76.5469104757249</v>
      </c>
      <c r="H1722" s="9">
        <f t="shared" si="78"/>
        <v>0.72349206349206352</v>
      </c>
      <c r="I1722" s="4" t="str">
        <f t="shared" si="79"/>
        <v>Sin riesgo &lt;85%</v>
      </c>
      <c r="J1722" s="1" t="s">
        <v>13</v>
      </c>
      <c r="K1722" s="1" t="str">
        <f t="shared" si="80"/>
        <v>Sin riesgo</v>
      </c>
    </row>
    <row r="1723" spans="1:11">
      <c r="A1723" s="1" t="s">
        <v>587</v>
      </c>
      <c r="B1723" s="6" t="s">
        <v>15</v>
      </c>
      <c r="C1723" s="3">
        <v>20.91</v>
      </c>
      <c r="D1723" s="3">
        <v>22.79</v>
      </c>
      <c r="E1723" s="3">
        <v>31.5</v>
      </c>
      <c r="F1723" s="4">
        <v>3.35183896133735</v>
      </c>
      <c r="G1723" s="4">
        <v>-76.5469104757249</v>
      </c>
      <c r="H1723" s="9">
        <f t="shared" si="78"/>
        <v>0.72349206349206352</v>
      </c>
      <c r="I1723" s="4" t="str">
        <f t="shared" si="79"/>
        <v>Sin riesgo &lt;85%</v>
      </c>
      <c r="J1723" s="1" t="s">
        <v>13</v>
      </c>
      <c r="K1723" s="1" t="str">
        <f t="shared" si="80"/>
        <v>Sin riesgo</v>
      </c>
    </row>
    <row r="1724" spans="1:11">
      <c r="A1724" s="1" t="s">
        <v>588</v>
      </c>
      <c r="B1724" s="6" t="s">
        <v>12</v>
      </c>
      <c r="C1724" s="3">
        <v>7.3</v>
      </c>
      <c r="D1724" s="3">
        <v>13.28</v>
      </c>
      <c r="E1724" s="3">
        <v>40</v>
      </c>
      <c r="F1724" s="4">
        <v>3.3017669897191002</v>
      </c>
      <c r="G1724" s="4">
        <v>-76.4714061427823</v>
      </c>
      <c r="H1724" s="9">
        <f t="shared" si="78"/>
        <v>0.33199999999999996</v>
      </c>
      <c r="I1724" s="4" t="str">
        <f t="shared" si="79"/>
        <v>Sin riesgo &lt;85%</v>
      </c>
      <c r="J1724" s="1" t="s">
        <v>13</v>
      </c>
      <c r="K1724" s="1" t="str">
        <f t="shared" si="80"/>
        <v>Sin riesgo</v>
      </c>
    </row>
    <row r="1725" spans="1:11">
      <c r="A1725" s="1" t="s">
        <v>588</v>
      </c>
      <c r="B1725" s="6" t="s">
        <v>14</v>
      </c>
      <c r="C1725" s="3">
        <v>7.34</v>
      </c>
      <c r="D1725" s="3">
        <v>13.37</v>
      </c>
      <c r="E1725" s="3">
        <v>40</v>
      </c>
      <c r="F1725" s="4">
        <v>3.3017669897191002</v>
      </c>
      <c r="G1725" s="4">
        <v>-76.4714061427823</v>
      </c>
      <c r="H1725" s="9">
        <f t="shared" si="78"/>
        <v>0.33424999999999999</v>
      </c>
      <c r="I1725" s="4" t="str">
        <f t="shared" si="79"/>
        <v>Sin riesgo &lt;85%</v>
      </c>
      <c r="J1725" s="1" t="s">
        <v>13</v>
      </c>
      <c r="K1725" s="1" t="str">
        <f t="shared" si="80"/>
        <v>Sin riesgo</v>
      </c>
    </row>
    <row r="1726" spans="1:11">
      <c r="A1726" s="1" t="s">
        <v>588</v>
      </c>
      <c r="B1726" s="6" t="s">
        <v>15</v>
      </c>
      <c r="C1726" s="3">
        <v>7.34</v>
      </c>
      <c r="D1726" s="3">
        <v>13.37</v>
      </c>
      <c r="E1726" s="3">
        <v>40</v>
      </c>
      <c r="F1726" s="4">
        <v>3.3017669897191002</v>
      </c>
      <c r="G1726" s="4">
        <v>-76.4714061427823</v>
      </c>
      <c r="H1726" s="9">
        <f t="shared" si="78"/>
        <v>0.33424999999999999</v>
      </c>
      <c r="I1726" s="4" t="str">
        <f t="shared" si="79"/>
        <v>Sin riesgo &lt;85%</v>
      </c>
      <c r="J1726" s="1" t="s">
        <v>13</v>
      </c>
      <c r="K1726" s="1" t="str">
        <f t="shared" si="80"/>
        <v>Sin riesgo</v>
      </c>
    </row>
    <row r="1727" spans="1:11">
      <c r="A1727" s="1" t="s">
        <v>589</v>
      </c>
      <c r="B1727" s="6" t="s">
        <v>12</v>
      </c>
      <c r="C1727" s="3">
        <v>10.37</v>
      </c>
      <c r="D1727" s="3">
        <v>10.79</v>
      </c>
      <c r="E1727" s="3">
        <v>31.5</v>
      </c>
      <c r="F1727" s="4">
        <v>2.9428041108376002</v>
      </c>
      <c r="G1727" s="4">
        <v>-76.704403048222304</v>
      </c>
      <c r="H1727" s="9">
        <f t="shared" si="78"/>
        <v>0.34253968253968253</v>
      </c>
      <c r="I1727" s="4" t="str">
        <f t="shared" si="79"/>
        <v>Sin riesgo &lt;85%</v>
      </c>
      <c r="J1727" s="1" t="s">
        <v>13</v>
      </c>
      <c r="K1727" s="1" t="str">
        <f t="shared" si="80"/>
        <v>Sin riesgo</v>
      </c>
    </row>
    <row r="1728" spans="1:11">
      <c r="A1728" s="1" t="s">
        <v>589</v>
      </c>
      <c r="B1728" s="6" t="s">
        <v>14</v>
      </c>
      <c r="C1728" s="3">
        <v>10.39</v>
      </c>
      <c r="D1728" s="3">
        <v>10.81</v>
      </c>
      <c r="E1728" s="3">
        <v>31.5</v>
      </c>
      <c r="F1728" s="4">
        <v>2.9428041108376002</v>
      </c>
      <c r="G1728" s="4">
        <v>-76.704403048222304</v>
      </c>
      <c r="H1728" s="9">
        <f t="shared" si="78"/>
        <v>0.34317460317460319</v>
      </c>
      <c r="I1728" s="4" t="str">
        <f t="shared" si="79"/>
        <v>Sin riesgo &lt;85%</v>
      </c>
      <c r="J1728" s="1" t="s">
        <v>13</v>
      </c>
      <c r="K1728" s="1" t="str">
        <f t="shared" si="80"/>
        <v>Sin riesgo</v>
      </c>
    </row>
    <row r="1729" spans="1:11">
      <c r="A1729" s="1" t="s">
        <v>589</v>
      </c>
      <c r="B1729" s="6" t="s">
        <v>15</v>
      </c>
      <c r="C1729" s="3">
        <v>10.39</v>
      </c>
      <c r="D1729" s="3">
        <v>10.81</v>
      </c>
      <c r="E1729" s="3">
        <v>31.5</v>
      </c>
      <c r="F1729" s="4">
        <v>2.9428041108376002</v>
      </c>
      <c r="G1729" s="4">
        <v>-76.704403048222304</v>
      </c>
      <c r="H1729" s="9">
        <f t="shared" si="78"/>
        <v>0.34317460317460319</v>
      </c>
      <c r="I1729" s="4" t="str">
        <f t="shared" si="79"/>
        <v>Sin riesgo &lt;85%</v>
      </c>
      <c r="J1729" s="1" t="s">
        <v>13</v>
      </c>
      <c r="K1729" s="1" t="str">
        <f t="shared" si="80"/>
        <v>Sin riesgo</v>
      </c>
    </row>
    <row r="1730" spans="1:11">
      <c r="A1730" s="1" t="s">
        <v>590</v>
      </c>
      <c r="B1730" s="6" t="s">
        <v>12</v>
      </c>
      <c r="C1730" s="3">
        <v>11.29</v>
      </c>
      <c r="D1730" s="3">
        <v>15.36</v>
      </c>
      <c r="E1730" s="3">
        <v>30</v>
      </c>
      <c r="F1730" s="4">
        <v>3.4474269999999998</v>
      </c>
      <c r="G1730" s="4">
        <v>-76.542624000000004</v>
      </c>
      <c r="H1730" s="9">
        <f t="shared" si="78"/>
        <v>0.51200000000000001</v>
      </c>
      <c r="I1730" s="4" t="str">
        <f t="shared" si="79"/>
        <v>Sin riesgo &lt;85%</v>
      </c>
      <c r="J1730" s="1" t="s">
        <v>13</v>
      </c>
      <c r="K1730" s="1" t="str">
        <f t="shared" si="80"/>
        <v>Sin riesgo</v>
      </c>
    </row>
    <row r="1731" spans="1:11">
      <c r="A1731" s="1" t="s">
        <v>590</v>
      </c>
      <c r="B1731" s="6" t="s">
        <v>14</v>
      </c>
      <c r="C1731" s="3">
        <v>11.32</v>
      </c>
      <c r="D1731" s="3">
        <v>15.41</v>
      </c>
      <c r="E1731" s="3">
        <v>30</v>
      </c>
      <c r="F1731" s="4">
        <v>3.4474269999999998</v>
      </c>
      <c r="G1731" s="4">
        <v>-76.542624000000004</v>
      </c>
      <c r="H1731" s="9">
        <f t="shared" ref="H1731:H1774" si="81">IF(C1731&gt;D1731,C1731/E1731,D1731/E1731)</f>
        <v>0.51366666666666672</v>
      </c>
      <c r="I1731" s="4" t="str">
        <f t="shared" ref="I1731:I1774" si="82">IF(H1731&gt;100%,"Altamente critico &gt;100%",IF(H1731&gt;95%,"Critico &gt;95%",IF(H1731&gt;85%,"En riesgo &gt;85%","Sin riesgo &lt;85%")))</f>
        <v>Sin riesgo &lt;85%</v>
      </c>
      <c r="J1731" s="1" t="s">
        <v>13</v>
      </c>
      <c r="K1731" s="1" t="str">
        <f t="shared" ref="K1731:K1774" si="83">IF(J1731="&gt;5","Sin riesgo",IF(J1731&gt;1.5,"Estado de alerta","Estado critico"))</f>
        <v>Sin riesgo</v>
      </c>
    </row>
    <row r="1732" spans="1:11">
      <c r="A1732" s="1" t="s">
        <v>590</v>
      </c>
      <c r="B1732" s="6" t="s">
        <v>15</v>
      </c>
      <c r="C1732" s="3">
        <v>11.32</v>
      </c>
      <c r="D1732" s="3">
        <v>15.41</v>
      </c>
      <c r="E1732" s="3">
        <v>30</v>
      </c>
      <c r="F1732" s="4">
        <v>3.4474269999999998</v>
      </c>
      <c r="G1732" s="4">
        <v>-76.542624000000004</v>
      </c>
      <c r="H1732" s="9">
        <f t="shared" si="81"/>
        <v>0.51366666666666672</v>
      </c>
      <c r="I1732" s="4" t="str">
        <f t="shared" si="82"/>
        <v>Sin riesgo &lt;85%</v>
      </c>
      <c r="J1732" s="1" t="s">
        <v>13</v>
      </c>
      <c r="K1732" s="1" t="str">
        <f t="shared" si="83"/>
        <v>Sin riesgo</v>
      </c>
    </row>
    <row r="1733" spans="1:11">
      <c r="A1733" s="1" t="s">
        <v>313</v>
      </c>
      <c r="B1733" s="6" t="s">
        <v>12</v>
      </c>
      <c r="C1733" s="3">
        <v>23.67</v>
      </c>
      <c r="D1733" s="3">
        <v>28.95</v>
      </c>
      <c r="E1733" s="3">
        <v>31.5</v>
      </c>
      <c r="F1733" s="4">
        <v>3.4851580000000002</v>
      </c>
      <c r="G1733" s="4">
        <v>-76.48706</v>
      </c>
      <c r="H1733" s="9">
        <f t="shared" si="81"/>
        <v>0.919047619047619</v>
      </c>
      <c r="I1733" s="4" t="str">
        <f t="shared" si="82"/>
        <v>En riesgo &gt;85%</v>
      </c>
      <c r="J1733" s="1" t="s">
        <v>13</v>
      </c>
      <c r="K1733" s="1" t="str">
        <f t="shared" si="83"/>
        <v>Sin riesgo</v>
      </c>
    </row>
    <row r="1734" spans="1:11">
      <c r="A1734" s="1" t="s">
        <v>313</v>
      </c>
      <c r="B1734" s="6" t="s">
        <v>14</v>
      </c>
      <c r="C1734" s="3">
        <v>28.86</v>
      </c>
      <c r="D1734" s="3">
        <v>32.049999999999997</v>
      </c>
      <c r="E1734" s="3">
        <v>31.5</v>
      </c>
      <c r="F1734" s="4">
        <v>3.4851580000000002</v>
      </c>
      <c r="G1734" s="4">
        <v>-76.48706</v>
      </c>
      <c r="H1734" s="9">
        <f t="shared" si="81"/>
        <v>1.0174603174603174</v>
      </c>
      <c r="I1734" s="4" t="str">
        <f t="shared" si="82"/>
        <v>Altamente critico &gt;100%</v>
      </c>
      <c r="J1734" s="1" t="s">
        <v>13</v>
      </c>
      <c r="K1734" s="1" t="str">
        <f t="shared" si="83"/>
        <v>Sin riesgo</v>
      </c>
    </row>
    <row r="1735" spans="1:11">
      <c r="A1735" s="1" t="s">
        <v>313</v>
      </c>
      <c r="B1735" s="6" t="s">
        <v>15</v>
      </c>
      <c r="C1735" s="3">
        <v>28.86</v>
      </c>
      <c r="D1735" s="3">
        <v>32.049999999999997</v>
      </c>
      <c r="E1735" s="3">
        <v>31.5</v>
      </c>
      <c r="F1735" s="4">
        <v>3.4851580000000002</v>
      </c>
      <c r="G1735" s="4">
        <v>-76.48706</v>
      </c>
      <c r="H1735" s="9">
        <f t="shared" si="81"/>
        <v>1.0174603174603174</v>
      </c>
      <c r="I1735" s="4" t="str">
        <f t="shared" si="82"/>
        <v>Altamente critico &gt;100%</v>
      </c>
      <c r="J1735" s="1" t="s">
        <v>13</v>
      </c>
      <c r="K1735" s="1" t="str">
        <f t="shared" si="83"/>
        <v>Sin riesgo</v>
      </c>
    </row>
    <row r="1736" spans="1:11">
      <c r="A1736" s="1" t="s">
        <v>591</v>
      </c>
      <c r="B1736" s="6" t="s">
        <v>12</v>
      </c>
      <c r="C1736" s="3">
        <v>32.520000000000003</v>
      </c>
      <c r="D1736" s="3">
        <v>28.31</v>
      </c>
      <c r="E1736" s="3">
        <v>31.5</v>
      </c>
      <c r="F1736" s="4">
        <v>3.6068158776394199</v>
      </c>
      <c r="G1736" s="4">
        <v>-76.485557795737805</v>
      </c>
      <c r="H1736" s="9">
        <f t="shared" si="81"/>
        <v>1.0323809523809524</v>
      </c>
      <c r="I1736" s="4" t="str">
        <f t="shared" si="82"/>
        <v>Altamente critico &gt;100%</v>
      </c>
      <c r="J1736" s="1" t="s">
        <v>13</v>
      </c>
      <c r="K1736" s="1" t="str">
        <f t="shared" si="83"/>
        <v>Sin riesgo</v>
      </c>
    </row>
    <row r="1737" spans="1:11">
      <c r="A1737" s="1" t="s">
        <v>591</v>
      </c>
      <c r="B1737" s="6" t="s">
        <v>14</v>
      </c>
      <c r="C1737" s="3">
        <v>32.61</v>
      </c>
      <c r="D1737" s="3">
        <v>28.38</v>
      </c>
      <c r="E1737" s="3">
        <v>31.5</v>
      </c>
      <c r="F1737" s="4">
        <v>3.6068158776394199</v>
      </c>
      <c r="G1737" s="4">
        <v>-76.485557795737805</v>
      </c>
      <c r="H1737" s="9">
        <f t="shared" si="81"/>
        <v>1.0352380952380953</v>
      </c>
      <c r="I1737" s="4" t="str">
        <f t="shared" si="82"/>
        <v>Altamente critico &gt;100%</v>
      </c>
      <c r="J1737" s="1" t="s">
        <v>13</v>
      </c>
      <c r="K1737" s="1" t="str">
        <f t="shared" si="83"/>
        <v>Sin riesgo</v>
      </c>
    </row>
    <row r="1738" spans="1:11">
      <c r="A1738" s="1" t="s">
        <v>591</v>
      </c>
      <c r="B1738" s="6" t="s">
        <v>15</v>
      </c>
      <c r="C1738" s="3">
        <v>32.61</v>
      </c>
      <c r="D1738" s="3">
        <v>28.38</v>
      </c>
      <c r="E1738" s="3">
        <v>31.5</v>
      </c>
      <c r="F1738" s="4">
        <v>3.6068158776394199</v>
      </c>
      <c r="G1738" s="4">
        <v>-76.485557795737805</v>
      </c>
      <c r="H1738" s="9">
        <f t="shared" si="81"/>
        <v>1.0352380952380953</v>
      </c>
      <c r="I1738" s="4" t="str">
        <f t="shared" si="82"/>
        <v>Altamente critico &gt;100%</v>
      </c>
      <c r="J1738" s="1" t="s">
        <v>13</v>
      </c>
      <c r="K1738" s="1" t="str">
        <f t="shared" si="83"/>
        <v>Sin riesgo</v>
      </c>
    </row>
    <row r="1739" spans="1:11">
      <c r="A1739" s="1" t="s">
        <v>592</v>
      </c>
      <c r="B1739" s="6" t="s">
        <v>12</v>
      </c>
      <c r="C1739" s="3">
        <v>28.49</v>
      </c>
      <c r="D1739" s="3">
        <v>26.97</v>
      </c>
      <c r="E1739" s="3">
        <v>31.5</v>
      </c>
      <c r="F1739" s="4">
        <v>3.6068158776394199</v>
      </c>
      <c r="G1739" s="4">
        <v>-76.485557795737805</v>
      </c>
      <c r="H1739" s="9">
        <f t="shared" si="81"/>
        <v>0.90444444444444438</v>
      </c>
      <c r="I1739" s="4" t="str">
        <f t="shared" si="82"/>
        <v>En riesgo &gt;85%</v>
      </c>
      <c r="J1739" s="1" t="s">
        <v>13</v>
      </c>
      <c r="K1739" s="1" t="str">
        <f t="shared" si="83"/>
        <v>Sin riesgo</v>
      </c>
    </row>
    <row r="1740" spans="1:11">
      <c r="A1740" s="1" t="s">
        <v>592</v>
      </c>
      <c r="B1740" s="6" t="s">
        <v>14</v>
      </c>
      <c r="C1740" s="3">
        <v>28.56</v>
      </c>
      <c r="D1740" s="3">
        <v>26.9</v>
      </c>
      <c r="E1740" s="3">
        <v>31.5</v>
      </c>
      <c r="F1740" s="4">
        <v>3.6068158776394199</v>
      </c>
      <c r="G1740" s="4">
        <v>-76.485557795737805</v>
      </c>
      <c r="H1740" s="9">
        <f t="shared" si="81"/>
        <v>0.90666666666666662</v>
      </c>
      <c r="I1740" s="4" t="str">
        <f t="shared" si="82"/>
        <v>En riesgo &gt;85%</v>
      </c>
      <c r="J1740" s="1" t="s">
        <v>13</v>
      </c>
      <c r="K1740" s="1" t="str">
        <f t="shared" si="83"/>
        <v>Sin riesgo</v>
      </c>
    </row>
    <row r="1741" spans="1:11">
      <c r="A1741" s="1" t="s">
        <v>592</v>
      </c>
      <c r="B1741" s="6" t="s">
        <v>15</v>
      </c>
      <c r="C1741" s="3">
        <v>28.56</v>
      </c>
      <c r="D1741" s="3">
        <v>26.9</v>
      </c>
      <c r="E1741" s="3">
        <v>31.5</v>
      </c>
      <c r="F1741" s="4">
        <v>3.6068158776394199</v>
      </c>
      <c r="G1741" s="4">
        <v>-76.485557795737805</v>
      </c>
      <c r="H1741" s="9">
        <f t="shared" si="81"/>
        <v>0.90666666666666662</v>
      </c>
      <c r="I1741" s="4" t="str">
        <f t="shared" si="82"/>
        <v>En riesgo &gt;85%</v>
      </c>
      <c r="J1741" s="1" t="s">
        <v>13</v>
      </c>
      <c r="K1741" s="1" t="str">
        <f t="shared" si="83"/>
        <v>Sin riesgo</v>
      </c>
    </row>
    <row r="1742" spans="1:11">
      <c r="A1742" s="1" t="s">
        <v>593</v>
      </c>
      <c r="B1742" s="6" t="s">
        <v>12</v>
      </c>
      <c r="C1742" s="3">
        <v>10.5</v>
      </c>
      <c r="D1742" s="3">
        <v>11.7</v>
      </c>
      <c r="E1742" s="3">
        <v>31.5</v>
      </c>
      <c r="F1742" s="4">
        <v>3.6068158776394199</v>
      </c>
      <c r="G1742" s="4">
        <v>-76.485557795737805</v>
      </c>
      <c r="H1742" s="9">
        <f t="shared" si="81"/>
        <v>0.37142857142857139</v>
      </c>
      <c r="I1742" s="4" t="str">
        <f t="shared" si="82"/>
        <v>Sin riesgo &lt;85%</v>
      </c>
      <c r="J1742" s="1" t="s">
        <v>13</v>
      </c>
      <c r="K1742" s="1" t="str">
        <f t="shared" si="83"/>
        <v>Sin riesgo</v>
      </c>
    </row>
    <row r="1743" spans="1:11">
      <c r="A1743" s="1" t="s">
        <v>593</v>
      </c>
      <c r="B1743" s="6" t="s">
        <v>14</v>
      </c>
      <c r="C1743" s="3">
        <v>10.62</v>
      </c>
      <c r="D1743" s="3">
        <v>11.81</v>
      </c>
      <c r="E1743" s="3">
        <v>31.5</v>
      </c>
      <c r="F1743" s="4">
        <v>3.6068158776394199</v>
      </c>
      <c r="G1743" s="4">
        <v>-76.485557795737805</v>
      </c>
      <c r="H1743" s="9">
        <f t="shared" si="81"/>
        <v>0.37492063492063493</v>
      </c>
      <c r="I1743" s="4" t="str">
        <f t="shared" si="82"/>
        <v>Sin riesgo &lt;85%</v>
      </c>
      <c r="J1743" s="1" t="s">
        <v>13</v>
      </c>
      <c r="K1743" s="1" t="str">
        <f t="shared" si="83"/>
        <v>Sin riesgo</v>
      </c>
    </row>
    <row r="1744" spans="1:11">
      <c r="A1744" s="1" t="s">
        <v>593</v>
      </c>
      <c r="B1744" s="6" t="s">
        <v>15</v>
      </c>
      <c r="C1744" s="3">
        <v>10.62</v>
      </c>
      <c r="D1744" s="3">
        <v>11.81</v>
      </c>
      <c r="E1744" s="3">
        <v>31.5</v>
      </c>
      <c r="F1744" s="4">
        <v>3.6068158776394199</v>
      </c>
      <c r="G1744" s="4">
        <v>-76.485557795737805</v>
      </c>
      <c r="H1744" s="9">
        <f t="shared" si="81"/>
        <v>0.37492063492063493</v>
      </c>
      <c r="I1744" s="4" t="str">
        <f t="shared" si="82"/>
        <v>Sin riesgo &lt;85%</v>
      </c>
      <c r="J1744" s="1" t="s">
        <v>13</v>
      </c>
      <c r="K1744" s="1" t="str">
        <f t="shared" si="83"/>
        <v>Sin riesgo</v>
      </c>
    </row>
    <row r="1745" spans="1:11">
      <c r="A1745" s="1" t="s">
        <v>594</v>
      </c>
      <c r="B1745" s="6" t="s">
        <v>12</v>
      </c>
      <c r="C1745" s="3">
        <v>14.48</v>
      </c>
      <c r="D1745" s="3">
        <v>19.5</v>
      </c>
      <c r="E1745" s="3">
        <v>26.2</v>
      </c>
      <c r="F1745" s="4">
        <v>3.52782698079728</v>
      </c>
      <c r="G1745" s="4">
        <v>-76.322188968628794</v>
      </c>
      <c r="H1745" s="9">
        <f t="shared" si="81"/>
        <v>0.74427480916030542</v>
      </c>
      <c r="I1745" s="4" t="str">
        <f t="shared" si="82"/>
        <v>Sin riesgo &lt;85%</v>
      </c>
      <c r="J1745" s="1" t="s">
        <v>13</v>
      </c>
      <c r="K1745" s="1" t="str">
        <f t="shared" si="83"/>
        <v>Sin riesgo</v>
      </c>
    </row>
    <row r="1746" spans="1:11">
      <c r="A1746" s="1" t="s">
        <v>594</v>
      </c>
      <c r="B1746" s="6" t="s">
        <v>14</v>
      </c>
      <c r="C1746" s="3">
        <v>14.78</v>
      </c>
      <c r="D1746" s="3">
        <v>19.78</v>
      </c>
      <c r="E1746" s="3">
        <v>26.2</v>
      </c>
      <c r="F1746" s="4">
        <v>3.52782698079728</v>
      </c>
      <c r="G1746" s="4">
        <v>-76.322188968628794</v>
      </c>
      <c r="H1746" s="9">
        <f t="shared" si="81"/>
        <v>0.75496183206106882</v>
      </c>
      <c r="I1746" s="4" t="str">
        <f t="shared" si="82"/>
        <v>Sin riesgo &lt;85%</v>
      </c>
      <c r="J1746" s="1" t="s">
        <v>13</v>
      </c>
      <c r="K1746" s="1" t="str">
        <f t="shared" si="83"/>
        <v>Sin riesgo</v>
      </c>
    </row>
    <row r="1747" spans="1:11">
      <c r="A1747" s="1" t="s">
        <v>594</v>
      </c>
      <c r="B1747" s="6" t="s">
        <v>15</v>
      </c>
      <c r="C1747" s="3">
        <v>14.78</v>
      </c>
      <c r="D1747" s="3">
        <v>19.78</v>
      </c>
      <c r="E1747" s="3">
        <v>26.2</v>
      </c>
      <c r="F1747" s="4">
        <v>3.52782698079728</v>
      </c>
      <c r="G1747" s="4">
        <v>-76.322188968628794</v>
      </c>
      <c r="H1747" s="9">
        <f t="shared" si="81"/>
        <v>0.75496183206106882</v>
      </c>
      <c r="I1747" s="4" t="str">
        <f t="shared" si="82"/>
        <v>Sin riesgo &lt;85%</v>
      </c>
      <c r="J1747" s="1" t="s">
        <v>13</v>
      </c>
      <c r="K1747" s="1" t="str">
        <f t="shared" si="83"/>
        <v>Sin riesgo</v>
      </c>
    </row>
    <row r="1748" spans="1:11">
      <c r="A1748" s="1" t="s">
        <v>595</v>
      </c>
      <c r="B1748" s="6" t="s">
        <v>12</v>
      </c>
      <c r="C1748" s="3">
        <v>13.6</v>
      </c>
      <c r="D1748" s="3">
        <v>18.850000000000001</v>
      </c>
      <c r="E1748" s="3">
        <v>31.5</v>
      </c>
      <c r="F1748" s="11"/>
      <c r="G1748" s="11"/>
      <c r="H1748" s="9">
        <f t="shared" si="81"/>
        <v>0.59841269841269851</v>
      </c>
      <c r="I1748" s="4" t="str">
        <f t="shared" si="82"/>
        <v>Sin riesgo &lt;85%</v>
      </c>
      <c r="J1748" s="1" t="s">
        <v>13</v>
      </c>
      <c r="K1748" s="1" t="str">
        <f t="shared" si="83"/>
        <v>Sin riesgo</v>
      </c>
    </row>
    <row r="1749" spans="1:11">
      <c r="A1749" s="1" t="s">
        <v>595</v>
      </c>
      <c r="B1749" s="6" t="s">
        <v>14</v>
      </c>
      <c r="C1749" s="3">
        <v>14.04</v>
      </c>
      <c r="D1749" s="3">
        <v>19.260000000000002</v>
      </c>
      <c r="E1749" s="3">
        <v>31.5</v>
      </c>
      <c r="F1749" s="11"/>
      <c r="G1749" s="11"/>
      <c r="H1749" s="9">
        <f t="shared" si="81"/>
        <v>0.61142857142857143</v>
      </c>
      <c r="I1749" s="4" t="str">
        <f t="shared" si="82"/>
        <v>Sin riesgo &lt;85%</v>
      </c>
      <c r="J1749" s="1" t="s">
        <v>13</v>
      </c>
      <c r="K1749" s="1" t="str">
        <f t="shared" si="83"/>
        <v>Sin riesgo</v>
      </c>
    </row>
    <row r="1750" spans="1:11">
      <c r="A1750" s="1" t="s">
        <v>595</v>
      </c>
      <c r="B1750" s="6" t="s">
        <v>15</v>
      </c>
      <c r="C1750" s="3">
        <v>14.04</v>
      </c>
      <c r="D1750" s="3">
        <v>19.260000000000002</v>
      </c>
      <c r="E1750" s="3">
        <v>31.5</v>
      </c>
      <c r="F1750" s="11"/>
      <c r="G1750" s="11"/>
      <c r="H1750" s="9">
        <f t="shared" si="81"/>
        <v>0.61142857142857143</v>
      </c>
      <c r="I1750" s="4" t="str">
        <f t="shared" si="82"/>
        <v>Sin riesgo &lt;85%</v>
      </c>
      <c r="J1750" s="1" t="s">
        <v>13</v>
      </c>
      <c r="K1750" s="1" t="str">
        <f t="shared" si="83"/>
        <v>Sin riesgo</v>
      </c>
    </row>
    <row r="1751" spans="1:11">
      <c r="A1751" s="1" t="s">
        <v>596</v>
      </c>
      <c r="B1751" s="6" t="s">
        <v>12</v>
      </c>
      <c r="C1751" s="3">
        <v>17.39</v>
      </c>
      <c r="D1751" s="3">
        <v>22.98</v>
      </c>
      <c r="E1751" s="3">
        <v>40</v>
      </c>
      <c r="F1751" s="4">
        <v>3.4172440000000002</v>
      </c>
      <c r="G1751" s="4">
        <v>-76.535923999999994</v>
      </c>
      <c r="H1751" s="9">
        <f t="shared" si="81"/>
        <v>0.57450000000000001</v>
      </c>
      <c r="I1751" s="4" t="str">
        <f t="shared" si="82"/>
        <v>Sin riesgo &lt;85%</v>
      </c>
      <c r="J1751" s="1" t="s">
        <v>13</v>
      </c>
      <c r="K1751" s="1" t="str">
        <f t="shared" si="83"/>
        <v>Sin riesgo</v>
      </c>
    </row>
    <row r="1752" spans="1:11">
      <c r="A1752" s="1" t="s">
        <v>596</v>
      </c>
      <c r="B1752" s="6" t="s">
        <v>14</v>
      </c>
      <c r="C1752" s="3">
        <v>17.7</v>
      </c>
      <c r="D1752" s="3">
        <v>23.42</v>
      </c>
      <c r="E1752" s="3">
        <v>40</v>
      </c>
      <c r="F1752" s="4">
        <v>3.4172440000000002</v>
      </c>
      <c r="G1752" s="4">
        <v>-76.535923999999994</v>
      </c>
      <c r="H1752" s="9">
        <f t="shared" si="81"/>
        <v>0.58550000000000002</v>
      </c>
      <c r="I1752" s="4" t="str">
        <f t="shared" si="82"/>
        <v>Sin riesgo &lt;85%</v>
      </c>
      <c r="J1752" s="1" t="s">
        <v>13</v>
      </c>
      <c r="K1752" s="1" t="str">
        <f t="shared" si="83"/>
        <v>Sin riesgo</v>
      </c>
    </row>
    <row r="1753" spans="1:11">
      <c r="A1753" s="1" t="s">
        <v>596</v>
      </c>
      <c r="B1753" s="6" t="s">
        <v>15</v>
      </c>
      <c r="C1753" s="3">
        <v>17.7</v>
      </c>
      <c r="D1753" s="3">
        <v>23.42</v>
      </c>
      <c r="E1753" s="3">
        <v>40</v>
      </c>
      <c r="F1753" s="4">
        <v>3.4172440000000002</v>
      </c>
      <c r="G1753" s="4">
        <v>-76.535923999999994</v>
      </c>
      <c r="H1753" s="9">
        <f t="shared" si="81"/>
        <v>0.58550000000000002</v>
      </c>
      <c r="I1753" s="4" t="str">
        <f t="shared" si="82"/>
        <v>Sin riesgo &lt;85%</v>
      </c>
      <c r="J1753" s="1" t="s">
        <v>13</v>
      </c>
      <c r="K1753" s="1" t="str">
        <f t="shared" si="83"/>
        <v>Sin riesgo</v>
      </c>
    </row>
    <row r="1754" spans="1:11">
      <c r="A1754" s="1" t="s">
        <v>597</v>
      </c>
      <c r="B1754" s="6" t="s">
        <v>12</v>
      </c>
      <c r="C1754" s="3">
        <v>4.2</v>
      </c>
      <c r="D1754" s="3">
        <v>8.0399999999999991</v>
      </c>
      <c r="E1754" s="3">
        <v>40</v>
      </c>
      <c r="F1754" s="4">
        <v>3.8843684385615198</v>
      </c>
      <c r="G1754" s="4">
        <v>-77.059187548516803</v>
      </c>
      <c r="H1754" s="9">
        <f t="shared" si="81"/>
        <v>0.20099999999999998</v>
      </c>
      <c r="I1754" s="4" t="str">
        <f t="shared" si="82"/>
        <v>Sin riesgo &lt;85%</v>
      </c>
      <c r="J1754" s="1" t="s">
        <v>13</v>
      </c>
      <c r="K1754" s="1" t="str">
        <f t="shared" si="83"/>
        <v>Sin riesgo</v>
      </c>
    </row>
    <row r="1755" spans="1:11">
      <c r="A1755" s="1" t="s">
        <v>597</v>
      </c>
      <c r="B1755" s="6" t="s">
        <v>14</v>
      </c>
      <c r="C1755" s="3">
        <v>4.21</v>
      </c>
      <c r="D1755" s="3">
        <v>8.07</v>
      </c>
      <c r="E1755" s="3">
        <v>40</v>
      </c>
      <c r="F1755" s="4">
        <v>3.8843684385615198</v>
      </c>
      <c r="G1755" s="4">
        <v>-77.059187548516803</v>
      </c>
      <c r="H1755" s="9">
        <f t="shared" si="81"/>
        <v>0.20175000000000001</v>
      </c>
      <c r="I1755" s="4" t="str">
        <f t="shared" si="82"/>
        <v>Sin riesgo &lt;85%</v>
      </c>
      <c r="J1755" s="1" t="s">
        <v>13</v>
      </c>
      <c r="K1755" s="1" t="str">
        <f t="shared" si="83"/>
        <v>Sin riesgo</v>
      </c>
    </row>
    <row r="1756" spans="1:11">
      <c r="A1756" s="1" t="s">
        <v>597</v>
      </c>
      <c r="B1756" s="6" t="s">
        <v>15</v>
      </c>
      <c r="C1756" s="3">
        <v>4.21</v>
      </c>
      <c r="D1756" s="3">
        <v>8.07</v>
      </c>
      <c r="E1756" s="3">
        <v>40</v>
      </c>
      <c r="F1756" s="4">
        <v>3.8843684385615198</v>
      </c>
      <c r="G1756" s="4">
        <v>-77.059187548516803</v>
      </c>
      <c r="H1756" s="9">
        <f t="shared" si="81"/>
        <v>0.20175000000000001</v>
      </c>
      <c r="I1756" s="4" t="str">
        <f t="shared" si="82"/>
        <v>Sin riesgo &lt;85%</v>
      </c>
      <c r="J1756" s="1" t="s">
        <v>13</v>
      </c>
      <c r="K1756" s="1" t="str">
        <f t="shared" si="83"/>
        <v>Sin riesgo</v>
      </c>
    </row>
    <row r="1757" spans="1:11">
      <c r="A1757" s="1" t="s">
        <v>598</v>
      </c>
      <c r="B1757" s="6" t="s">
        <v>12</v>
      </c>
      <c r="C1757" s="3">
        <v>21.45</v>
      </c>
      <c r="D1757" s="3">
        <v>18.36</v>
      </c>
      <c r="E1757" s="3">
        <v>31.5</v>
      </c>
      <c r="F1757" s="4">
        <v>3.555355</v>
      </c>
      <c r="G1757" s="4">
        <v>-76.498987</v>
      </c>
      <c r="H1757" s="9">
        <f t="shared" si="81"/>
        <v>0.68095238095238098</v>
      </c>
      <c r="I1757" s="4" t="str">
        <f t="shared" si="82"/>
        <v>Sin riesgo &lt;85%</v>
      </c>
      <c r="J1757" s="1" t="s">
        <v>13</v>
      </c>
      <c r="K1757" s="1" t="str">
        <f t="shared" si="83"/>
        <v>Sin riesgo</v>
      </c>
    </row>
    <row r="1758" spans="1:11">
      <c r="A1758" s="1" t="s">
        <v>598</v>
      </c>
      <c r="B1758" s="6" t="s">
        <v>14</v>
      </c>
      <c r="C1758" s="3">
        <v>21.5</v>
      </c>
      <c r="D1758" s="3">
        <v>18.399999999999999</v>
      </c>
      <c r="E1758" s="3">
        <v>31.5</v>
      </c>
      <c r="F1758" s="4">
        <v>3.555355</v>
      </c>
      <c r="G1758" s="4">
        <v>-76.498987</v>
      </c>
      <c r="H1758" s="9">
        <f t="shared" si="81"/>
        <v>0.68253968253968256</v>
      </c>
      <c r="I1758" s="4" t="str">
        <f t="shared" si="82"/>
        <v>Sin riesgo &lt;85%</v>
      </c>
      <c r="J1758" s="1" t="s">
        <v>13</v>
      </c>
      <c r="K1758" s="1" t="str">
        <f t="shared" si="83"/>
        <v>Sin riesgo</v>
      </c>
    </row>
    <row r="1759" spans="1:11">
      <c r="A1759" s="1" t="s">
        <v>598</v>
      </c>
      <c r="B1759" s="6" t="s">
        <v>15</v>
      </c>
      <c r="C1759" s="3">
        <v>21.5</v>
      </c>
      <c r="D1759" s="3">
        <v>18.399999999999999</v>
      </c>
      <c r="E1759" s="3">
        <v>31.5</v>
      </c>
      <c r="F1759" s="4">
        <v>3.555355</v>
      </c>
      <c r="G1759" s="4">
        <v>-76.498987</v>
      </c>
      <c r="H1759" s="9">
        <f t="shared" si="81"/>
        <v>0.68253968253968256</v>
      </c>
      <c r="I1759" s="4" t="str">
        <f t="shared" si="82"/>
        <v>Sin riesgo &lt;85%</v>
      </c>
      <c r="J1759" s="1" t="s">
        <v>13</v>
      </c>
      <c r="K1759" s="1" t="str">
        <f t="shared" si="83"/>
        <v>Sin riesgo</v>
      </c>
    </row>
    <row r="1760" spans="1:11">
      <c r="A1760" s="1" t="s">
        <v>599</v>
      </c>
      <c r="B1760" s="6" t="s">
        <v>12</v>
      </c>
      <c r="C1760" s="3">
        <v>1.31</v>
      </c>
      <c r="D1760" s="3">
        <v>2.06</v>
      </c>
      <c r="E1760" s="3">
        <v>40</v>
      </c>
      <c r="F1760" s="4">
        <v>3.555355</v>
      </c>
      <c r="G1760" s="4">
        <v>-76.498987</v>
      </c>
      <c r="H1760" s="9">
        <f t="shared" si="81"/>
        <v>5.1500000000000004E-2</v>
      </c>
      <c r="I1760" s="4" t="str">
        <f t="shared" si="82"/>
        <v>Sin riesgo &lt;85%</v>
      </c>
      <c r="J1760" s="1" t="s">
        <v>13</v>
      </c>
      <c r="K1760" s="1" t="str">
        <f t="shared" si="83"/>
        <v>Sin riesgo</v>
      </c>
    </row>
    <row r="1761" spans="1:11">
      <c r="A1761" s="1" t="s">
        <v>599</v>
      </c>
      <c r="B1761" s="6" t="s">
        <v>14</v>
      </c>
      <c r="C1761" s="3">
        <v>1.31</v>
      </c>
      <c r="D1761" s="3">
        <v>2.0699999999999998</v>
      </c>
      <c r="E1761" s="3">
        <v>40</v>
      </c>
      <c r="F1761" s="4">
        <v>3.555355</v>
      </c>
      <c r="G1761" s="4">
        <v>-76.498987</v>
      </c>
      <c r="H1761" s="9">
        <f t="shared" si="81"/>
        <v>5.1749999999999997E-2</v>
      </c>
      <c r="I1761" s="4" t="str">
        <f t="shared" si="82"/>
        <v>Sin riesgo &lt;85%</v>
      </c>
      <c r="J1761" s="1" t="s">
        <v>13</v>
      </c>
      <c r="K1761" s="1" t="str">
        <f t="shared" si="83"/>
        <v>Sin riesgo</v>
      </c>
    </row>
    <row r="1762" spans="1:11">
      <c r="A1762" s="1" t="s">
        <v>599</v>
      </c>
      <c r="B1762" s="6" t="s">
        <v>15</v>
      </c>
      <c r="C1762" s="3">
        <v>1.31</v>
      </c>
      <c r="D1762" s="3">
        <v>2.0699999999999998</v>
      </c>
      <c r="E1762" s="3">
        <v>40</v>
      </c>
      <c r="F1762" s="4">
        <v>3.555355</v>
      </c>
      <c r="G1762" s="4">
        <v>-76.498987</v>
      </c>
      <c r="H1762" s="9">
        <f t="shared" si="81"/>
        <v>5.1749999999999997E-2</v>
      </c>
      <c r="I1762" s="4" t="str">
        <f t="shared" si="82"/>
        <v>Sin riesgo &lt;85%</v>
      </c>
      <c r="J1762" s="1" t="s">
        <v>13</v>
      </c>
      <c r="K1762" s="1" t="str">
        <f t="shared" si="83"/>
        <v>Sin riesgo</v>
      </c>
    </row>
    <row r="1763" spans="1:11">
      <c r="A1763" s="1" t="s">
        <v>600</v>
      </c>
      <c r="B1763" s="6" t="s">
        <v>12</v>
      </c>
      <c r="C1763" s="3">
        <v>10.45</v>
      </c>
      <c r="D1763" s="3">
        <v>10.14</v>
      </c>
      <c r="E1763" s="3">
        <v>31.5</v>
      </c>
      <c r="F1763" s="4">
        <v>4.0785977054354099</v>
      </c>
      <c r="G1763" s="4">
        <v>-76.174191152728199</v>
      </c>
      <c r="H1763" s="9">
        <f t="shared" si="81"/>
        <v>0.33174603174603173</v>
      </c>
      <c r="I1763" s="4" t="str">
        <f t="shared" si="82"/>
        <v>Sin riesgo &lt;85%</v>
      </c>
      <c r="J1763" s="1" t="s">
        <v>13</v>
      </c>
      <c r="K1763" s="1" t="str">
        <f t="shared" si="83"/>
        <v>Sin riesgo</v>
      </c>
    </row>
    <row r="1764" spans="1:11">
      <c r="A1764" s="1" t="s">
        <v>600</v>
      </c>
      <c r="B1764" s="6" t="s">
        <v>14</v>
      </c>
      <c r="C1764" s="3">
        <v>10.51</v>
      </c>
      <c r="D1764" s="3">
        <v>10.199999999999999</v>
      </c>
      <c r="E1764" s="3">
        <v>31.5</v>
      </c>
      <c r="F1764" s="4">
        <v>4.0785977054354099</v>
      </c>
      <c r="G1764" s="4">
        <v>-76.174191152728199</v>
      </c>
      <c r="H1764" s="9">
        <f t="shared" si="81"/>
        <v>0.33365079365079364</v>
      </c>
      <c r="I1764" s="4" t="str">
        <f t="shared" si="82"/>
        <v>Sin riesgo &lt;85%</v>
      </c>
      <c r="J1764" s="1" t="s">
        <v>13</v>
      </c>
      <c r="K1764" s="1" t="str">
        <f t="shared" si="83"/>
        <v>Sin riesgo</v>
      </c>
    </row>
    <row r="1765" spans="1:11">
      <c r="A1765" s="1" t="s">
        <v>600</v>
      </c>
      <c r="B1765" s="6" t="s">
        <v>15</v>
      </c>
      <c r="C1765" s="3">
        <v>10.51</v>
      </c>
      <c r="D1765" s="3">
        <v>10.199999999999999</v>
      </c>
      <c r="E1765" s="3">
        <v>31.5</v>
      </c>
      <c r="F1765" s="4">
        <v>4.0785977054354099</v>
      </c>
      <c r="G1765" s="4">
        <v>-76.174191152728199</v>
      </c>
      <c r="H1765" s="9">
        <f t="shared" si="81"/>
        <v>0.33365079365079364</v>
      </c>
      <c r="I1765" s="4" t="str">
        <f t="shared" si="82"/>
        <v>Sin riesgo &lt;85%</v>
      </c>
      <c r="J1765" s="1" t="s">
        <v>13</v>
      </c>
      <c r="K1765" s="1" t="str">
        <f t="shared" si="83"/>
        <v>Sin riesgo</v>
      </c>
    </row>
    <row r="1766" spans="1:11">
      <c r="A1766" s="1" t="s">
        <v>601</v>
      </c>
      <c r="B1766" s="6" t="s">
        <v>12</v>
      </c>
      <c r="C1766" s="3">
        <v>11.78</v>
      </c>
      <c r="D1766" s="3">
        <v>15.01</v>
      </c>
      <c r="E1766" s="3">
        <v>40</v>
      </c>
      <c r="F1766" s="4">
        <v>3.6938804079822001</v>
      </c>
      <c r="G1766" s="4">
        <v>-76.436297635232904</v>
      </c>
      <c r="H1766" s="9">
        <f t="shared" si="81"/>
        <v>0.37524999999999997</v>
      </c>
      <c r="I1766" s="4" t="str">
        <f t="shared" si="82"/>
        <v>Sin riesgo &lt;85%</v>
      </c>
      <c r="J1766" s="1" t="s">
        <v>13</v>
      </c>
      <c r="K1766" s="1" t="str">
        <f t="shared" si="83"/>
        <v>Sin riesgo</v>
      </c>
    </row>
    <row r="1767" spans="1:11">
      <c r="A1767" s="1" t="s">
        <v>601</v>
      </c>
      <c r="B1767" s="6" t="s">
        <v>14</v>
      </c>
      <c r="C1767" s="3">
        <v>11.83</v>
      </c>
      <c r="D1767" s="3">
        <v>15.08</v>
      </c>
      <c r="E1767" s="3">
        <v>40</v>
      </c>
      <c r="F1767" s="4">
        <v>3.6938804079822001</v>
      </c>
      <c r="G1767" s="4">
        <v>-76.436297635232904</v>
      </c>
      <c r="H1767" s="9">
        <f t="shared" si="81"/>
        <v>0.377</v>
      </c>
      <c r="I1767" s="4" t="str">
        <f t="shared" si="82"/>
        <v>Sin riesgo &lt;85%</v>
      </c>
      <c r="J1767" s="1" t="s">
        <v>13</v>
      </c>
      <c r="K1767" s="1" t="str">
        <f t="shared" si="83"/>
        <v>Sin riesgo</v>
      </c>
    </row>
    <row r="1768" spans="1:11">
      <c r="A1768" s="1" t="s">
        <v>601</v>
      </c>
      <c r="B1768" s="6" t="s">
        <v>15</v>
      </c>
      <c r="C1768" s="3">
        <v>11.83</v>
      </c>
      <c r="D1768" s="3">
        <v>15.08</v>
      </c>
      <c r="E1768" s="3">
        <v>40</v>
      </c>
      <c r="F1768" s="4">
        <v>3.6938804079822001</v>
      </c>
      <c r="G1768" s="4">
        <v>-76.436297635232904</v>
      </c>
      <c r="H1768" s="9">
        <f t="shared" si="81"/>
        <v>0.377</v>
      </c>
      <c r="I1768" s="4" t="str">
        <f t="shared" si="82"/>
        <v>Sin riesgo &lt;85%</v>
      </c>
      <c r="J1768" s="1" t="s">
        <v>13</v>
      </c>
      <c r="K1768" s="1" t="str">
        <f t="shared" si="83"/>
        <v>Sin riesgo</v>
      </c>
    </row>
    <row r="1769" spans="1:11">
      <c r="A1769" s="1" t="s">
        <v>602</v>
      </c>
      <c r="B1769" s="6" t="s">
        <v>12</v>
      </c>
      <c r="C1769" s="3">
        <v>27.35</v>
      </c>
      <c r="D1769" s="3">
        <v>27.63</v>
      </c>
      <c r="E1769" s="3">
        <v>31.5</v>
      </c>
      <c r="F1769" s="4">
        <v>3.555355</v>
      </c>
      <c r="G1769" s="4">
        <v>-76.498987</v>
      </c>
      <c r="H1769" s="9">
        <f t="shared" si="81"/>
        <v>0.87714285714285711</v>
      </c>
      <c r="I1769" s="4" t="str">
        <f t="shared" si="82"/>
        <v>En riesgo &gt;85%</v>
      </c>
      <c r="J1769" s="1" t="s">
        <v>13</v>
      </c>
      <c r="K1769" s="1" t="str">
        <f t="shared" si="83"/>
        <v>Sin riesgo</v>
      </c>
    </row>
    <row r="1770" spans="1:11">
      <c r="A1770" s="1" t="s">
        <v>602</v>
      </c>
      <c r="B1770" s="6" t="s">
        <v>14</v>
      </c>
      <c r="C1770" s="3">
        <v>28.13</v>
      </c>
      <c r="D1770" s="3">
        <v>28.03</v>
      </c>
      <c r="E1770" s="3">
        <v>31.5</v>
      </c>
      <c r="F1770" s="4">
        <v>3.555355</v>
      </c>
      <c r="G1770" s="4">
        <v>-76.498987</v>
      </c>
      <c r="H1770" s="9">
        <f t="shared" si="81"/>
        <v>0.89301587301587293</v>
      </c>
      <c r="I1770" s="4" t="str">
        <f t="shared" si="82"/>
        <v>En riesgo &gt;85%</v>
      </c>
      <c r="J1770" s="1" t="s">
        <v>13</v>
      </c>
      <c r="K1770" s="1" t="str">
        <f t="shared" si="83"/>
        <v>Sin riesgo</v>
      </c>
    </row>
    <row r="1771" spans="1:11">
      <c r="A1771" s="1" t="s">
        <v>602</v>
      </c>
      <c r="B1771" s="6" t="s">
        <v>15</v>
      </c>
      <c r="C1771" s="3">
        <v>28.13</v>
      </c>
      <c r="D1771" s="3">
        <v>28.03</v>
      </c>
      <c r="E1771" s="3">
        <v>31.5</v>
      </c>
      <c r="F1771" s="4">
        <v>3.555355</v>
      </c>
      <c r="G1771" s="4">
        <v>-76.498987</v>
      </c>
      <c r="H1771" s="9">
        <f t="shared" si="81"/>
        <v>0.89301587301587293</v>
      </c>
      <c r="I1771" s="4" t="str">
        <f t="shared" si="82"/>
        <v>En riesgo &gt;85%</v>
      </c>
      <c r="J1771" s="1" t="s">
        <v>13</v>
      </c>
      <c r="K1771" s="1" t="str">
        <f t="shared" si="83"/>
        <v>Sin riesgo</v>
      </c>
    </row>
    <row r="1772" spans="1:11">
      <c r="A1772" s="1" t="s">
        <v>603</v>
      </c>
      <c r="B1772" s="6" t="s">
        <v>12</v>
      </c>
      <c r="C1772" s="3">
        <v>10.95</v>
      </c>
      <c r="D1772" s="3">
        <v>8.98</v>
      </c>
      <c r="E1772" s="3">
        <v>25</v>
      </c>
      <c r="F1772" s="11"/>
      <c r="G1772" s="11"/>
      <c r="H1772" s="9">
        <f t="shared" si="81"/>
        <v>0.43799999999999994</v>
      </c>
      <c r="I1772" s="4" t="str">
        <f t="shared" si="82"/>
        <v>Sin riesgo &lt;85%</v>
      </c>
      <c r="J1772" s="1" t="s">
        <v>13</v>
      </c>
      <c r="K1772" s="1" t="str">
        <f t="shared" si="83"/>
        <v>Sin riesgo</v>
      </c>
    </row>
    <row r="1773" spans="1:11">
      <c r="A1773" s="1" t="s">
        <v>603</v>
      </c>
      <c r="B1773" s="6" t="s">
        <v>14</v>
      </c>
      <c r="C1773" s="3">
        <v>11.04</v>
      </c>
      <c r="D1773" s="3">
        <v>9.0500000000000007</v>
      </c>
      <c r="E1773" s="3">
        <v>25</v>
      </c>
      <c r="F1773" s="11"/>
      <c r="G1773" s="11"/>
      <c r="H1773" s="9">
        <f t="shared" si="81"/>
        <v>0.44159999999999999</v>
      </c>
      <c r="I1773" s="4" t="str">
        <f t="shared" si="82"/>
        <v>Sin riesgo &lt;85%</v>
      </c>
      <c r="J1773" s="1" t="s">
        <v>13</v>
      </c>
      <c r="K1773" s="1" t="str">
        <f t="shared" si="83"/>
        <v>Sin riesgo</v>
      </c>
    </row>
    <row r="1774" spans="1:11">
      <c r="A1774" s="1" t="s">
        <v>603</v>
      </c>
      <c r="B1774" s="6" t="s">
        <v>15</v>
      </c>
      <c r="C1774" s="3">
        <v>11.04</v>
      </c>
      <c r="D1774" s="3">
        <v>9.0500000000000007</v>
      </c>
      <c r="E1774" s="3">
        <v>25</v>
      </c>
      <c r="F1774" s="11"/>
      <c r="G1774" s="11"/>
      <c r="H1774" s="9">
        <f t="shared" si="81"/>
        <v>0.44159999999999999</v>
      </c>
      <c r="I1774" s="4" t="str">
        <f t="shared" si="82"/>
        <v>Sin riesgo &lt;85%</v>
      </c>
      <c r="J1774" s="1" t="s">
        <v>13</v>
      </c>
      <c r="K1774" s="1" t="str">
        <f t="shared" si="83"/>
        <v>Sin riesgo</v>
      </c>
    </row>
  </sheetData>
  <sortState xmlns:xlrd2="http://schemas.microsoft.com/office/spreadsheetml/2017/richdata2" ref="B1:E1">
    <sortCondition descending="1" ref="B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CC107-B63E-45D3-953B-627342110E6C}">
  <dimension ref="A1:E2364"/>
  <sheetViews>
    <sheetView workbookViewId="0">
      <selection activeCell="I31" sqref="I31"/>
    </sheetView>
  </sheetViews>
  <sheetFormatPr defaultColWidth="8.85546875" defaultRowHeight="14.45"/>
  <cols>
    <col min="1" max="4" width="9.140625" style="1"/>
    <col min="5" max="5" width="10.42578125" style="1" bestFit="1" customWidth="1"/>
  </cols>
  <sheetData>
    <row r="1" spans="1:5">
      <c r="A1" s="1">
        <v>1</v>
      </c>
      <c r="B1" s="1" t="s">
        <v>11</v>
      </c>
      <c r="D1" s="1">
        <v>1</v>
      </c>
      <c r="E1" s="1" t="str">
        <f t="shared" ref="E1:E64" si="0">+VLOOKUP(D1,$A$1:$B$1076,2,FALSE)</f>
        <v>Amaga 110</v>
      </c>
    </row>
    <row r="2" spans="1:5">
      <c r="A2" s="1">
        <v>2</v>
      </c>
      <c r="B2" s="1" t="s">
        <v>16</v>
      </c>
      <c r="D2" s="1">
        <v>1</v>
      </c>
      <c r="E2" s="1" t="str">
        <f t="shared" si="0"/>
        <v>Amaga 110</v>
      </c>
    </row>
    <row r="3" spans="1:5">
      <c r="A3" s="1">
        <v>3</v>
      </c>
      <c r="B3" s="1" t="s">
        <v>17</v>
      </c>
      <c r="D3" s="1">
        <v>1</v>
      </c>
      <c r="E3" s="1" t="str">
        <f t="shared" si="0"/>
        <v>Amaga 110</v>
      </c>
    </row>
    <row r="4" spans="1:5">
      <c r="A4" s="1">
        <v>4</v>
      </c>
      <c r="B4" s="1" t="s">
        <v>18</v>
      </c>
      <c r="D4" s="1">
        <f t="shared" ref="D4:D67" si="1">+D1+1</f>
        <v>2</v>
      </c>
      <c r="E4" s="1" t="str">
        <f t="shared" si="0"/>
        <v>Amalfi 110</v>
      </c>
    </row>
    <row r="5" spans="1:5">
      <c r="A5" s="1">
        <v>5</v>
      </c>
      <c r="B5" s="1" t="s">
        <v>19</v>
      </c>
      <c r="D5" s="1">
        <f t="shared" si="1"/>
        <v>2</v>
      </c>
      <c r="E5" s="1" t="str">
        <f t="shared" si="0"/>
        <v>Amalfi 110</v>
      </c>
    </row>
    <row r="6" spans="1:5">
      <c r="A6" s="1">
        <v>6</v>
      </c>
      <c r="B6" s="1" t="s">
        <v>20</v>
      </c>
      <c r="D6" s="1">
        <f t="shared" si="1"/>
        <v>2</v>
      </c>
      <c r="E6" s="1" t="str">
        <f t="shared" si="0"/>
        <v>Amalfi 110</v>
      </c>
    </row>
    <row r="7" spans="1:5">
      <c r="A7" s="1">
        <v>7</v>
      </c>
      <c r="B7" s="1" t="s">
        <v>21</v>
      </c>
      <c r="D7" s="1">
        <f t="shared" si="1"/>
        <v>3</v>
      </c>
      <c r="E7" s="1" t="str">
        <f t="shared" si="0"/>
        <v>Ancon EPM 110</v>
      </c>
    </row>
    <row r="8" spans="1:5">
      <c r="A8" s="1">
        <v>8</v>
      </c>
      <c r="B8" s="1" t="s">
        <v>22</v>
      </c>
      <c r="D8" s="1">
        <f t="shared" si="1"/>
        <v>3</v>
      </c>
      <c r="E8" s="1" t="str">
        <f t="shared" si="0"/>
        <v>Ancon EPM 110</v>
      </c>
    </row>
    <row r="9" spans="1:5">
      <c r="A9" s="1">
        <v>9</v>
      </c>
      <c r="B9" s="1" t="s">
        <v>23</v>
      </c>
      <c r="D9" s="1">
        <f t="shared" si="1"/>
        <v>3</v>
      </c>
      <c r="E9" s="1" t="str">
        <f t="shared" si="0"/>
        <v>Ancon EPM 110</v>
      </c>
    </row>
    <row r="10" spans="1:5">
      <c r="A10" s="1">
        <v>10</v>
      </c>
      <c r="B10" s="1" t="s">
        <v>24</v>
      </c>
      <c r="D10" s="1">
        <f t="shared" si="1"/>
        <v>4</v>
      </c>
      <c r="E10" s="1" t="str">
        <f t="shared" si="0"/>
        <v>Ancon EPM 220</v>
      </c>
    </row>
    <row r="11" spans="1:5">
      <c r="A11" s="1">
        <v>11</v>
      </c>
      <c r="B11" s="1" t="s">
        <v>25</v>
      </c>
      <c r="D11" s="1">
        <f t="shared" si="1"/>
        <v>4</v>
      </c>
      <c r="E11" s="1" t="str">
        <f t="shared" si="0"/>
        <v>Ancon EPM 220</v>
      </c>
    </row>
    <row r="12" spans="1:5">
      <c r="A12" s="1">
        <v>12</v>
      </c>
      <c r="B12" s="1" t="s">
        <v>26</v>
      </c>
      <c r="D12" s="1">
        <f t="shared" si="1"/>
        <v>4</v>
      </c>
      <c r="E12" s="1" t="str">
        <f t="shared" si="0"/>
        <v>Ancon EPM 220</v>
      </c>
    </row>
    <row r="13" spans="1:5">
      <c r="A13" s="1">
        <v>13</v>
      </c>
      <c r="B13" s="1" t="s">
        <v>27</v>
      </c>
      <c r="D13" s="1">
        <f t="shared" si="1"/>
        <v>5</v>
      </c>
      <c r="E13" s="1" t="str">
        <f t="shared" si="0"/>
        <v>Ancon ISA 220</v>
      </c>
    </row>
    <row r="14" spans="1:5">
      <c r="A14" s="1">
        <v>14</v>
      </c>
      <c r="B14" s="1" t="s">
        <v>28</v>
      </c>
      <c r="D14" s="1">
        <f t="shared" si="1"/>
        <v>5</v>
      </c>
      <c r="E14" s="1" t="str">
        <f t="shared" si="0"/>
        <v>Ancon ISA 220</v>
      </c>
    </row>
    <row r="15" spans="1:5">
      <c r="A15" s="1">
        <v>15</v>
      </c>
      <c r="B15" s="1" t="s">
        <v>29</v>
      </c>
      <c r="D15" s="1">
        <f t="shared" si="1"/>
        <v>5</v>
      </c>
      <c r="E15" s="1" t="str">
        <f t="shared" si="0"/>
        <v>Ancon ISA 220</v>
      </c>
    </row>
    <row r="16" spans="1:5">
      <c r="A16" s="1">
        <v>16</v>
      </c>
      <c r="B16" s="1" t="s">
        <v>30</v>
      </c>
      <c r="D16" s="1">
        <f t="shared" si="1"/>
        <v>6</v>
      </c>
      <c r="E16" s="1" t="str">
        <f t="shared" si="0"/>
        <v>Antioquia 110</v>
      </c>
    </row>
    <row r="17" spans="1:5">
      <c r="A17" s="1">
        <v>17</v>
      </c>
      <c r="B17" s="1" t="s">
        <v>31</v>
      </c>
      <c r="D17" s="1">
        <f t="shared" si="1"/>
        <v>6</v>
      </c>
      <c r="E17" s="1" t="str">
        <f t="shared" si="0"/>
        <v>Antioquia 110</v>
      </c>
    </row>
    <row r="18" spans="1:5">
      <c r="A18" s="1">
        <v>18</v>
      </c>
      <c r="B18" s="1" t="s">
        <v>32</v>
      </c>
      <c r="D18" s="1">
        <f t="shared" si="1"/>
        <v>6</v>
      </c>
      <c r="E18" s="1" t="str">
        <f t="shared" si="0"/>
        <v>Antioquia 110</v>
      </c>
    </row>
    <row r="19" spans="1:5">
      <c r="A19" s="1">
        <v>19</v>
      </c>
      <c r="B19" s="1" t="s">
        <v>33</v>
      </c>
      <c r="D19" s="1">
        <f t="shared" si="1"/>
        <v>7</v>
      </c>
      <c r="E19" s="1" t="str">
        <f t="shared" si="0"/>
        <v>Antioquia 500</v>
      </c>
    </row>
    <row r="20" spans="1:5">
      <c r="A20" s="1">
        <v>20</v>
      </c>
      <c r="B20" s="1" t="s">
        <v>34</v>
      </c>
      <c r="D20" s="1">
        <f t="shared" si="1"/>
        <v>7</v>
      </c>
      <c r="E20" s="1" t="str">
        <f t="shared" si="0"/>
        <v>Antioquia 500</v>
      </c>
    </row>
    <row r="21" spans="1:5">
      <c r="A21" s="1">
        <v>21</v>
      </c>
      <c r="B21" s="1" t="s">
        <v>35</v>
      </c>
      <c r="D21" s="1">
        <f t="shared" si="1"/>
        <v>7</v>
      </c>
      <c r="E21" s="1" t="str">
        <f t="shared" si="0"/>
        <v>Antioquia 500</v>
      </c>
    </row>
    <row r="22" spans="1:5">
      <c r="A22" s="1">
        <v>22</v>
      </c>
      <c r="B22" s="1" t="s">
        <v>36</v>
      </c>
      <c r="D22" s="1">
        <f t="shared" si="1"/>
        <v>8</v>
      </c>
      <c r="E22" s="1" t="str">
        <f t="shared" si="0"/>
        <v>Ayura 110</v>
      </c>
    </row>
    <row r="23" spans="1:5">
      <c r="A23" s="1">
        <v>23</v>
      </c>
      <c r="B23" s="1" t="s">
        <v>37</v>
      </c>
      <c r="D23" s="1">
        <f t="shared" si="1"/>
        <v>8</v>
      </c>
      <c r="E23" s="1" t="str">
        <f t="shared" si="0"/>
        <v>Ayura 110</v>
      </c>
    </row>
    <row r="24" spans="1:5">
      <c r="A24" s="1">
        <v>24</v>
      </c>
      <c r="B24" s="1" t="s">
        <v>38</v>
      </c>
      <c r="D24" s="1">
        <f t="shared" si="1"/>
        <v>8</v>
      </c>
      <c r="E24" s="1" t="str">
        <f t="shared" si="0"/>
        <v>Ayura 110</v>
      </c>
    </row>
    <row r="25" spans="1:5">
      <c r="A25" s="1">
        <v>25</v>
      </c>
      <c r="B25" s="1" t="s">
        <v>39</v>
      </c>
      <c r="D25" s="1">
        <f t="shared" si="1"/>
        <v>9</v>
      </c>
      <c r="E25" s="1" t="str">
        <f t="shared" si="0"/>
        <v>Barbosa 110</v>
      </c>
    </row>
    <row r="26" spans="1:5">
      <c r="A26" s="1">
        <v>26</v>
      </c>
      <c r="B26" s="1" t="s">
        <v>40</v>
      </c>
      <c r="D26" s="1">
        <f t="shared" si="1"/>
        <v>9</v>
      </c>
      <c r="E26" s="1" t="str">
        <f t="shared" si="0"/>
        <v>Barbosa 110</v>
      </c>
    </row>
    <row r="27" spans="1:5">
      <c r="A27" s="1">
        <v>27</v>
      </c>
      <c r="B27" s="1" t="s">
        <v>41</v>
      </c>
      <c r="D27" s="1">
        <f t="shared" si="1"/>
        <v>9</v>
      </c>
      <c r="E27" s="1" t="str">
        <f t="shared" si="0"/>
        <v>Barbosa 110</v>
      </c>
    </row>
    <row r="28" spans="1:5">
      <c r="A28" s="1">
        <v>28</v>
      </c>
      <c r="B28" s="1" t="s">
        <v>42</v>
      </c>
      <c r="D28" s="1">
        <f t="shared" si="1"/>
        <v>10</v>
      </c>
      <c r="E28" s="1" t="str">
        <f t="shared" si="0"/>
        <v>Barbosa 220</v>
      </c>
    </row>
    <row r="29" spans="1:5">
      <c r="A29" s="1">
        <v>29</v>
      </c>
      <c r="B29" s="1" t="s">
        <v>43</v>
      </c>
      <c r="D29" s="1">
        <f t="shared" si="1"/>
        <v>10</v>
      </c>
      <c r="E29" s="1" t="str">
        <f t="shared" si="0"/>
        <v>Barbosa 220</v>
      </c>
    </row>
    <row r="30" spans="1:5">
      <c r="A30" s="1">
        <v>30</v>
      </c>
      <c r="B30" s="1" t="s">
        <v>44</v>
      </c>
      <c r="D30" s="1">
        <f t="shared" si="1"/>
        <v>10</v>
      </c>
      <c r="E30" s="1" t="str">
        <f t="shared" si="0"/>
        <v>Barbosa 220</v>
      </c>
    </row>
    <row r="31" spans="1:5">
      <c r="A31" s="1">
        <v>31</v>
      </c>
      <c r="B31" s="1" t="s">
        <v>45</v>
      </c>
      <c r="D31" s="1">
        <f t="shared" si="1"/>
        <v>11</v>
      </c>
      <c r="E31" s="1" t="str">
        <f t="shared" si="0"/>
        <v>Barroso 110</v>
      </c>
    </row>
    <row r="32" spans="1:5">
      <c r="A32" s="1">
        <v>32</v>
      </c>
      <c r="B32" s="1" t="s">
        <v>46</v>
      </c>
      <c r="D32" s="1">
        <f t="shared" si="1"/>
        <v>11</v>
      </c>
      <c r="E32" s="1" t="str">
        <f t="shared" si="0"/>
        <v>Barroso 110</v>
      </c>
    </row>
    <row r="33" spans="1:5">
      <c r="A33" s="1">
        <v>33</v>
      </c>
      <c r="B33" s="1" t="s">
        <v>47</v>
      </c>
      <c r="D33" s="1">
        <f t="shared" si="1"/>
        <v>11</v>
      </c>
      <c r="E33" s="1" t="str">
        <f t="shared" si="0"/>
        <v>Barroso 110</v>
      </c>
    </row>
    <row r="34" spans="1:5">
      <c r="A34" s="1">
        <v>34</v>
      </c>
      <c r="B34" s="1" t="s">
        <v>48</v>
      </c>
      <c r="D34" s="1">
        <f t="shared" si="1"/>
        <v>12</v>
      </c>
      <c r="E34" s="1" t="str">
        <f t="shared" si="0"/>
        <v>Belen (Antioquia) 110</v>
      </c>
    </row>
    <row r="35" spans="1:5">
      <c r="A35" s="1">
        <v>35</v>
      </c>
      <c r="B35" s="1" t="s">
        <v>49</v>
      </c>
      <c r="D35" s="1">
        <f t="shared" si="1"/>
        <v>12</v>
      </c>
      <c r="E35" s="1" t="str">
        <f t="shared" si="0"/>
        <v>Belen (Antioquia) 110</v>
      </c>
    </row>
    <row r="36" spans="1:5">
      <c r="A36" s="1">
        <v>36</v>
      </c>
      <c r="B36" s="1" t="s">
        <v>50</v>
      </c>
      <c r="D36" s="1">
        <f t="shared" si="1"/>
        <v>12</v>
      </c>
      <c r="E36" s="1" t="str">
        <f t="shared" si="0"/>
        <v>Belen (Antioquia) 110</v>
      </c>
    </row>
    <row r="37" spans="1:5">
      <c r="A37" s="1">
        <v>37</v>
      </c>
      <c r="B37" s="1" t="s">
        <v>51</v>
      </c>
      <c r="D37" s="1">
        <f t="shared" si="1"/>
        <v>13</v>
      </c>
      <c r="E37" s="1" t="str">
        <f t="shared" si="0"/>
        <v>Bello 110</v>
      </c>
    </row>
    <row r="38" spans="1:5">
      <c r="A38" s="1">
        <v>38</v>
      </c>
      <c r="B38" s="1" t="s">
        <v>52</v>
      </c>
      <c r="D38" s="1">
        <f t="shared" si="1"/>
        <v>13</v>
      </c>
      <c r="E38" s="1" t="str">
        <f t="shared" si="0"/>
        <v>Bello 110</v>
      </c>
    </row>
    <row r="39" spans="1:5">
      <c r="A39" s="1">
        <v>39</v>
      </c>
      <c r="B39" s="1" t="s">
        <v>53</v>
      </c>
      <c r="D39" s="1">
        <f t="shared" si="1"/>
        <v>13</v>
      </c>
      <c r="E39" s="1" t="str">
        <f t="shared" si="0"/>
        <v>Bello 110</v>
      </c>
    </row>
    <row r="40" spans="1:5">
      <c r="A40" s="1">
        <v>40</v>
      </c>
      <c r="B40" s="1" t="s">
        <v>54</v>
      </c>
      <c r="D40" s="1">
        <f t="shared" si="1"/>
        <v>14</v>
      </c>
      <c r="E40" s="1" t="str">
        <f t="shared" si="0"/>
        <v>Bello 220</v>
      </c>
    </row>
    <row r="41" spans="1:5">
      <c r="A41" s="1">
        <v>41</v>
      </c>
      <c r="B41" s="1" t="s">
        <v>55</v>
      </c>
      <c r="D41" s="1">
        <f t="shared" si="1"/>
        <v>14</v>
      </c>
      <c r="E41" s="1" t="str">
        <f t="shared" si="0"/>
        <v>Bello 220</v>
      </c>
    </row>
    <row r="42" spans="1:5">
      <c r="A42" s="1">
        <v>42</v>
      </c>
      <c r="B42" s="1" t="s">
        <v>56</v>
      </c>
      <c r="D42" s="1">
        <f t="shared" si="1"/>
        <v>14</v>
      </c>
      <c r="E42" s="1" t="str">
        <f t="shared" si="0"/>
        <v>Bello 220</v>
      </c>
    </row>
    <row r="43" spans="1:5">
      <c r="A43" s="1">
        <v>43</v>
      </c>
      <c r="B43" s="1" t="s">
        <v>57</v>
      </c>
      <c r="D43" s="1">
        <f t="shared" si="1"/>
        <v>15</v>
      </c>
      <c r="E43" s="1" t="str">
        <f t="shared" si="0"/>
        <v>Bolombolo 110</v>
      </c>
    </row>
    <row r="44" spans="1:5">
      <c r="A44" s="1">
        <v>44</v>
      </c>
      <c r="B44" s="1" t="s">
        <v>58</v>
      </c>
      <c r="D44" s="1">
        <f t="shared" si="1"/>
        <v>15</v>
      </c>
      <c r="E44" s="1" t="str">
        <f t="shared" si="0"/>
        <v>Bolombolo 110</v>
      </c>
    </row>
    <row r="45" spans="1:5">
      <c r="A45" s="1">
        <v>45</v>
      </c>
      <c r="B45" s="1" t="s">
        <v>59</v>
      </c>
      <c r="D45" s="1">
        <f t="shared" si="1"/>
        <v>15</v>
      </c>
      <c r="E45" s="1" t="str">
        <f t="shared" si="0"/>
        <v>Bolombolo 110</v>
      </c>
    </row>
    <row r="46" spans="1:5">
      <c r="A46" s="1">
        <v>46</v>
      </c>
      <c r="B46" s="1" t="s">
        <v>60</v>
      </c>
      <c r="D46" s="1">
        <f t="shared" si="1"/>
        <v>16</v>
      </c>
      <c r="E46" s="1" t="str">
        <f t="shared" si="0"/>
        <v>Cabañas 110</v>
      </c>
    </row>
    <row r="47" spans="1:5">
      <c r="A47" s="1">
        <v>47</v>
      </c>
      <c r="B47" s="1" t="s">
        <v>61</v>
      </c>
      <c r="D47" s="1">
        <f t="shared" si="1"/>
        <v>16</v>
      </c>
      <c r="E47" s="1" t="str">
        <f t="shared" si="0"/>
        <v>Cabañas 110</v>
      </c>
    </row>
    <row r="48" spans="1:5">
      <c r="A48" s="1">
        <v>48</v>
      </c>
      <c r="B48" s="1" t="s">
        <v>62</v>
      </c>
      <c r="D48" s="1">
        <f t="shared" si="1"/>
        <v>16</v>
      </c>
      <c r="E48" s="1" t="str">
        <f t="shared" si="0"/>
        <v>Cabañas 110</v>
      </c>
    </row>
    <row r="49" spans="1:5">
      <c r="A49" s="1">
        <v>49</v>
      </c>
      <c r="B49" s="1" t="s">
        <v>63</v>
      </c>
      <c r="D49" s="1">
        <f t="shared" si="1"/>
        <v>17</v>
      </c>
      <c r="E49" s="1" t="str">
        <f t="shared" si="0"/>
        <v>Caldas 110</v>
      </c>
    </row>
    <row r="50" spans="1:5">
      <c r="A50" s="1">
        <v>50</v>
      </c>
      <c r="B50" s="1" t="s">
        <v>64</v>
      </c>
      <c r="D50" s="1">
        <f t="shared" si="1"/>
        <v>17</v>
      </c>
      <c r="E50" s="1" t="str">
        <f t="shared" si="0"/>
        <v>Caldas 110</v>
      </c>
    </row>
    <row r="51" spans="1:5">
      <c r="A51" s="1">
        <v>51</v>
      </c>
      <c r="B51" s="1" t="s">
        <v>65</v>
      </c>
      <c r="D51" s="1">
        <f t="shared" si="1"/>
        <v>17</v>
      </c>
      <c r="E51" s="1" t="str">
        <f t="shared" si="0"/>
        <v>Caldas 110</v>
      </c>
    </row>
    <row r="52" spans="1:5">
      <c r="A52" s="1">
        <v>52</v>
      </c>
      <c r="B52" s="1" t="s">
        <v>66</v>
      </c>
      <c r="D52" s="1">
        <f t="shared" si="1"/>
        <v>18</v>
      </c>
      <c r="E52" s="1" t="str">
        <f t="shared" si="0"/>
        <v>Calderas 110</v>
      </c>
    </row>
    <row r="53" spans="1:5">
      <c r="A53" s="1">
        <v>53</v>
      </c>
      <c r="B53" s="1" t="s">
        <v>67</v>
      </c>
      <c r="D53" s="1">
        <f t="shared" si="1"/>
        <v>18</v>
      </c>
      <c r="E53" s="1" t="str">
        <f t="shared" si="0"/>
        <v>Calderas 110</v>
      </c>
    </row>
    <row r="54" spans="1:5">
      <c r="A54" s="1">
        <v>54</v>
      </c>
      <c r="B54" s="1" t="s">
        <v>68</v>
      </c>
      <c r="D54" s="1">
        <f t="shared" si="1"/>
        <v>18</v>
      </c>
      <c r="E54" s="1" t="str">
        <f t="shared" si="0"/>
        <v>Calderas 110</v>
      </c>
    </row>
    <row r="55" spans="1:5">
      <c r="A55" s="1">
        <v>55</v>
      </c>
      <c r="B55" s="1" t="s">
        <v>69</v>
      </c>
      <c r="D55" s="1">
        <f t="shared" si="1"/>
        <v>19</v>
      </c>
      <c r="E55" s="1" t="str">
        <f t="shared" si="0"/>
        <v>Calizas 110</v>
      </c>
    </row>
    <row r="56" spans="1:5">
      <c r="A56" s="1">
        <v>56</v>
      </c>
      <c r="B56" s="1" t="s">
        <v>70</v>
      </c>
      <c r="D56" s="1">
        <f t="shared" si="1"/>
        <v>19</v>
      </c>
      <c r="E56" s="1" t="str">
        <f t="shared" si="0"/>
        <v>Calizas 110</v>
      </c>
    </row>
    <row r="57" spans="1:5">
      <c r="A57" s="1">
        <v>57</v>
      </c>
      <c r="B57" s="1" t="s">
        <v>71</v>
      </c>
      <c r="D57" s="1">
        <f t="shared" si="1"/>
        <v>19</v>
      </c>
      <c r="E57" s="1" t="str">
        <f t="shared" si="0"/>
        <v>Calizas 110</v>
      </c>
    </row>
    <row r="58" spans="1:5">
      <c r="A58" s="1">
        <v>58</v>
      </c>
      <c r="B58" s="1" t="s">
        <v>72</v>
      </c>
      <c r="D58" s="1">
        <f t="shared" si="1"/>
        <v>20</v>
      </c>
      <c r="E58" s="1" t="str">
        <f t="shared" si="0"/>
        <v>Carrieles 110</v>
      </c>
    </row>
    <row r="59" spans="1:5">
      <c r="A59" s="1">
        <v>59</v>
      </c>
      <c r="B59" s="1" t="s">
        <v>73</v>
      </c>
      <c r="D59" s="1">
        <f t="shared" si="1"/>
        <v>20</v>
      </c>
      <c r="E59" s="1" t="str">
        <f t="shared" si="0"/>
        <v>Carrieles 110</v>
      </c>
    </row>
    <row r="60" spans="1:5">
      <c r="A60" s="1">
        <v>60</v>
      </c>
      <c r="B60" s="1" t="s">
        <v>74</v>
      </c>
      <c r="D60" s="1">
        <f t="shared" si="1"/>
        <v>20</v>
      </c>
      <c r="E60" s="1" t="str">
        <f t="shared" si="0"/>
        <v>Carrieles 110</v>
      </c>
    </row>
    <row r="61" spans="1:5">
      <c r="A61" s="1">
        <v>61</v>
      </c>
      <c r="B61" s="1" t="s">
        <v>75</v>
      </c>
      <c r="D61" s="1">
        <f t="shared" si="1"/>
        <v>21</v>
      </c>
      <c r="E61" s="1" t="str">
        <f t="shared" si="0"/>
        <v>Carrieles 220</v>
      </c>
    </row>
    <row r="62" spans="1:5">
      <c r="A62" s="1">
        <v>62</v>
      </c>
      <c r="B62" s="1" t="s">
        <v>76</v>
      </c>
      <c r="D62" s="1">
        <f t="shared" si="1"/>
        <v>21</v>
      </c>
      <c r="E62" s="1" t="str">
        <f t="shared" si="0"/>
        <v>Carrieles 220</v>
      </c>
    </row>
    <row r="63" spans="1:5">
      <c r="A63" s="1">
        <v>63</v>
      </c>
      <c r="B63" s="1" t="s">
        <v>77</v>
      </c>
      <c r="D63" s="1">
        <f t="shared" si="1"/>
        <v>21</v>
      </c>
      <c r="E63" s="1" t="str">
        <f t="shared" si="0"/>
        <v>Carrieles 220</v>
      </c>
    </row>
    <row r="64" spans="1:5">
      <c r="A64" s="1">
        <v>64</v>
      </c>
      <c r="B64" s="1" t="s">
        <v>78</v>
      </c>
      <c r="D64" s="1">
        <f t="shared" si="1"/>
        <v>22</v>
      </c>
      <c r="E64" s="1" t="str">
        <f t="shared" si="0"/>
        <v>Castilla 110</v>
      </c>
    </row>
    <row r="65" spans="1:5">
      <c r="A65" s="1">
        <v>65</v>
      </c>
      <c r="B65" s="1" t="s">
        <v>79</v>
      </c>
      <c r="D65" s="1">
        <f t="shared" si="1"/>
        <v>22</v>
      </c>
      <c r="E65" s="1" t="str">
        <f t="shared" ref="E65:E128" si="2">+VLOOKUP(D65,$A$1:$B$1076,2,FALSE)</f>
        <v>Castilla 110</v>
      </c>
    </row>
    <row r="66" spans="1:5">
      <c r="A66" s="1">
        <v>66</v>
      </c>
      <c r="B66" s="1" t="s">
        <v>80</v>
      </c>
      <c r="D66" s="1">
        <f t="shared" si="1"/>
        <v>22</v>
      </c>
      <c r="E66" s="1" t="str">
        <f t="shared" si="2"/>
        <v>Castilla 110</v>
      </c>
    </row>
    <row r="67" spans="1:5">
      <c r="A67" s="1">
        <v>67</v>
      </c>
      <c r="B67" s="1" t="s">
        <v>81</v>
      </c>
      <c r="D67" s="1">
        <f t="shared" si="1"/>
        <v>23</v>
      </c>
      <c r="E67" s="1" t="str">
        <f t="shared" si="2"/>
        <v>Caucheras 110</v>
      </c>
    </row>
    <row r="68" spans="1:5">
      <c r="A68" s="1">
        <v>68</v>
      </c>
      <c r="B68" s="1" t="s">
        <v>82</v>
      </c>
      <c r="D68" s="1">
        <f t="shared" ref="D68:D131" si="3">+D65+1</f>
        <v>23</v>
      </c>
      <c r="E68" s="1" t="str">
        <f t="shared" si="2"/>
        <v>Caucheras 110</v>
      </c>
    </row>
    <row r="69" spans="1:5">
      <c r="A69" s="1">
        <v>69</v>
      </c>
      <c r="B69" s="1" t="s">
        <v>83</v>
      </c>
      <c r="D69" s="1">
        <f t="shared" si="3"/>
        <v>23</v>
      </c>
      <c r="E69" s="1" t="str">
        <f t="shared" si="2"/>
        <v>Caucheras 110</v>
      </c>
    </row>
    <row r="70" spans="1:5">
      <c r="A70" s="1">
        <v>70</v>
      </c>
      <c r="B70" s="1" t="s">
        <v>84</v>
      </c>
      <c r="D70" s="1">
        <f t="shared" si="3"/>
        <v>24</v>
      </c>
      <c r="E70" s="1" t="str">
        <f t="shared" si="2"/>
        <v>Central 110</v>
      </c>
    </row>
    <row r="71" spans="1:5">
      <c r="A71" s="1">
        <v>71</v>
      </c>
      <c r="B71" s="1" t="s">
        <v>85</v>
      </c>
      <c r="D71" s="1">
        <f t="shared" si="3"/>
        <v>24</v>
      </c>
      <c r="E71" s="1" t="str">
        <f t="shared" si="2"/>
        <v>Central 110</v>
      </c>
    </row>
    <row r="72" spans="1:5">
      <c r="A72" s="1">
        <v>72</v>
      </c>
      <c r="B72" s="1" t="s">
        <v>86</v>
      </c>
      <c r="D72" s="1">
        <f t="shared" si="3"/>
        <v>24</v>
      </c>
      <c r="E72" s="1" t="str">
        <f t="shared" si="2"/>
        <v>Central 110</v>
      </c>
    </row>
    <row r="73" spans="1:5">
      <c r="A73" s="1">
        <v>73</v>
      </c>
      <c r="B73" s="1" t="s">
        <v>87</v>
      </c>
      <c r="D73" s="1">
        <f t="shared" si="3"/>
        <v>25</v>
      </c>
      <c r="E73" s="1" t="str">
        <f t="shared" si="2"/>
        <v>Certegui 115</v>
      </c>
    </row>
    <row r="74" spans="1:5">
      <c r="A74" s="1">
        <v>74</v>
      </c>
      <c r="B74" s="1" t="s">
        <v>88</v>
      </c>
      <c r="D74" s="1">
        <f t="shared" si="3"/>
        <v>25</v>
      </c>
      <c r="E74" s="1" t="str">
        <f t="shared" si="2"/>
        <v>Certegui 115</v>
      </c>
    </row>
    <row r="75" spans="1:5">
      <c r="A75" s="1">
        <v>75</v>
      </c>
      <c r="B75" s="1" t="s">
        <v>89</v>
      </c>
      <c r="D75" s="1">
        <f t="shared" si="3"/>
        <v>25</v>
      </c>
      <c r="E75" s="1" t="str">
        <f t="shared" si="2"/>
        <v>Certegui 115</v>
      </c>
    </row>
    <row r="76" spans="1:5">
      <c r="A76" s="1">
        <v>76</v>
      </c>
      <c r="B76" s="1" t="s">
        <v>90</v>
      </c>
      <c r="D76" s="1">
        <f t="shared" si="3"/>
        <v>26</v>
      </c>
      <c r="E76" s="1" t="str">
        <f t="shared" si="2"/>
        <v>Chorodo 110</v>
      </c>
    </row>
    <row r="77" spans="1:5">
      <c r="A77" s="1">
        <v>77</v>
      </c>
      <c r="B77" s="1" t="s">
        <v>91</v>
      </c>
      <c r="D77" s="1">
        <f t="shared" si="3"/>
        <v>26</v>
      </c>
      <c r="E77" s="1" t="str">
        <f t="shared" si="2"/>
        <v>Chorodo 110</v>
      </c>
    </row>
    <row r="78" spans="1:5">
      <c r="A78" s="1">
        <v>78</v>
      </c>
      <c r="B78" s="1" t="s">
        <v>92</v>
      </c>
      <c r="D78" s="1">
        <f t="shared" si="3"/>
        <v>26</v>
      </c>
      <c r="E78" s="1" t="str">
        <f t="shared" si="2"/>
        <v>Chorodo 110</v>
      </c>
    </row>
    <row r="79" spans="1:5">
      <c r="A79" s="1">
        <v>79</v>
      </c>
      <c r="B79" s="1" t="s">
        <v>93</v>
      </c>
      <c r="D79" s="1">
        <f t="shared" si="3"/>
        <v>27</v>
      </c>
      <c r="E79" s="1" t="str">
        <f t="shared" si="2"/>
        <v>Cocorna 110</v>
      </c>
    </row>
    <row r="80" spans="1:5">
      <c r="A80" s="1">
        <v>80</v>
      </c>
      <c r="B80" s="1" t="s">
        <v>94</v>
      </c>
      <c r="D80" s="1">
        <f t="shared" si="3"/>
        <v>27</v>
      </c>
      <c r="E80" s="1" t="str">
        <f t="shared" si="2"/>
        <v>Cocorna 110</v>
      </c>
    </row>
    <row r="81" spans="1:5">
      <c r="A81" s="1">
        <v>81</v>
      </c>
      <c r="B81" s="1" t="s">
        <v>95</v>
      </c>
      <c r="D81" s="1">
        <f t="shared" si="3"/>
        <v>27</v>
      </c>
      <c r="E81" s="1" t="str">
        <f t="shared" si="2"/>
        <v>Cocorna 110</v>
      </c>
    </row>
    <row r="82" spans="1:5">
      <c r="A82" s="1">
        <v>82</v>
      </c>
      <c r="B82" s="1" t="s">
        <v>96</v>
      </c>
      <c r="D82" s="1">
        <f t="shared" si="3"/>
        <v>28</v>
      </c>
      <c r="E82" s="1" t="str">
        <f t="shared" si="2"/>
        <v>Colombia 110</v>
      </c>
    </row>
    <row r="83" spans="1:5">
      <c r="A83" s="1">
        <v>83</v>
      </c>
      <c r="B83" s="1" t="s">
        <v>97</v>
      </c>
      <c r="D83" s="1">
        <f t="shared" si="3"/>
        <v>28</v>
      </c>
      <c r="E83" s="1" t="str">
        <f t="shared" si="2"/>
        <v>Colombia 110</v>
      </c>
    </row>
    <row r="84" spans="1:5">
      <c r="A84" s="1">
        <v>84</v>
      </c>
      <c r="B84" s="1" t="s">
        <v>98</v>
      </c>
      <c r="D84" s="1">
        <f t="shared" si="3"/>
        <v>28</v>
      </c>
      <c r="E84" s="1" t="str">
        <f t="shared" si="2"/>
        <v>Colombia 110</v>
      </c>
    </row>
    <row r="85" spans="1:5">
      <c r="A85" s="1">
        <v>85</v>
      </c>
      <c r="B85" s="1" t="s">
        <v>99</v>
      </c>
      <c r="D85" s="1">
        <f t="shared" si="3"/>
        <v>29</v>
      </c>
      <c r="E85" s="1" t="str">
        <f t="shared" si="2"/>
        <v>Cordova (Antioquia) 110</v>
      </c>
    </row>
    <row r="86" spans="1:5">
      <c r="A86" s="1">
        <v>86</v>
      </c>
      <c r="B86" s="1" t="s">
        <v>100</v>
      </c>
      <c r="D86" s="1">
        <f t="shared" si="3"/>
        <v>29</v>
      </c>
      <c r="E86" s="1" t="str">
        <f t="shared" si="2"/>
        <v>Cordova (Antioquia) 110</v>
      </c>
    </row>
    <row r="87" spans="1:5">
      <c r="A87" s="1">
        <v>87</v>
      </c>
      <c r="B87" s="1" t="s">
        <v>101</v>
      </c>
      <c r="D87" s="1">
        <f t="shared" si="3"/>
        <v>29</v>
      </c>
      <c r="E87" s="1" t="str">
        <f t="shared" si="2"/>
        <v>Cordova (Antioquia) 110</v>
      </c>
    </row>
    <row r="88" spans="1:5">
      <c r="A88" s="1">
        <v>88</v>
      </c>
      <c r="B88" s="1" t="s">
        <v>102</v>
      </c>
      <c r="D88" s="1">
        <f t="shared" si="3"/>
        <v>30</v>
      </c>
      <c r="E88" s="1" t="str">
        <f t="shared" si="2"/>
        <v>Cruzada 110</v>
      </c>
    </row>
    <row r="89" spans="1:5">
      <c r="A89" s="1">
        <v>89</v>
      </c>
      <c r="B89" s="1" t="s">
        <v>103</v>
      </c>
      <c r="D89" s="1">
        <f t="shared" si="3"/>
        <v>30</v>
      </c>
      <c r="E89" s="1" t="str">
        <f t="shared" si="2"/>
        <v>Cruzada 110</v>
      </c>
    </row>
    <row r="90" spans="1:5">
      <c r="A90" s="1">
        <v>90</v>
      </c>
      <c r="B90" s="1" t="s">
        <v>104</v>
      </c>
      <c r="D90" s="1">
        <f t="shared" si="3"/>
        <v>30</v>
      </c>
      <c r="E90" s="1" t="str">
        <f t="shared" si="2"/>
        <v>Cruzada 110</v>
      </c>
    </row>
    <row r="91" spans="1:5">
      <c r="A91" s="1">
        <v>91</v>
      </c>
      <c r="B91" s="1" t="s">
        <v>105</v>
      </c>
      <c r="D91" s="1">
        <f t="shared" si="3"/>
        <v>31</v>
      </c>
      <c r="E91" s="1" t="str">
        <f t="shared" si="2"/>
        <v>El Salto (EPM) 110</v>
      </c>
    </row>
    <row r="92" spans="1:5">
      <c r="A92" s="1">
        <v>92</v>
      </c>
      <c r="B92" s="1" t="s">
        <v>106</v>
      </c>
      <c r="D92" s="1">
        <f t="shared" si="3"/>
        <v>31</v>
      </c>
      <c r="E92" s="1" t="str">
        <f t="shared" si="2"/>
        <v>El Salto (EPM) 110</v>
      </c>
    </row>
    <row r="93" spans="1:5">
      <c r="A93" s="1">
        <v>93</v>
      </c>
      <c r="B93" s="1" t="s">
        <v>107</v>
      </c>
      <c r="D93" s="1">
        <f t="shared" si="3"/>
        <v>31</v>
      </c>
      <c r="E93" s="1" t="str">
        <f t="shared" si="2"/>
        <v>El Salto (EPM) 110</v>
      </c>
    </row>
    <row r="94" spans="1:5">
      <c r="A94" s="1">
        <v>94</v>
      </c>
      <c r="B94" s="1" t="s">
        <v>108</v>
      </c>
      <c r="D94" s="1">
        <f t="shared" si="3"/>
        <v>32</v>
      </c>
      <c r="E94" s="1" t="str">
        <f t="shared" si="2"/>
        <v>El Salto 220</v>
      </c>
    </row>
    <row r="95" spans="1:5">
      <c r="A95" s="1">
        <v>95</v>
      </c>
      <c r="B95" s="1" t="s">
        <v>109</v>
      </c>
      <c r="D95" s="1">
        <f t="shared" si="3"/>
        <v>32</v>
      </c>
      <c r="E95" s="1" t="str">
        <f t="shared" si="2"/>
        <v>El Salto 220</v>
      </c>
    </row>
    <row r="96" spans="1:5">
      <c r="A96" s="1">
        <v>96</v>
      </c>
      <c r="B96" s="1" t="s">
        <v>110</v>
      </c>
      <c r="D96" s="1">
        <f t="shared" si="3"/>
        <v>32</v>
      </c>
      <c r="E96" s="1" t="str">
        <f t="shared" si="2"/>
        <v>El Salto 220</v>
      </c>
    </row>
    <row r="97" spans="1:5">
      <c r="A97" s="1">
        <v>97</v>
      </c>
      <c r="B97" s="1" t="s">
        <v>111</v>
      </c>
      <c r="D97" s="1">
        <f t="shared" si="3"/>
        <v>33</v>
      </c>
      <c r="E97" s="1" t="str">
        <f t="shared" si="2"/>
        <v>El Siete 115</v>
      </c>
    </row>
    <row r="98" spans="1:5">
      <c r="A98" s="1">
        <v>98</v>
      </c>
      <c r="B98" s="1" t="s">
        <v>112</v>
      </c>
      <c r="D98" s="1">
        <f t="shared" si="3"/>
        <v>33</v>
      </c>
      <c r="E98" s="1" t="str">
        <f t="shared" si="2"/>
        <v>El Siete 115</v>
      </c>
    </row>
    <row r="99" spans="1:5">
      <c r="A99" s="1">
        <v>99</v>
      </c>
      <c r="B99" s="1" t="s">
        <v>113</v>
      </c>
      <c r="D99" s="1">
        <f t="shared" si="3"/>
        <v>33</v>
      </c>
      <c r="E99" s="1" t="str">
        <f t="shared" si="2"/>
        <v>El Siete 115</v>
      </c>
    </row>
    <row r="100" spans="1:5">
      <c r="A100" s="1">
        <v>100</v>
      </c>
      <c r="B100" s="1" t="s">
        <v>114</v>
      </c>
      <c r="D100" s="1">
        <f t="shared" si="3"/>
        <v>34</v>
      </c>
      <c r="E100" s="1" t="str">
        <f t="shared" si="2"/>
        <v>El Tecal 110 kV</v>
      </c>
    </row>
    <row r="101" spans="1:5">
      <c r="A101" s="1">
        <v>101</v>
      </c>
      <c r="B101" s="1" t="s">
        <v>115</v>
      </c>
      <c r="D101" s="1">
        <f t="shared" si="3"/>
        <v>34</v>
      </c>
      <c r="E101" s="1" t="str">
        <f t="shared" si="2"/>
        <v>El Tecal 110 kV</v>
      </c>
    </row>
    <row r="102" spans="1:5">
      <c r="A102" s="1">
        <v>102</v>
      </c>
      <c r="B102" s="1" t="s">
        <v>116</v>
      </c>
      <c r="D102" s="1">
        <f t="shared" si="3"/>
        <v>34</v>
      </c>
      <c r="E102" s="1" t="str">
        <f t="shared" si="2"/>
        <v>El Tecal 110 kV</v>
      </c>
    </row>
    <row r="103" spans="1:5">
      <c r="A103" s="1">
        <v>103</v>
      </c>
      <c r="B103" s="1" t="s">
        <v>117</v>
      </c>
      <c r="D103" s="1">
        <f t="shared" si="3"/>
        <v>35</v>
      </c>
      <c r="E103" s="1" t="str">
        <f t="shared" si="2"/>
        <v>Envigado 110</v>
      </c>
    </row>
    <row r="104" spans="1:5">
      <c r="A104" s="1">
        <v>104</v>
      </c>
      <c r="B104" s="1" t="s">
        <v>118</v>
      </c>
      <c r="D104" s="1">
        <f t="shared" si="3"/>
        <v>35</v>
      </c>
      <c r="E104" s="1" t="str">
        <f t="shared" si="2"/>
        <v>Envigado 110</v>
      </c>
    </row>
    <row r="105" spans="1:5">
      <c r="A105" s="1">
        <v>105</v>
      </c>
      <c r="B105" s="1" t="s">
        <v>119</v>
      </c>
      <c r="D105" s="1">
        <f t="shared" si="3"/>
        <v>35</v>
      </c>
      <c r="E105" s="1" t="str">
        <f t="shared" si="2"/>
        <v>Envigado 110</v>
      </c>
    </row>
    <row r="106" spans="1:5">
      <c r="A106" s="1">
        <v>106</v>
      </c>
      <c r="B106" s="1" t="s">
        <v>120</v>
      </c>
      <c r="D106" s="1">
        <f t="shared" si="3"/>
        <v>36</v>
      </c>
      <c r="E106" s="1" t="str">
        <f t="shared" si="2"/>
        <v>Envigado 220</v>
      </c>
    </row>
    <row r="107" spans="1:5">
      <c r="A107" s="1">
        <v>107</v>
      </c>
      <c r="B107" s="1" t="s">
        <v>121</v>
      </c>
      <c r="D107" s="1">
        <f t="shared" si="3"/>
        <v>36</v>
      </c>
      <c r="E107" s="1" t="str">
        <f t="shared" si="2"/>
        <v>Envigado 220</v>
      </c>
    </row>
    <row r="108" spans="1:5">
      <c r="A108" s="1">
        <v>108</v>
      </c>
      <c r="B108" s="1" t="s">
        <v>122</v>
      </c>
      <c r="D108" s="1">
        <f t="shared" si="3"/>
        <v>36</v>
      </c>
      <c r="E108" s="1" t="str">
        <f t="shared" si="2"/>
        <v>Envigado 220</v>
      </c>
    </row>
    <row r="109" spans="1:5">
      <c r="A109" s="1">
        <v>109</v>
      </c>
      <c r="B109" s="1" t="s">
        <v>123</v>
      </c>
      <c r="D109" s="1">
        <f t="shared" si="3"/>
        <v>37</v>
      </c>
      <c r="E109" s="1" t="str">
        <f t="shared" si="2"/>
        <v>Girardota 110</v>
      </c>
    </row>
    <row r="110" spans="1:5">
      <c r="A110" s="1">
        <v>110</v>
      </c>
      <c r="B110" s="1" t="s">
        <v>124</v>
      </c>
      <c r="D110" s="1">
        <f t="shared" si="3"/>
        <v>37</v>
      </c>
      <c r="E110" s="1" t="str">
        <f t="shared" si="2"/>
        <v>Girardota 110</v>
      </c>
    </row>
    <row r="111" spans="1:5">
      <c r="A111" s="1">
        <v>111</v>
      </c>
      <c r="B111" s="1" t="s">
        <v>125</v>
      </c>
      <c r="D111" s="1">
        <f t="shared" si="3"/>
        <v>37</v>
      </c>
      <c r="E111" s="1" t="str">
        <f t="shared" si="2"/>
        <v>Girardota 110</v>
      </c>
    </row>
    <row r="112" spans="1:5">
      <c r="A112" s="1">
        <v>112</v>
      </c>
      <c r="B112" s="1" t="s">
        <v>126</v>
      </c>
      <c r="D112" s="1">
        <f t="shared" si="3"/>
        <v>38</v>
      </c>
      <c r="E112" s="1" t="str">
        <f t="shared" si="2"/>
        <v>Guadalupe 220</v>
      </c>
    </row>
    <row r="113" spans="1:5">
      <c r="A113" s="1">
        <v>113</v>
      </c>
      <c r="B113" s="1" t="s">
        <v>127</v>
      </c>
      <c r="D113" s="1">
        <f t="shared" si="3"/>
        <v>38</v>
      </c>
      <c r="E113" s="1" t="str">
        <f t="shared" si="2"/>
        <v>Guadalupe 220</v>
      </c>
    </row>
    <row r="114" spans="1:5">
      <c r="A114" s="1">
        <v>114</v>
      </c>
      <c r="B114" s="1" t="s">
        <v>128</v>
      </c>
      <c r="D114" s="1">
        <f t="shared" si="3"/>
        <v>38</v>
      </c>
      <c r="E114" s="1" t="str">
        <f t="shared" si="2"/>
        <v>Guadalupe 220</v>
      </c>
    </row>
    <row r="115" spans="1:5">
      <c r="A115" s="1">
        <v>115</v>
      </c>
      <c r="B115" s="1" t="s">
        <v>129</v>
      </c>
      <c r="D115" s="1">
        <f t="shared" si="3"/>
        <v>39</v>
      </c>
      <c r="E115" s="1" t="str">
        <f t="shared" si="2"/>
        <v>Guatape 110</v>
      </c>
    </row>
    <row r="116" spans="1:5">
      <c r="A116" s="1">
        <v>116</v>
      </c>
      <c r="B116" s="1" t="s">
        <v>130</v>
      </c>
      <c r="D116" s="1">
        <f t="shared" si="3"/>
        <v>39</v>
      </c>
      <c r="E116" s="1" t="str">
        <f t="shared" si="2"/>
        <v>Guatape 110</v>
      </c>
    </row>
    <row r="117" spans="1:5">
      <c r="A117" s="1">
        <v>117</v>
      </c>
      <c r="B117" s="1" t="s">
        <v>131</v>
      </c>
      <c r="D117" s="1">
        <f t="shared" si="3"/>
        <v>39</v>
      </c>
      <c r="E117" s="1" t="str">
        <f t="shared" si="2"/>
        <v>Guatape 110</v>
      </c>
    </row>
    <row r="118" spans="1:5">
      <c r="A118" s="1">
        <v>118</v>
      </c>
      <c r="B118" s="1" t="s">
        <v>132</v>
      </c>
      <c r="D118" s="1">
        <f t="shared" si="3"/>
        <v>40</v>
      </c>
      <c r="E118" s="1" t="str">
        <f t="shared" si="2"/>
        <v>Guatape 220</v>
      </c>
    </row>
    <row r="119" spans="1:5">
      <c r="A119" s="1">
        <v>119</v>
      </c>
      <c r="B119" s="1" t="s">
        <v>133</v>
      </c>
      <c r="D119" s="1">
        <f t="shared" si="3"/>
        <v>40</v>
      </c>
      <c r="E119" s="1" t="str">
        <f t="shared" si="2"/>
        <v>Guatape 220</v>
      </c>
    </row>
    <row r="120" spans="1:5">
      <c r="A120" s="1">
        <v>120</v>
      </c>
      <c r="B120" s="1" t="s">
        <v>134</v>
      </c>
      <c r="D120" s="1">
        <f t="shared" si="3"/>
        <v>40</v>
      </c>
      <c r="E120" s="1" t="str">
        <f t="shared" si="2"/>
        <v>Guatape 220</v>
      </c>
    </row>
    <row r="121" spans="1:5">
      <c r="A121" s="1">
        <v>121</v>
      </c>
      <c r="B121" s="1" t="s">
        <v>135</v>
      </c>
      <c r="D121" s="1">
        <f t="shared" si="3"/>
        <v>41</v>
      </c>
      <c r="E121" s="1" t="str">
        <f t="shared" si="2"/>
        <v>Guayabal 110</v>
      </c>
    </row>
    <row r="122" spans="1:5">
      <c r="A122" s="1">
        <v>122</v>
      </c>
      <c r="B122" s="1" t="s">
        <v>136</v>
      </c>
      <c r="D122" s="1">
        <f t="shared" si="3"/>
        <v>41</v>
      </c>
      <c r="E122" s="1" t="str">
        <f t="shared" si="2"/>
        <v>Guayabal 110</v>
      </c>
    </row>
    <row r="123" spans="1:5">
      <c r="A123" s="1">
        <v>123</v>
      </c>
      <c r="B123" s="1" t="s">
        <v>137</v>
      </c>
      <c r="D123" s="1">
        <f t="shared" si="3"/>
        <v>41</v>
      </c>
      <c r="E123" s="1" t="str">
        <f t="shared" si="2"/>
        <v>Guayabal 110</v>
      </c>
    </row>
    <row r="124" spans="1:5">
      <c r="A124" s="1">
        <v>124</v>
      </c>
      <c r="B124" s="1" t="s">
        <v>138</v>
      </c>
      <c r="D124" s="1">
        <f t="shared" si="3"/>
        <v>42</v>
      </c>
      <c r="E124" s="1" t="str">
        <f t="shared" si="2"/>
        <v>Guayabal 220</v>
      </c>
    </row>
    <row r="125" spans="1:5">
      <c r="A125" s="1">
        <v>125</v>
      </c>
      <c r="B125" s="1" t="s">
        <v>139</v>
      </c>
      <c r="D125" s="1">
        <f t="shared" si="3"/>
        <v>42</v>
      </c>
      <c r="E125" s="1" t="str">
        <f t="shared" si="2"/>
        <v>Guayabal 220</v>
      </c>
    </row>
    <row r="126" spans="1:5">
      <c r="A126" s="1">
        <v>126</v>
      </c>
      <c r="B126" s="1" t="s">
        <v>140</v>
      </c>
      <c r="D126" s="1">
        <f t="shared" si="3"/>
        <v>42</v>
      </c>
      <c r="E126" s="1" t="str">
        <f t="shared" si="2"/>
        <v>Guayabal 220</v>
      </c>
    </row>
    <row r="127" spans="1:5">
      <c r="A127" s="1">
        <v>127</v>
      </c>
      <c r="B127" s="1" t="s">
        <v>141</v>
      </c>
      <c r="D127" s="1">
        <f t="shared" si="3"/>
        <v>43</v>
      </c>
      <c r="E127" s="1" t="str">
        <f t="shared" si="2"/>
        <v>Guárcama 110</v>
      </c>
    </row>
    <row r="128" spans="1:5">
      <c r="A128" s="1">
        <v>128</v>
      </c>
      <c r="B128" s="1" t="s">
        <v>142</v>
      </c>
      <c r="D128" s="1">
        <f t="shared" si="3"/>
        <v>43</v>
      </c>
      <c r="E128" s="1" t="str">
        <f t="shared" si="2"/>
        <v>Guárcama 110</v>
      </c>
    </row>
    <row r="129" spans="1:5">
      <c r="A129" s="1">
        <v>129</v>
      </c>
      <c r="B129" s="1" t="s">
        <v>143</v>
      </c>
      <c r="D129" s="1">
        <f t="shared" si="3"/>
        <v>43</v>
      </c>
      <c r="E129" s="1" t="str">
        <f t="shared" ref="E129:E192" si="4">+VLOOKUP(D129,$A$1:$B$1076,2,FALSE)</f>
        <v>Guárcama 110</v>
      </c>
    </row>
    <row r="130" spans="1:5">
      <c r="A130" s="1">
        <v>130</v>
      </c>
      <c r="B130" s="1" t="s">
        <v>144</v>
      </c>
      <c r="D130" s="1">
        <f t="shared" si="3"/>
        <v>44</v>
      </c>
      <c r="E130" s="1" t="str">
        <f t="shared" si="4"/>
        <v>Heliconia 220</v>
      </c>
    </row>
    <row r="131" spans="1:5">
      <c r="A131" s="1">
        <v>131</v>
      </c>
      <c r="B131" s="1" t="s">
        <v>145</v>
      </c>
      <c r="D131" s="1">
        <f t="shared" si="3"/>
        <v>44</v>
      </c>
      <c r="E131" s="1" t="str">
        <f t="shared" si="4"/>
        <v>Heliconia 220</v>
      </c>
    </row>
    <row r="132" spans="1:5">
      <c r="A132" s="1">
        <v>132</v>
      </c>
      <c r="B132" s="1" t="s">
        <v>146</v>
      </c>
      <c r="D132" s="1">
        <f t="shared" ref="D132:D195" si="5">+D129+1</f>
        <v>44</v>
      </c>
      <c r="E132" s="1" t="str">
        <f t="shared" si="4"/>
        <v>Heliconia 220</v>
      </c>
    </row>
    <row r="133" spans="1:5">
      <c r="A133" s="1">
        <v>133</v>
      </c>
      <c r="B133" s="1" t="s">
        <v>147</v>
      </c>
      <c r="D133" s="1">
        <f t="shared" si="5"/>
        <v>45</v>
      </c>
      <c r="E133" s="1" t="str">
        <f t="shared" si="4"/>
        <v>Heliconia 500</v>
      </c>
    </row>
    <row r="134" spans="1:5">
      <c r="A134" s="1">
        <v>134</v>
      </c>
      <c r="B134" s="1" t="s">
        <v>148</v>
      </c>
      <c r="D134" s="1">
        <f t="shared" si="5"/>
        <v>45</v>
      </c>
      <c r="E134" s="1" t="str">
        <f t="shared" si="4"/>
        <v>Heliconia 500</v>
      </c>
    </row>
    <row r="135" spans="1:5">
      <c r="A135" s="1">
        <v>135</v>
      </c>
      <c r="B135" s="1" t="s">
        <v>149</v>
      </c>
      <c r="D135" s="1">
        <f t="shared" si="5"/>
        <v>45</v>
      </c>
      <c r="E135" s="1" t="str">
        <f t="shared" si="4"/>
        <v>Heliconia 500</v>
      </c>
    </row>
    <row r="136" spans="1:5">
      <c r="A136" s="1">
        <v>136</v>
      </c>
      <c r="B136" s="1" t="s">
        <v>150</v>
      </c>
      <c r="D136" s="1">
        <f t="shared" si="5"/>
        <v>46</v>
      </c>
      <c r="E136" s="1" t="str">
        <f t="shared" si="4"/>
        <v>Hispania 110</v>
      </c>
    </row>
    <row r="137" spans="1:5">
      <c r="A137" s="1">
        <v>137</v>
      </c>
      <c r="B137" s="1" t="s">
        <v>151</v>
      </c>
      <c r="D137" s="1">
        <f t="shared" si="5"/>
        <v>46</v>
      </c>
      <c r="E137" s="1" t="str">
        <f t="shared" si="4"/>
        <v>Hispania 110</v>
      </c>
    </row>
    <row r="138" spans="1:5">
      <c r="A138" s="1">
        <v>138</v>
      </c>
      <c r="B138" s="1" t="s">
        <v>152</v>
      </c>
      <c r="D138" s="1">
        <f t="shared" si="5"/>
        <v>46</v>
      </c>
      <c r="E138" s="1" t="str">
        <f t="shared" si="4"/>
        <v>Hispania 110</v>
      </c>
    </row>
    <row r="139" spans="1:5">
      <c r="A139" s="1">
        <v>139</v>
      </c>
      <c r="B139" s="1" t="s">
        <v>153</v>
      </c>
      <c r="D139" s="1">
        <f t="shared" si="5"/>
        <v>47</v>
      </c>
      <c r="E139" s="1" t="str">
        <f t="shared" si="4"/>
        <v>Horizonte 110</v>
      </c>
    </row>
    <row r="140" spans="1:5">
      <c r="A140" s="1">
        <v>140</v>
      </c>
      <c r="B140" s="1" t="s">
        <v>154</v>
      </c>
      <c r="D140" s="1">
        <f t="shared" si="5"/>
        <v>47</v>
      </c>
      <c r="E140" s="1" t="str">
        <f t="shared" si="4"/>
        <v>Horizonte 110</v>
      </c>
    </row>
    <row r="141" spans="1:5">
      <c r="A141" s="1">
        <v>141</v>
      </c>
      <c r="B141" s="1" t="s">
        <v>155</v>
      </c>
      <c r="D141" s="1">
        <f t="shared" si="5"/>
        <v>47</v>
      </c>
      <c r="E141" s="1" t="str">
        <f t="shared" si="4"/>
        <v>Horizonte 110</v>
      </c>
    </row>
    <row r="142" spans="1:5">
      <c r="A142" s="1">
        <v>142</v>
      </c>
      <c r="B142" s="1" t="s">
        <v>156</v>
      </c>
      <c r="D142" s="1">
        <f t="shared" si="5"/>
        <v>48</v>
      </c>
      <c r="E142" s="1" t="str">
        <f t="shared" si="4"/>
        <v>Industriales 110</v>
      </c>
    </row>
    <row r="143" spans="1:5">
      <c r="A143" s="1">
        <v>143</v>
      </c>
      <c r="B143" s="1" t="s">
        <v>157</v>
      </c>
      <c r="D143" s="1">
        <f t="shared" si="5"/>
        <v>48</v>
      </c>
      <c r="E143" s="1" t="str">
        <f t="shared" si="4"/>
        <v>Industriales 110</v>
      </c>
    </row>
    <row r="144" spans="1:5">
      <c r="A144" s="1">
        <v>144</v>
      </c>
      <c r="B144" s="1" t="s">
        <v>158</v>
      </c>
      <c r="D144" s="1">
        <f t="shared" si="5"/>
        <v>48</v>
      </c>
      <c r="E144" s="1" t="str">
        <f t="shared" si="4"/>
        <v>Industriales 110</v>
      </c>
    </row>
    <row r="145" spans="1:5">
      <c r="A145" s="1">
        <v>145</v>
      </c>
      <c r="B145" s="1" t="s">
        <v>159</v>
      </c>
      <c r="D145" s="1">
        <f t="shared" si="5"/>
        <v>49</v>
      </c>
      <c r="E145" s="1" t="str">
        <f t="shared" si="4"/>
        <v>Istmina 115</v>
      </c>
    </row>
    <row r="146" spans="1:5">
      <c r="A146" s="1">
        <v>146</v>
      </c>
      <c r="B146" s="1" t="s">
        <v>160</v>
      </c>
      <c r="D146" s="1">
        <f t="shared" si="5"/>
        <v>49</v>
      </c>
      <c r="E146" s="1" t="str">
        <f t="shared" si="4"/>
        <v>Istmina 115</v>
      </c>
    </row>
    <row r="147" spans="1:5">
      <c r="A147" s="1">
        <v>147</v>
      </c>
      <c r="B147" s="1" t="s">
        <v>161</v>
      </c>
      <c r="D147" s="1">
        <f t="shared" si="5"/>
        <v>49</v>
      </c>
      <c r="E147" s="1" t="str">
        <f t="shared" si="4"/>
        <v>Istmina 115</v>
      </c>
    </row>
    <row r="148" spans="1:5">
      <c r="A148" s="1">
        <v>148</v>
      </c>
      <c r="B148" s="1" t="s">
        <v>162</v>
      </c>
      <c r="D148" s="1">
        <f t="shared" si="5"/>
        <v>50</v>
      </c>
      <c r="E148" s="1" t="str">
        <f t="shared" si="4"/>
        <v>Itagui 110</v>
      </c>
    </row>
    <row r="149" spans="1:5">
      <c r="A149" s="1">
        <v>149</v>
      </c>
      <c r="B149" s="1" t="s">
        <v>163</v>
      </c>
      <c r="D149" s="1">
        <f t="shared" si="5"/>
        <v>50</v>
      </c>
      <c r="E149" s="1" t="str">
        <f t="shared" si="4"/>
        <v>Itagui 110</v>
      </c>
    </row>
    <row r="150" spans="1:5">
      <c r="A150" s="1">
        <v>150</v>
      </c>
      <c r="B150" s="1" t="s">
        <v>164</v>
      </c>
      <c r="D150" s="1">
        <f t="shared" si="5"/>
        <v>50</v>
      </c>
      <c r="E150" s="1" t="str">
        <f t="shared" si="4"/>
        <v>Itagui 110</v>
      </c>
    </row>
    <row r="151" spans="1:5">
      <c r="A151" s="1">
        <v>151</v>
      </c>
      <c r="B151" s="1" t="s">
        <v>165</v>
      </c>
      <c r="D151" s="1">
        <f t="shared" si="5"/>
        <v>51</v>
      </c>
      <c r="E151" s="1" t="str">
        <f t="shared" si="4"/>
        <v>Jaguas 220</v>
      </c>
    </row>
    <row r="152" spans="1:5">
      <c r="A152" s="1">
        <v>152</v>
      </c>
      <c r="B152" s="1" t="s">
        <v>166</v>
      </c>
      <c r="D152" s="1">
        <f t="shared" si="5"/>
        <v>51</v>
      </c>
      <c r="E152" s="1" t="str">
        <f t="shared" si="4"/>
        <v>Jaguas 220</v>
      </c>
    </row>
    <row r="153" spans="1:5">
      <c r="A153" s="1">
        <v>153</v>
      </c>
      <c r="B153" s="1" t="s">
        <v>167</v>
      </c>
      <c r="D153" s="1">
        <f t="shared" si="5"/>
        <v>51</v>
      </c>
      <c r="E153" s="1" t="str">
        <f t="shared" si="4"/>
        <v>Jaguas 220</v>
      </c>
    </row>
    <row r="154" spans="1:5">
      <c r="A154" s="1">
        <v>154</v>
      </c>
      <c r="B154" s="1" t="s">
        <v>168</v>
      </c>
      <c r="D154" s="1">
        <f t="shared" si="5"/>
        <v>52</v>
      </c>
      <c r="E154" s="1" t="str">
        <f t="shared" si="4"/>
        <v>La Ceja 110</v>
      </c>
    </row>
    <row r="155" spans="1:5">
      <c r="A155" s="1">
        <v>155</v>
      </c>
      <c r="B155" s="1" t="s">
        <v>169</v>
      </c>
      <c r="D155" s="1">
        <f t="shared" si="5"/>
        <v>52</v>
      </c>
      <c r="E155" s="1" t="str">
        <f t="shared" si="4"/>
        <v>La Ceja 110</v>
      </c>
    </row>
    <row r="156" spans="1:5">
      <c r="A156" s="1">
        <v>156</v>
      </c>
      <c r="B156" s="1" t="s">
        <v>170</v>
      </c>
      <c r="D156" s="1">
        <f t="shared" si="5"/>
        <v>52</v>
      </c>
      <c r="E156" s="1" t="str">
        <f t="shared" si="4"/>
        <v>La Ceja 110</v>
      </c>
    </row>
    <row r="157" spans="1:5">
      <c r="A157" s="1">
        <v>157</v>
      </c>
      <c r="B157" s="1" t="s">
        <v>171</v>
      </c>
      <c r="D157" s="1">
        <f t="shared" si="5"/>
        <v>53</v>
      </c>
      <c r="E157" s="1" t="str">
        <f t="shared" si="4"/>
        <v>La Sierra 110</v>
      </c>
    </row>
    <row r="158" spans="1:5">
      <c r="A158" s="1">
        <v>158</v>
      </c>
      <c r="B158" s="1" t="s">
        <v>172</v>
      </c>
      <c r="D158" s="1">
        <f t="shared" si="5"/>
        <v>53</v>
      </c>
      <c r="E158" s="1" t="str">
        <f t="shared" si="4"/>
        <v>La Sierra 110</v>
      </c>
    </row>
    <row r="159" spans="1:5">
      <c r="A159" s="1">
        <v>159</v>
      </c>
      <c r="B159" s="1" t="s">
        <v>173</v>
      </c>
      <c r="D159" s="1">
        <f t="shared" si="5"/>
        <v>53</v>
      </c>
      <c r="E159" s="1" t="str">
        <f t="shared" si="4"/>
        <v>La Sierra 110</v>
      </c>
    </row>
    <row r="160" spans="1:5">
      <c r="A160" s="1">
        <v>160</v>
      </c>
      <c r="B160" s="1" t="s">
        <v>174</v>
      </c>
      <c r="D160" s="1">
        <f t="shared" si="5"/>
        <v>54</v>
      </c>
      <c r="E160" s="1" t="str">
        <f t="shared" si="4"/>
        <v>La Sierra 220</v>
      </c>
    </row>
    <row r="161" spans="1:5">
      <c r="A161" s="1">
        <v>161</v>
      </c>
      <c r="B161" s="1" t="s">
        <v>175</v>
      </c>
      <c r="D161" s="1">
        <f t="shared" si="5"/>
        <v>54</v>
      </c>
      <c r="E161" s="1" t="str">
        <f t="shared" si="4"/>
        <v>La Sierra 220</v>
      </c>
    </row>
    <row r="162" spans="1:5">
      <c r="A162" s="1">
        <v>162</v>
      </c>
      <c r="B162" s="1" t="s">
        <v>176</v>
      </c>
      <c r="D162" s="1">
        <f t="shared" si="5"/>
        <v>54</v>
      </c>
      <c r="E162" s="1" t="str">
        <f t="shared" si="4"/>
        <v>La Sierra 220</v>
      </c>
    </row>
    <row r="163" spans="1:5">
      <c r="A163" s="1">
        <v>163</v>
      </c>
      <c r="B163" s="1" t="s">
        <v>177</v>
      </c>
      <c r="D163" s="1">
        <f t="shared" si="5"/>
        <v>55</v>
      </c>
      <c r="E163" s="1" t="str">
        <f t="shared" si="4"/>
        <v>La Tasajera 220</v>
      </c>
    </row>
    <row r="164" spans="1:5">
      <c r="A164" s="1">
        <v>164</v>
      </c>
      <c r="B164" s="1" t="s">
        <v>178</v>
      </c>
      <c r="D164" s="1">
        <f t="shared" si="5"/>
        <v>55</v>
      </c>
      <c r="E164" s="1" t="str">
        <f t="shared" si="4"/>
        <v>La Tasajera 220</v>
      </c>
    </row>
    <row r="165" spans="1:5">
      <c r="A165" s="1">
        <v>165</v>
      </c>
      <c r="B165" s="1" t="s">
        <v>179</v>
      </c>
      <c r="D165" s="1">
        <f t="shared" si="5"/>
        <v>55</v>
      </c>
      <c r="E165" s="1" t="str">
        <f t="shared" si="4"/>
        <v>La Tasajera 220</v>
      </c>
    </row>
    <row r="166" spans="1:5">
      <c r="A166" s="1">
        <v>166</v>
      </c>
      <c r="B166" s="1" t="s">
        <v>180</v>
      </c>
      <c r="D166" s="1">
        <f t="shared" si="5"/>
        <v>56</v>
      </c>
      <c r="E166" s="1" t="str">
        <f t="shared" si="4"/>
        <v>Malena 220</v>
      </c>
    </row>
    <row r="167" spans="1:5">
      <c r="A167" s="1">
        <v>167</v>
      </c>
      <c r="B167" s="1" t="s">
        <v>181</v>
      </c>
      <c r="D167" s="1">
        <f t="shared" si="5"/>
        <v>56</v>
      </c>
      <c r="E167" s="1" t="str">
        <f t="shared" si="4"/>
        <v>Malena 220</v>
      </c>
    </row>
    <row r="168" spans="1:5">
      <c r="A168" s="1">
        <v>168</v>
      </c>
      <c r="B168" s="1" t="s">
        <v>182</v>
      </c>
      <c r="D168" s="1">
        <f t="shared" si="5"/>
        <v>56</v>
      </c>
      <c r="E168" s="1" t="str">
        <f t="shared" si="4"/>
        <v>Malena 220</v>
      </c>
    </row>
    <row r="169" spans="1:5">
      <c r="A169" s="1">
        <v>169</v>
      </c>
      <c r="B169" s="1" t="s">
        <v>183</v>
      </c>
      <c r="D169" s="1">
        <f t="shared" si="5"/>
        <v>57</v>
      </c>
      <c r="E169" s="1" t="str">
        <f t="shared" si="4"/>
        <v>Miraflores 110</v>
      </c>
    </row>
    <row r="170" spans="1:5">
      <c r="A170" s="1">
        <v>170</v>
      </c>
      <c r="B170" s="1" t="s">
        <v>184</v>
      </c>
      <c r="D170" s="1">
        <f t="shared" si="5"/>
        <v>57</v>
      </c>
      <c r="E170" s="1" t="str">
        <f t="shared" si="4"/>
        <v>Miraflores 110</v>
      </c>
    </row>
    <row r="171" spans="1:5">
      <c r="A171" s="1">
        <v>171</v>
      </c>
      <c r="B171" s="1" t="s">
        <v>185</v>
      </c>
      <c r="D171" s="1">
        <f t="shared" si="5"/>
        <v>57</v>
      </c>
      <c r="E171" s="1" t="str">
        <f t="shared" si="4"/>
        <v>Miraflores 110</v>
      </c>
    </row>
    <row r="172" spans="1:5">
      <c r="A172" s="1">
        <v>172</v>
      </c>
      <c r="B172" s="1" t="s">
        <v>186</v>
      </c>
      <c r="D172" s="1">
        <f t="shared" si="5"/>
        <v>58</v>
      </c>
      <c r="E172" s="1" t="str">
        <f t="shared" si="4"/>
        <v>Miraflores 220</v>
      </c>
    </row>
    <row r="173" spans="1:5">
      <c r="A173" s="1">
        <v>173</v>
      </c>
      <c r="B173" s="1" t="s">
        <v>187</v>
      </c>
      <c r="D173" s="1">
        <f t="shared" si="5"/>
        <v>58</v>
      </c>
      <c r="E173" s="1" t="str">
        <f t="shared" si="4"/>
        <v>Miraflores 220</v>
      </c>
    </row>
    <row r="174" spans="1:5">
      <c r="A174" s="1">
        <v>174</v>
      </c>
      <c r="B174" s="1" t="s">
        <v>188</v>
      </c>
      <c r="D174" s="1">
        <f t="shared" si="5"/>
        <v>58</v>
      </c>
      <c r="E174" s="1" t="str">
        <f t="shared" si="4"/>
        <v>Miraflores 220</v>
      </c>
    </row>
    <row r="175" spans="1:5">
      <c r="A175" s="1">
        <v>175</v>
      </c>
      <c r="B175" s="1" t="s">
        <v>189</v>
      </c>
      <c r="D175" s="1">
        <f t="shared" si="5"/>
        <v>59</v>
      </c>
      <c r="E175" s="1" t="str">
        <f t="shared" si="4"/>
        <v>Moriche 110</v>
      </c>
    </row>
    <row r="176" spans="1:5">
      <c r="A176" s="1">
        <v>176</v>
      </c>
      <c r="B176" s="1" t="s">
        <v>190</v>
      </c>
      <c r="D176" s="1">
        <f t="shared" si="5"/>
        <v>59</v>
      </c>
      <c r="E176" s="1" t="str">
        <f t="shared" si="4"/>
        <v>Moriche 110</v>
      </c>
    </row>
    <row r="177" spans="1:5">
      <c r="A177" s="1">
        <v>177</v>
      </c>
      <c r="B177" s="1" t="s">
        <v>191</v>
      </c>
      <c r="D177" s="1">
        <f t="shared" si="5"/>
        <v>59</v>
      </c>
      <c r="E177" s="1" t="str">
        <f t="shared" si="4"/>
        <v>Moriche 110</v>
      </c>
    </row>
    <row r="178" spans="1:5">
      <c r="A178" s="1">
        <v>178</v>
      </c>
      <c r="B178" s="1" t="s">
        <v>192</v>
      </c>
      <c r="D178" s="1">
        <f t="shared" si="5"/>
        <v>60</v>
      </c>
      <c r="E178" s="1" t="str">
        <f t="shared" si="4"/>
        <v>Nva SRosa 110</v>
      </c>
    </row>
    <row r="179" spans="1:5">
      <c r="A179" s="1">
        <v>179</v>
      </c>
      <c r="B179" s="1" t="s">
        <v>114</v>
      </c>
      <c r="D179" s="1">
        <f t="shared" si="5"/>
        <v>60</v>
      </c>
      <c r="E179" s="1" t="str">
        <f t="shared" si="4"/>
        <v>Nva SRosa 110</v>
      </c>
    </row>
    <row r="180" spans="1:5">
      <c r="A180" s="1">
        <v>180</v>
      </c>
      <c r="B180" s="1" t="s">
        <v>193</v>
      </c>
      <c r="D180" s="1">
        <f t="shared" si="5"/>
        <v>60</v>
      </c>
      <c r="E180" s="1" t="str">
        <f t="shared" si="4"/>
        <v>Nva SRosa 110</v>
      </c>
    </row>
    <row r="181" spans="1:5">
      <c r="A181" s="1">
        <v>181</v>
      </c>
      <c r="B181" s="1" t="s">
        <v>194</v>
      </c>
      <c r="D181" s="1">
        <f t="shared" si="5"/>
        <v>61</v>
      </c>
      <c r="E181" s="1" t="str">
        <f t="shared" si="4"/>
        <v>Occidente 110</v>
      </c>
    </row>
    <row r="182" spans="1:5">
      <c r="A182" s="1">
        <v>182</v>
      </c>
      <c r="B182" s="1" t="s">
        <v>195</v>
      </c>
      <c r="D182" s="1">
        <f t="shared" si="5"/>
        <v>61</v>
      </c>
      <c r="E182" s="1" t="str">
        <f t="shared" si="4"/>
        <v>Occidente 110</v>
      </c>
    </row>
    <row r="183" spans="1:5">
      <c r="A183" s="1">
        <v>183</v>
      </c>
      <c r="B183" s="1" t="s">
        <v>196</v>
      </c>
      <c r="D183" s="1">
        <f t="shared" si="5"/>
        <v>61</v>
      </c>
      <c r="E183" s="1" t="str">
        <f t="shared" si="4"/>
        <v>Occidente 110</v>
      </c>
    </row>
    <row r="184" spans="1:5">
      <c r="A184" s="1">
        <v>184</v>
      </c>
      <c r="B184" s="1" t="s">
        <v>197</v>
      </c>
      <c r="D184" s="1">
        <f t="shared" si="5"/>
        <v>62</v>
      </c>
      <c r="E184" s="1" t="str">
        <f t="shared" si="4"/>
        <v>Occidente 220</v>
      </c>
    </row>
    <row r="185" spans="1:5">
      <c r="A185" s="1">
        <v>185</v>
      </c>
      <c r="B185" s="1" t="s">
        <v>198</v>
      </c>
      <c r="D185" s="1">
        <f t="shared" si="5"/>
        <v>62</v>
      </c>
      <c r="E185" s="1" t="str">
        <f t="shared" si="4"/>
        <v>Occidente 220</v>
      </c>
    </row>
    <row r="186" spans="1:5">
      <c r="A186" s="1">
        <v>186</v>
      </c>
      <c r="B186" s="1" t="s">
        <v>199</v>
      </c>
      <c r="D186" s="1">
        <f t="shared" si="5"/>
        <v>62</v>
      </c>
      <c r="E186" s="1" t="str">
        <f t="shared" si="4"/>
        <v>Occidente 220</v>
      </c>
    </row>
    <row r="187" spans="1:5">
      <c r="A187" s="1">
        <v>187</v>
      </c>
      <c r="B187" s="1" t="s">
        <v>200</v>
      </c>
      <c r="D187" s="1">
        <f t="shared" si="5"/>
        <v>63</v>
      </c>
      <c r="E187" s="1" t="str">
        <f t="shared" si="4"/>
        <v>Oriente 110</v>
      </c>
    </row>
    <row r="188" spans="1:5">
      <c r="A188" s="1">
        <v>188</v>
      </c>
      <c r="B188" s="1" t="s">
        <v>201</v>
      </c>
      <c r="D188" s="1">
        <f t="shared" si="5"/>
        <v>63</v>
      </c>
      <c r="E188" s="1" t="str">
        <f t="shared" si="4"/>
        <v>Oriente 110</v>
      </c>
    </row>
    <row r="189" spans="1:5">
      <c r="A189" s="1">
        <v>189</v>
      </c>
      <c r="B189" s="1" t="s">
        <v>202</v>
      </c>
      <c r="D189" s="1">
        <f t="shared" si="5"/>
        <v>63</v>
      </c>
      <c r="E189" s="1" t="str">
        <f t="shared" si="4"/>
        <v>Oriente 110</v>
      </c>
    </row>
    <row r="190" spans="1:5">
      <c r="A190" s="1">
        <v>190</v>
      </c>
      <c r="B190" s="1" t="s">
        <v>203</v>
      </c>
      <c r="D190" s="1">
        <f t="shared" si="5"/>
        <v>64</v>
      </c>
      <c r="E190" s="1" t="str">
        <f t="shared" si="4"/>
        <v>Oriente 220</v>
      </c>
    </row>
    <row r="191" spans="1:5">
      <c r="A191" s="1">
        <v>191</v>
      </c>
      <c r="B191" s="1" t="s">
        <v>204</v>
      </c>
      <c r="D191" s="1">
        <f t="shared" si="5"/>
        <v>64</v>
      </c>
      <c r="E191" s="1" t="str">
        <f t="shared" si="4"/>
        <v>Oriente 220</v>
      </c>
    </row>
    <row r="192" spans="1:5">
      <c r="A192" s="1">
        <v>192</v>
      </c>
      <c r="B192" s="1" t="s">
        <v>205</v>
      </c>
      <c r="D192" s="1">
        <f t="shared" si="5"/>
        <v>64</v>
      </c>
      <c r="E192" s="1" t="str">
        <f t="shared" si="4"/>
        <v>Oriente 220</v>
      </c>
    </row>
    <row r="193" spans="1:5">
      <c r="A193" s="1">
        <v>193</v>
      </c>
      <c r="B193" s="1" t="s">
        <v>206</v>
      </c>
      <c r="D193" s="1">
        <f t="shared" si="5"/>
        <v>65</v>
      </c>
      <c r="E193" s="1" t="str">
        <f t="shared" ref="E193:E256" si="6">+VLOOKUP(D193,$A$1:$B$1076,2,FALSE)</f>
        <v>P Blancas 110</v>
      </c>
    </row>
    <row r="194" spans="1:5">
      <c r="A194" s="1">
        <v>194</v>
      </c>
      <c r="B194" s="1" t="s">
        <v>207</v>
      </c>
      <c r="D194" s="1">
        <f t="shared" si="5"/>
        <v>65</v>
      </c>
      <c r="E194" s="1" t="str">
        <f t="shared" si="6"/>
        <v>P Blancas 110</v>
      </c>
    </row>
    <row r="195" spans="1:5">
      <c r="A195" s="1">
        <v>195</v>
      </c>
      <c r="B195" s="1" t="s">
        <v>208</v>
      </c>
      <c r="D195" s="1">
        <f t="shared" si="5"/>
        <v>65</v>
      </c>
      <c r="E195" s="1" t="str">
        <f t="shared" si="6"/>
        <v>P Blancas 110</v>
      </c>
    </row>
    <row r="196" spans="1:5">
      <c r="A196" s="1">
        <v>196</v>
      </c>
      <c r="B196" s="1" t="s">
        <v>209</v>
      </c>
      <c r="D196" s="1">
        <f t="shared" ref="D196:D259" si="7">+D193+1</f>
        <v>66</v>
      </c>
      <c r="E196" s="1" t="str">
        <f t="shared" si="6"/>
        <v>Playas 110</v>
      </c>
    </row>
    <row r="197" spans="1:5">
      <c r="A197" s="1">
        <v>197</v>
      </c>
      <c r="B197" s="1" t="s">
        <v>210</v>
      </c>
      <c r="D197" s="1">
        <f t="shared" si="7"/>
        <v>66</v>
      </c>
      <c r="E197" s="1" t="str">
        <f t="shared" si="6"/>
        <v>Playas 110</v>
      </c>
    </row>
    <row r="198" spans="1:5">
      <c r="A198" s="1">
        <v>198</v>
      </c>
      <c r="B198" s="1" t="s">
        <v>211</v>
      </c>
      <c r="D198" s="1">
        <f t="shared" si="7"/>
        <v>66</v>
      </c>
      <c r="E198" s="1" t="str">
        <f t="shared" si="6"/>
        <v>Playas 110</v>
      </c>
    </row>
    <row r="199" spans="1:5">
      <c r="A199" s="1">
        <v>199</v>
      </c>
      <c r="B199" s="1" t="s">
        <v>212</v>
      </c>
      <c r="D199" s="1">
        <f t="shared" si="7"/>
        <v>67</v>
      </c>
      <c r="E199" s="1" t="str">
        <f t="shared" si="6"/>
        <v>Playas 220</v>
      </c>
    </row>
    <row r="200" spans="1:5">
      <c r="A200" s="1">
        <v>200</v>
      </c>
      <c r="B200" s="1" t="s">
        <v>213</v>
      </c>
      <c r="D200" s="1">
        <f t="shared" si="7"/>
        <v>67</v>
      </c>
      <c r="E200" s="1" t="str">
        <f t="shared" si="6"/>
        <v>Playas 220</v>
      </c>
    </row>
    <row r="201" spans="1:5">
      <c r="A201" s="1">
        <v>201</v>
      </c>
      <c r="B201" s="1" t="s">
        <v>214</v>
      </c>
      <c r="D201" s="1">
        <f t="shared" si="7"/>
        <v>67</v>
      </c>
      <c r="E201" s="1" t="str">
        <f t="shared" si="6"/>
        <v>Playas 220</v>
      </c>
    </row>
    <row r="202" spans="1:5">
      <c r="A202" s="1">
        <v>202</v>
      </c>
      <c r="B202" s="1" t="s">
        <v>215</v>
      </c>
      <c r="D202" s="1">
        <f t="shared" si="7"/>
        <v>68</v>
      </c>
      <c r="E202" s="1" t="str">
        <f t="shared" si="6"/>
        <v>Poblado 110</v>
      </c>
    </row>
    <row r="203" spans="1:5">
      <c r="A203" s="1">
        <v>203</v>
      </c>
      <c r="B203" s="1" t="s">
        <v>216</v>
      </c>
      <c r="D203" s="1">
        <f t="shared" si="7"/>
        <v>68</v>
      </c>
      <c r="E203" s="1" t="str">
        <f t="shared" si="6"/>
        <v>Poblado 110</v>
      </c>
    </row>
    <row r="204" spans="1:5">
      <c r="A204" s="1">
        <v>204</v>
      </c>
      <c r="B204" s="1" t="s">
        <v>217</v>
      </c>
      <c r="D204" s="1">
        <f t="shared" si="7"/>
        <v>68</v>
      </c>
      <c r="E204" s="1" t="str">
        <f t="shared" si="6"/>
        <v>Poblado 110</v>
      </c>
    </row>
    <row r="205" spans="1:5">
      <c r="A205" s="1">
        <v>205</v>
      </c>
      <c r="B205" s="1" t="s">
        <v>218</v>
      </c>
      <c r="D205" s="1">
        <f t="shared" si="7"/>
        <v>69</v>
      </c>
      <c r="E205" s="1" t="str">
        <f t="shared" si="6"/>
        <v>Porce 110</v>
      </c>
    </row>
    <row r="206" spans="1:5">
      <c r="A206" s="1">
        <v>206</v>
      </c>
      <c r="B206" s="1" t="s">
        <v>219</v>
      </c>
      <c r="D206" s="1">
        <f t="shared" si="7"/>
        <v>69</v>
      </c>
      <c r="E206" s="1" t="str">
        <f t="shared" si="6"/>
        <v>Porce 110</v>
      </c>
    </row>
    <row r="207" spans="1:5">
      <c r="A207" s="1">
        <v>207</v>
      </c>
      <c r="B207" s="1" t="s">
        <v>220</v>
      </c>
      <c r="D207" s="1">
        <f t="shared" si="7"/>
        <v>69</v>
      </c>
      <c r="E207" s="1" t="str">
        <f t="shared" si="6"/>
        <v>Porce 110</v>
      </c>
    </row>
    <row r="208" spans="1:5">
      <c r="A208" s="1">
        <v>208</v>
      </c>
      <c r="B208" s="1" t="s">
        <v>221</v>
      </c>
      <c r="D208" s="1">
        <f t="shared" si="7"/>
        <v>70</v>
      </c>
      <c r="E208" s="1" t="str">
        <f t="shared" si="6"/>
        <v>Porce 220</v>
      </c>
    </row>
    <row r="209" spans="1:5">
      <c r="A209" s="1">
        <v>209</v>
      </c>
      <c r="B209" s="1" t="s">
        <v>222</v>
      </c>
      <c r="D209" s="1">
        <f t="shared" si="7"/>
        <v>70</v>
      </c>
      <c r="E209" s="1" t="str">
        <f t="shared" si="6"/>
        <v>Porce 220</v>
      </c>
    </row>
    <row r="210" spans="1:5">
      <c r="A210" s="1">
        <v>210</v>
      </c>
      <c r="B210" s="1" t="s">
        <v>223</v>
      </c>
      <c r="D210" s="1">
        <f t="shared" si="7"/>
        <v>70</v>
      </c>
      <c r="E210" s="1" t="str">
        <f t="shared" si="6"/>
        <v>Porce 220</v>
      </c>
    </row>
    <row r="211" spans="1:5">
      <c r="A211" s="1">
        <v>211</v>
      </c>
      <c r="B211" s="1" t="s">
        <v>224</v>
      </c>
      <c r="D211" s="1">
        <f t="shared" si="7"/>
        <v>71</v>
      </c>
      <c r="E211" s="1" t="str">
        <f t="shared" si="6"/>
        <v>Porce III 500</v>
      </c>
    </row>
    <row r="212" spans="1:5">
      <c r="A212" s="1">
        <v>212</v>
      </c>
      <c r="B212" s="1" t="s">
        <v>225</v>
      </c>
      <c r="D212" s="1">
        <f t="shared" si="7"/>
        <v>71</v>
      </c>
      <c r="E212" s="1" t="str">
        <f t="shared" si="6"/>
        <v>Porce III 500</v>
      </c>
    </row>
    <row r="213" spans="1:5">
      <c r="A213" s="1">
        <v>213</v>
      </c>
      <c r="B213" s="1" t="s">
        <v>226</v>
      </c>
      <c r="D213" s="1">
        <f t="shared" si="7"/>
        <v>71</v>
      </c>
      <c r="E213" s="1" t="str">
        <f t="shared" si="6"/>
        <v>Porce III 500</v>
      </c>
    </row>
    <row r="214" spans="1:5">
      <c r="A214" s="1">
        <v>214</v>
      </c>
      <c r="B214" s="1" t="s">
        <v>227</v>
      </c>
      <c r="D214" s="1">
        <f t="shared" si="7"/>
        <v>72</v>
      </c>
      <c r="E214" s="1" t="str">
        <f t="shared" si="6"/>
        <v>Primavera 220</v>
      </c>
    </row>
    <row r="215" spans="1:5">
      <c r="A215" s="1">
        <v>215</v>
      </c>
      <c r="B215" s="1" t="s">
        <v>228</v>
      </c>
      <c r="D215" s="1">
        <f t="shared" si="7"/>
        <v>72</v>
      </c>
      <c r="E215" s="1" t="str">
        <f t="shared" si="6"/>
        <v>Primavera 220</v>
      </c>
    </row>
    <row r="216" spans="1:5">
      <c r="A216" s="1">
        <v>216</v>
      </c>
      <c r="B216" s="1" t="s">
        <v>229</v>
      </c>
      <c r="D216" s="1">
        <f t="shared" si="7"/>
        <v>72</v>
      </c>
      <c r="E216" s="1" t="str">
        <f t="shared" si="6"/>
        <v>Primavera 220</v>
      </c>
    </row>
    <row r="217" spans="1:5">
      <c r="A217" s="1">
        <v>217</v>
      </c>
      <c r="B217" s="1" t="s">
        <v>230</v>
      </c>
      <c r="D217" s="1">
        <f t="shared" si="7"/>
        <v>73</v>
      </c>
      <c r="E217" s="1" t="str">
        <f t="shared" si="6"/>
        <v>Primavera 500</v>
      </c>
    </row>
    <row r="218" spans="1:5">
      <c r="A218" s="1">
        <v>218</v>
      </c>
      <c r="B218" s="1" t="s">
        <v>231</v>
      </c>
      <c r="D218" s="1">
        <f t="shared" si="7"/>
        <v>73</v>
      </c>
      <c r="E218" s="1" t="str">
        <f t="shared" si="6"/>
        <v>Primavera 500</v>
      </c>
    </row>
    <row r="219" spans="1:5">
      <c r="A219" s="1">
        <v>219</v>
      </c>
      <c r="B219" s="1" t="s">
        <v>232</v>
      </c>
      <c r="D219" s="1">
        <f t="shared" si="7"/>
        <v>73</v>
      </c>
      <c r="E219" s="1" t="str">
        <f t="shared" si="6"/>
        <v>Primavera 500</v>
      </c>
    </row>
    <row r="220" spans="1:5">
      <c r="A220" s="1">
        <v>220</v>
      </c>
      <c r="B220" s="1" t="s">
        <v>233</v>
      </c>
      <c r="D220" s="1">
        <f t="shared" si="7"/>
        <v>74</v>
      </c>
      <c r="E220" s="1" t="str">
        <f t="shared" si="6"/>
        <v>Pto Boyaca 110</v>
      </c>
    </row>
    <row r="221" spans="1:5">
      <c r="A221" s="1">
        <v>221</v>
      </c>
      <c r="B221" s="1" t="s">
        <v>234</v>
      </c>
      <c r="D221" s="1">
        <f t="shared" si="7"/>
        <v>74</v>
      </c>
      <c r="E221" s="1" t="str">
        <f t="shared" si="6"/>
        <v>Pto Boyaca 110</v>
      </c>
    </row>
    <row r="222" spans="1:5">
      <c r="A222" s="1">
        <v>222</v>
      </c>
      <c r="B222" s="1" t="s">
        <v>235</v>
      </c>
      <c r="D222" s="1">
        <f t="shared" si="7"/>
        <v>74</v>
      </c>
      <c r="E222" s="1" t="str">
        <f t="shared" si="6"/>
        <v>Pto Boyaca 110</v>
      </c>
    </row>
    <row r="223" spans="1:5">
      <c r="A223" s="1">
        <v>223</v>
      </c>
      <c r="B223" s="1" t="s">
        <v>236</v>
      </c>
      <c r="D223" s="1">
        <f t="shared" si="7"/>
        <v>75</v>
      </c>
      <c r="E223" s="1" t="str">
        <f t="shared" si="6"/>
        <v>Pto Inmarco 110</v>
      </c>
    </row>
    <row r="224" spans="1:5">
      <c r="A224" s="1">
        <v>224</v>
      </c>
      <c r="B224" s="1" t="s">
        <v>237</v>
      </c>
      <c r="D224" s="1">
        <f t="shared" si="7"/>
        <v>75</v>
      </c>
      <c r="E224" s="1" t="str">
        <f t="shared" si="6"/>
        <v>Pto Inmarco 110</v>
      </c>
    </row>
    <row r="225" spans="1:5">
      <c r="A225" s="1">
        <v>225</v>
      </c>
      <c r="B225" s="1" t="s">
        <v>238</v>
      </c>
      <c r="D225" s="1">
        <f t="shared" si="7"/>
        <v>75</v>
      </c>
      <c r="E225" s="1" t="str">
        <f t="shared" si="6"/>
        <v>Pto Inmarco 110</v>
      </c>
    </row>
    <row r="226" spans="1:5">
      <c r="A226" s="1">
        <v>226</v>
      </c>
      <c r="B226" s="1" t="s">
        <v>239</v>
      </c>
      <c r="D226" s="1">
        <f t="shared" si="7"/>
        <v>76</v>
      </c>
      <c r="E226" s="1" t="str">
        <f t="shared" si="6"/>
        <v>Pto Nare 110</v>
      </c>
    </row>
    <row r="227" spans="1:5">
      <c r="A227" s="1">
        <v>227</v>
      </c>
      <c r="B227" s="1" t="s">
        <v>240</v>
      </c>
      <c r="D227" s="1">
        <f t="shared" si="7"/>
        <v>76</v>
      </c>
      <c r="E227" s="1" t="str">
        <f t="shared" si="6"/>
        <v>Pto Nare 110</v>
      </c>
    </row>
    <row r="228" spans="1:5">
      <c r="A228" s="1">
        <v>228</v>
      </c>
      <c r="B228" s="1" t="s">
        <v>241</v>
      </c>
      <c r="D228" s="1">
        <f t="shared" si="7"/>
        <v>76</v>
      </c>
      <c r="E228" s="1" t="str">
        <f t="shared" si="6"/>
        <v>Pto Nare 110</v>
      </c>
    </row>
    <row r="229" spans="1:5">
      <c r="A229" s="1">
        <v>229</v>
      </c>
      <c r="B229" s="1" t="s">
        <v>242</v>
      </c>
      <c r="D229" s="1">
        <f t="shared" si="7"/>
        <v>77</v>
      </c>
      <c r="E229" s="1" t="str">
        <f t="shared" si="6"/>
        <v>Purnio 220</v>
      </c>
    </row>
    <row r="230" spans="1:5">
      <c r="A230" s="1">
        <v>230</v>
      </c>
      <c r="B230" s="1" t="s">
        <v>243</v>
      </c>
      <c r="D230" s="1">
        <f t="shared" si="7"/>
        <v>77</v>
      </c>
      <c r="E230" s="1" t="str">
        <f t="shared" si="6"/>
        <v>Purnio 220</v>
      </c>
    </row>
    <row r="231" spans="1:5">
      <c r="A231" s="1">
        <v>231</v>
      </c>
      <c r="B231" s="1" t="s">
        <v>244</v>
      </c>
      <c r="D231" s="1">
        <f t="shared" si="7"/>
        <v>77</v>
      </c>
      <c r="E231" s="1" t="str">
        <f t="shared" si="6"/>
        <v>Purnio 220</v>
      </c>
    </row>
    <row r="232" spans="1:5">
      <c r="A232" s="1">
        <v>232</v>
      </c>
      <c r="B232" s="1" t="s">
        <v>245</v>
      </c>
      <c r="D232" s="1">
        <f t="shared" si="7"/>
        <v>78</v>
      </c>
      <c r="E232" s="1" t="str">
        <f t="shared" si="6"/>
        <v>Quibdo 115</v>
      </c>
    </row>
    <row r="233" spans="1:5">
      <c r="A233" s="1">
        <v>233</v>
      </c>
      <c r="B233" s="1" t="s">
        <v>246</v>
      </c>
      <c r="D233" s="1">
        <f t="shared" si="7"/>
        <v>78</v>
      </c>
      <c r="E233" s="1" t="str">
        <f t="shared" si="6"/>
        <v>Quibdo 115</v>
      </c>
    </row>
    <row r="234" spans="1:5">
      <c r="A234" s="1">
        <v>234</v>
      </c>
      <c r="B234" s="1" t="s">
        <v>247</v>
      </c>
      <c r="D234" s="1">
        <f t="shared" si="7"/>
        <v>78</v>
      </c>
      <c r="E234" s="1" t="str">
        <f t="shared" si="6"/>
        <v>Quibdo 115</v>
      </c>
    </row>
    <row r="235" spans="1:5">
      <c r="A235" s="1">
        <v>235</v>
      </c>
      <c r="B235" s="1" t="s">
        <v>248</v>
      </c>
      <c r="D235" s="1">
        <f t="shared" si="7"/>
        <v>79</v>
      </c>
      <c r="E235" s="1" t="str">
        <f t="shared" si="6"/>
        <v>Rio Claro 110</v>
      </c>
    </row>
    <row r="236" spans="1:5">
      <c r="A236" s="1">
        <v>236</v>
      </c>
      <c r="B236" s="1" t="s">
        <v>249</v>
      </c>
      <c r="D236" s="1">
        <f t="shared" si="7"/>
        <v>79</v>
      </c>
      <c r="E236" s="1" t="str">
        <f t="shared" si="6"/>
        <v>Rio Claro 110</v>
      </c>
    </row>
    <row r="237" spans="1:5">
      <c r="A237" s="1">
        <v>237</v>
      </c>
      <c r="B237" s="1" t="s">
        <v>250</v>
      </c>
      <c r="D237" s="1">
        <f t="shared" si="7"/>
        <v>79</v>
      </c>
      <c r="E237" s="1" t="str">
        <f t="shared" si="6"/>
        <v>Rio Claro 110</v>
      </c>
    </row>
    <row r="238" spans="1:5">
      <c r="A238" s="1">
        <v>238</v>
      </c>
      <c r="B238" s="1" t="s">
        <v>251</v>
      </c>
      <c r="D238" s="1">
        <f t="shared" si="7"/>
        <v>80</v>
      </c>
      <c r="E238" s="1" t="str">
        <f t="shared" si="6"/>
        <v>Riogrande 110</v>
      </c>
    </row>
    <row r="239" spans="1:5">
      <c r="A239" s="1">
        <v>239</v>
      </c>
      <c r="B239" s="1" t="s">
        <v>252</v>
      </c>
      <c r="D239" s="1">
        <f t="shared" si="7"/>
        <v>80</v>
      </c>
      <c r="E239" s="1" t="str">
        <f t="shared" si="6"/>
        <v>Riogrande 110</v>
      </c>
    </row>
    <row r="240" spans="1:5">
      <c r="A240" s="1">
        <v>240</v>
      </c>
      <c r="B240" s="1" t="s">
        <v>253</v>
      </c>
      <c r="D240" s="1">
        <f t="shared" si="7"/>
        <v>80</v>
      </c>
      <c r="E240" s="1" t="str">
        <f t="shared" si="6"/>
        <v>Riogrande 110</v>
      </c>
    </row>
    <row r="241" spans="1:5">
      <c r="A241" s="1">
        <v>241</v>
      </c>
      <c r="B241" s="1" t="s">
        <v>254</v>
      </c>
      <c r="D241" s="1">
        <f t="shared" si="7"/>
        <v>81</v>
      </c>
      <c r="E241" s="1" t="str">
        <f t="shared" si="6"/>
        <v>Rionegro 110</v>
      </c>
    </row>
    <row r="242" spans="1:5">
      <c r="A242" s="1">
        <v>242</v>
      </c>
      <c r="B242" s="1" t="s">
        <v>255</v>
      </c>
      <c r="D242" s="1">
        <f t="shared" si="7"/>
        <v>81</v>
      </c>
      <c r="E242" s="1" t="str">
        <f t="shared" si="6"/>
        <v>Rionegro 110</v>
      </c>
    </row>
    <row r="243" spans="1:5">
      <c r="A243" s="1">
        <v>243</v>
      </c>
      <c r="B243" s="1" t="s">
        <v>256</v>
      </c>
      <c r="D243" s="1">
        <f t="shared" si="7"/>
        <v>81</v>
      </c>
      <c r="E243" s="1" t="str">
        <f t="shared" si="6"/>
        <v>Rionegro 110</v>
      </c>
    </row>
    <row r="244" spans="1:5">
      <c r="A244" s="1">
        <v>244</v>
      </c>
      <c r="B244" s="1" t="s">
        <v>257</v>
      </c>
      <c r="D244" s="1">
        <f t="shared" si="7"/>
        <v>82</v>
      </c>
      <c r="E244" s="1" t="str">
        <f t="shared" si="6"/>
        <v>Rodeo 110</v>
      </c>
    </row>
    <row r="245" spans="1:5">
      <c r="A245" s="1">
        <v>245</v>
      </c>
      <c r="B245" s="1" t="s">
        <v>258</v>
      </c>
      <c r="D245" s="1">
        <f t="shared" si="7"/>
        <v>82</v>
      </c>
      <c r="E245" s="1" t="str">
        <f t="shared" si="6"/>
        <v>Rodeo 110</v>
      </c>
    </row>
    <row r="246" spans="1:5">
      <c r="A246" s="1">
        <v>246</v>
      </c>
      <c r="B246" s="1" t="s">
        <v>259</v>
      </c>
      <c r="D246" s="1">
        <f t="shared" si="7"/>
        <v>82</v>
      </c>
      <c r="E246" s="1" t="str">
        <f t="shared" si="6"/>
        <v>Rodeo 110</v>
      </c>
    </row>
    <row r="247" spans="1:5">
      <c r="A247" s="1">
        <v>247</v>
      </c>
      <c r="B247" s="1" t="s">
        <v>260</v>
      </c>
      <c r="D247" s="1">
        <f t="shared" si="7"/>
        <v>83</v>
      </c>
      <c r="E247" s="1" t="str">
        <f t="shared" si="6"/>
        <v>SE Lagunas 110</v>
      </c>
    </row>
    <row r="248" spans="1:5">
      <c r="A248" s="1">
        <v>248</v>
      </c>
      <c r="B248" s="1" t="s">
        <v>261</v>
      </c>
      <c r="D248" s="1">
        <f t="shared" si="7"/>
        <v>83</v>
      </c>
      <c r="E248" s="1" t="str">
        <f t="shared" si="6"/>
        <v>SE Lagunas 110</v>
      </c>
    </row>
    <row r="249" spans="1:5">
      <c r="A249" s="1">
        <v>249</v>
      </c>
      <c r="B249" s="1" t="s">
        <v>262</v>
      </c>
      <c r="D249" s="1">
        <f t="shared" si="7"/>
        <v>83</v>
      </c>
      <c r="E249" s="1" t="str">
        <f t="shared" si="6"/>
        <v>SE Lagunas 110</v>
      </c>
    </row>
    <row r="250" spans="1:5">
      <c r="A250" s="1">
        <v>250</v>
      </c>
      <c r="B250" s="1" t="s">
        <v>263</v>
      </c>
      <c r="D250" s="1">
        <f t="shared" si="7"/>
        <v>84</v>
      </c>
      <c r="E250" s="1" t="str">
        <f t="shared" si="6"/>
        <v>San Carlos 220</v>
      </c>
    </row>
    <row r="251" spans="1:5">
      <c r="A251" s="1">
        <v>251</v>
      </c>
      <c r="B251" s="1" t="s">
        <v>264</v>
      </c>
      <c r="D251" s="1">
        <f t="shared" si="7"/>
        <v>84</v>
      </c>
      <c r="E251" s="1" t="str">
        <f t="shared" si="6"/>
        <v>San Carlos 220</v>
      </c>
    </row>
    <row r="252" spans="1:5">
      <c r="A252" s="1">
        <v>252</v>
      </c>
      <c r="B252" s="1" t="s">
        <v>265</v>
      </c>
      <c r="D252" s="1">
        <f t="shared" si="7"/>
        <v>84</v>
      </c>
      <c r="E252" s="1" t="str">
        <f t="shared" si="6"/>
        <v>San Carlos 220</v>
      </c>
    </row>
    <row r="253" spans="1:5">
      <c r="A253" s="1">
        <v>253</v>
      </c>
      <c r="B253" s="1" t="s">
        <v>266</v>
      </c>
      <c r="D253" s="1">
        <f t="shared" si="7"/>
        <v>85</v>
      </c>
      <c r="E253" s="1" t="str">
        <f t="shared" si="6"/>
        <v>San Carlos 500</v>
      </c>
    </row>
    <row r="254" spans="1:5">
      <c r="A254" s="1">
        <v>254</v>
      </c>
      <c r="B254" s="1" t="s">
        <v>267</v>
      </c>
      <c r="D254" s="1">
        <f t="shared" si="7"/>
        <v>85</v>
      </c>
      <c r="E254" s="1" t="str">
        <f t="shared" si="6"/>
        <v>San Carlos 500</v>
      </c>
    </row>
    <row r="255" spans="1:5">
      <c r="A255" s="1">
        <v>255</v>
      </c>
      <c r="B255" s="1" t="s">
        <v>268</v>
      </c>
      <c r="D255" s="1">
        <f t="shared" si="7"/>
        <v>85</v>
      </c>
      <c r="E255" s="1" t="str">
        <f t="shared" si="6"/>
        <v>San Carlos 500</v>
      </c>
    </row>
    <row r="256" spans="1:5">
      <c r="A256" s="1">
        <v>256</v>
      </c>
      <c r="B256" s="1" t="s">
        <v>269</v>
      </c>
      <c r="D256" s="1">
        <f t="shared" si="7"/>
        <v>86</v>
      </c>
      <c r="E256" s="1" t="str">
        <f t="shared" si="6"/>
        <v>San Diego 110</v>
      </c>
    </row>
    <row r="257" spans="1:5">
      <c r="A257" s="1">
        <v>257</v>
      </c>
      <c r="B257" s="1" t="s">
        <v>270</v>
      </c>
      <c r="D257" s="1">
        <f t="shared" si="7"/>
        <v>86</v>
      </c>
      <c r="E257" s="1" t="str">
        <f t="shared" ref="E257:E320" si="8">+VLOOKUP(D257,$A$1:$B$1076,2,FALSE)</f>
        <v>San Diego 110</v>
      </c>
    </row>
    <row r="258" spans="1:5">
      <c r="A258" s="1">
        <v>258</v>
      </c>
      <c r="B258" s="1" t="s">
        <v>271</v>
      </c>
      <c r="D258" s="1">
        <f t="shared" si="7"/>
        <v>86</v>
      </c>
      <c r="E258" s="1" t="str">
        <f t="shared" si="8"/>
        <v>San Diego 110</v>
      </c>
    </row>
    <row r="259" spans="1:5">
      <c r="A259" s="1">
        <v>259</v>
      </c>
      <c r="B259" s="1" t="s">
        <v>272</v>
      </c>
      <c r="D259" s="1">
        <f t="shared" si="7"/>
        <v>87</v>
      </c>
      <c r="E259" s="1" t="str">
        <f t="shared" si="8"/>
        <v>San Jeronimo 110</v>
      </c>
    </row>
    <row r="260" spans="1:5">
      <c r="A260" s="1">
        <v>260</v>
      </c>
      <c r="B260" s="1" t="s">
        <v>273</v>
      </c>
      <c r="D260" s="1">
        <f t="shared" ref="D260:D323" si="9">+D257+1</f>
        <v>87</v>
      </c>
      <c r="E260" s="1" t="str">
        <f t="shared" si="8"/>
        <v>San Jeronimo 110</v>
      </c>
    </row>
    <row r="261" spans="1:5">
      <c r="A261" s="1">
        <v>261</v>
      </c>
      <c r="B261" s="1" t="s">
        <v>274</v>
      </c>
      <c r="D261" s="1">
        <f t="shared" si="9"/>
        <v>87</v>
      </c>
      <c r="E261" s="1" t="str">
        <f t="shared" si="8"/>
        <v>San Jeronimo 110</v>
      </c>
    </row>
    <row r="262" spans="1:5">
      <c r="A262" s="1">
        <v>262</v>
      </c>
      <c r="B262" s="1" t="s">
        <v>275</v>
      </c>
      <c r="D262" s="1">
        <f t="shared" si="9"/>
        <v>88</v>
      </c>
      <c r="E262" s="1" t="str">
        <f t="shared" si="8"/>
        <v>San Lorenzo 110</v>
      </c>
    </row>
    <row r="263" spans="1:5">
      <c r="A263" s="1">
        <v>263</v>
      </c>
      <c r="B263" s="1" t="s">
        <v>276</v>
      </c>
      <c r="D263" s="1">
        <f t="shared" si="9"/>
        <v>88</v>
      </c>
      <c r="E263" s="1" t="str">
        <f t="shared" si="8"/>
        <v>San Lorenzo 110</v>
      </c>
    </row>
    <row r="264" spans="1:5">
      <c r="A264" s="1">
        <v>264</v>
      </c>
      <c r="B264" s="1" t="s">
        <v>277</v>
      </c>
      <c r="D264" s="1">
        <f t="shared" si="9"/>
        <v>88</v>
      </c>
      <c r="E264" s="1" t="str">
        <f t="shared" si="8"/>
        <v>San Lorenzo 110</v>
      </c>
    </row>
    <row r="265" spans="1:5">
      <c r="A265" s="1">
        <v>265</v>
      </c>
      <c r="B265" s="1" t="s">
        <v>278</v>
      </c>
      <c r="D265" s="1">
        <f t="shared" si="9"/>
        <v>89</v>
      </c>
      <c r="E265" s="1" t="str">
        <f t="shared" si="8"/>
        <v>San Lorenzo II 110</v>
      </c>
    </row>
    <row r="266" spans="1:5">
      <c r="A266" s="1">
        <v>266</v>
      </c>
      <c r="B266" s="1" t="s">
        <v>279</v>
      </c>
      <c r="D266" s="1">
        <f t="shared" si="9"/>
        <v>89</v>
      </c>
      <c r="E266" s="1" t="str">
        <f t="shared" si="8"/>
        <v>San Lorenzo II 110</v>
      </c>
    </row>
    <row r="267" spans="1:5">
      <c r="A267" s="1">
        <v>267</v>
      </c>
      <c r="B267" s="1" t="s">
        <v>280</v>
      </c>
      <c r="D267" s="1">
        <f t="shared" si="9"/>
        <v>89</v>
      </c>
      <c r="E267" s="1" t="str">
        <f t="shared" si="8"/>
        <v>San Lorenzo II 110</v>
      </c>
    </row>
    <row r="268" spans="1:5">
      <c r="A268" s="1">
        <v>268</v>
      </c>
      <c r="B268" s="1" t="s">
        <v>281</v>
      </c>
      <c r="D268" s="1">
        <f t="shared" si="9"/>
        <v>90</v>
      </c>
      <c r="E268" s="1" t="str">
        <f t="shared" si="8"/>
        <v>Sonson 110</v>
      </c>
    </row>
    <row r="269" spans="1:5">
      <c r="A269" s="1">
        <v>269</v>
      </c>
      <c r="B269" s="1" t="s">
        <v>282</v>
      </c>
      <c r="D269" s="1">
        <f t="shared" si="9"/>
        <v>90</v>
      </c>
      <c r="E269" s="1" t="str">
        <f t="shared" si="8"/>
        <v>Sonson 110</v>
      </c>
    </row>
    <row r="270" spans="1:5">
      <c r="A270" s="1">
        <v>270</v>
      </c>
      <c r="B270" s="1" t="s">
        <v>283</v>
      </c>
      <c r="D270" s="1">
        <f t="shared" si="9"/>
        <v>90</v>
      </c>
      <c r="E270" s="1" t="str">
        <f t="shared" si="8"/>
        <v>Sonson 110</v>
      </c>
    </row>
    <row r="271" spans="1:5">
      <c r="A271" s="1">
        <v>271</v>
      </c>
      <c r="B271" s="1" t="s">
        <v>284</v>
      </c>
      <c r="D271" s="1">
        <f t="shared" si="9"/>
        <v>91</v>
      </c>
      <c r="E271" s="1" t="str">
        <f t="shared" si="8"/>
        <v>Tigre 110</v>
      </c>
    </row>
    <row r="272" spans="1:5">
      <c r="A272" s="1">
        <v>272</v>
      </c>
      <c r="B272" s="1" t="s">
        <v>285</v>
      </c>
      <c r="D272" s="1">
        <f t="shared" si="9"/>
        <v>91</v>
      </c>
      <c r="E272" s="1" t="str">
        <f t="shared" si="8"/>
        <v>Tigre 110</v>
      </c>
    </row>
    <row r="273" spans="1:5">
      <c r="A273" s="1">
        <v>273</v>
      </c>
      <c r="B273" s="1" t="s">
        <v>286</v>
      </c>
      <c r="D273" s="1">
        <f t="shared" si="9"/>
        <v>91</v>
      </c>
      <c r="E273" s="1" t="str">
        <f t="shared" si="8"/>
        <v>Tigre 110</v>
      </c>
    </row>
    <row r="274" spans="1:5">
      <c r="A274" s="1">
        <v>274</v>
      </c>
      <c r="B274" s="1" t="s">
        <v>287</v>
      </c>
      <c r="D274" s="1">
        <f t="shared" si="9"/>
        <v>92</v>
      </c>
      <c r="E274" s="1" t="str">
        <f t="shared" si="8"/>
        <v>Virginia 115</v>
      </c>
    </row>
    <row r="275" spans="1:5">
      <c r="A275" s="1">
        <v>275</v>
      </c>
      <c r="B275" s="1" t="s">
        <v>288</v>
      </c>
      <c r="D275" s="1">
        <f t="shared" si="9"/>
        <v>92</v>
      </c>
      <c r="E275" s="1" t="str">
        <f t="shared" si="8"/>
        <v>Virginia 115</v>
      </c>
    </row>
    <row r="276" spans="1:5">
      <c r="A276" s="1">
        <v>276</v>
      </c>
      <c r="B276" s="1" t="s">
        <v>289</v>
      </c>
      <c r="D276" s="1">
        <f t="shared" si="9"/>
        <v>92</v>
      </c>
      <c r="E276" s="1" t="str">
        <f t="shared" si="8"/>
        <v>Virginia 115</v>
      </c>
    </row>
    <row r="277" spans="1:5">
      <c r="A277" s="1">
        <v>277</v>
      </c>
      <c r="B277" s="1" t="s">
        <v>290</v>
      </c>
      <c r="D277" s="1">
        <f t="shared" si="9"/>
        <v>93</v>
      </c>
      <c r="E277" s="1" t="str">
        <f t="shared" si="8"/>
        <v>Vila Hermosa 110</v>
      </c>
    </row>
    <row r="278" spans="1:5">
      <c r="A278" s="1">
        <v>278</v>
      </c>
      <c r="B278" s="1" t="s">
        <v>291</v>
      </c>
      <c r="D278" s="1">
        <f t="shared" si="9"/>
        <v>93</v>
      </c>
      <c r="E278" s="1" t="str">
        <f t="shared" si="8"/>
        <v>Vila Hermosa 110</v>
      </c>
    </row>
    <row r="279" spans="1:5">
      <c r="A279" s="1">
        <v>279</v>
      </c>
      <c r="B279" s="1" t="s">
        <v>292</v>
      </c>
      <c r="D279" s="1">
        <f t="shared" si="9"/>
        <v>93</v>
      </c>
      <c r="E279" s="1" t="str">
        <f t="shared" si="8"/>
        <v>Vila Hermosa 110</v>
      </c>
    </row>
    <row r="280" spans="1:5">
      <c r="A280" s="1">
        <v>280</v>
      </c>
      <c r="B280" s="1" t="s">
        <v>293</v>
      </c>
      <c r="D280" s="1">
        <f t="shared" si="9"/>
        <v>94</v>
      </c>
      <c r="E280" s="1" t="str">
        <f t="shared" si="8"/>
        <v>Varumal 110</v>
      </c>
    </row>
    <row r="281" spans="1:5">
      <c r="A281" s="1">
        <v>281</v>
      </c>
      <c r="B281" s="1" t="s">
        <v>294</v>
      </c>
      <c r="D281" s="1">
        <f t="shared" si="9"/>
        <v>94</v>
      </c>
      <c r="E281" s="1" t="str">
        <f t="shared" si="8"/>
        <v>Varumal 110</v>
      </c>
    </row>
    <row r="282" spans="1:5">
      <c r="A282" s="1">
        <v>282</v>
      </c>
      <c r="B282" s="1" t="s">
        <v>295</v>
      </c>
      <c r="D282" s="1">
        <f t="shared" si="9"/>
        <v>94</v>
      </c>
      <c r="E282" s="1" t="str">
        <f t="shared" si="8"/>
        <v>Varumal 110</v>
      </c>
    </row>
    <row r="283" spans="1:5">
      <c r="A283" s="1">
        <v>283</v>
      </c>
      <c r="B283" s="1" t="s">
        <v>296</v>
      </c>
      <c r="D283" s="1">
        <f t="shared" si="9"/>
        <v>95</v>
      </c>
      <c r="E283" s="1" t="str">
        <f t="shared" si="8"/>
        <v>Varumal II 110</v>
      </c>
    </row>
    <row r="284" spans="1:5">
      <c r="A284" s="1">
        <v>284</v>
      </c>
      <c r="B284" s="1" t="s">
        <v>297</v>
      </c>
      <c r="D284" s="1">
        <f t="shared" si="9"/>
        <v>95</v>
      </c>
      <c r="E284" s="1" t="str">
        <f t="shared" si="8"/>
        <v>Varumal II 110</v>
      </c>
    </row>
    <row r="285" spans="1:5">
      <c r="A285" s="1">
        <v>285</v>
      </c>
      <c r="B285" s="1" t="s">
        <v>298</v>
      </c>
      <c r="D285" s="1">
        <f t="shared" si="9"/>
        <v>95</v>
      </c>
      <c r="E285" s="1" t="str">
        <f t="shared" si="8"/>
        <v>Varumal II 110</v>
      </c>
    </row>
    <row r="286" spans="1:5">
      <c r="A286" s="1">
        <v>286</v>
      </c>
      <c r="B286" s="1" t="s">
        <v>299</v>
      </c>
      <c r="D286" s="1">
        <f t="shared" si="9"/>
        <v>96</v>
      </c>
      <c r="E286" s="1" t="str">
        <f t="shared" si="8"/>
        <v>Zamora 110</v>
      </c>
    </row>
    <row r="287" spans="1:5">
      <c r="A287" s="1">
        <v>287</v>
      </c>
      <c r="B287" s="1" t="s">
        <v>300</v>
      </c>
      <c r="D287" s="1">
        <f t="shared" si="9"/>
        <v>96</v>
      </c>
      <c r="E287" s="1" t="str">
        <f t="shared" si="8"/>
        <v>Zamora 110</v>
      </c>
    </row>
    <row r="288" spans="1:5">
      <c r="A288" s="1">
        <v>288</v>
      </c>
      <c r="B288" s="1" t="s">
        <v>301</v>
      </c>
      <c r="D288" s="1">
        <f t="shared" si="9"/>
        <v>96</v>
      </c>
      <c r="E288" s="1" t="str">
        <f t="shared" si="8"/>
        <v>Zamora 110</v>
      </c>
    </row>
    <row r="289" spans="1:5">
      <c r="A289" s="1">
        <v>289</v>
      </c>
      <c r="B289" s="1" t="s">
        <v>302</v>
      </c>
      <c r="D289" s="1">
        <f t="shared" si="9"/>
        <v>97</v>
      </c>
      <c r="E289" s="1" t="str">
        <f t="shared" si="8"/>
        <v>Banadia 115</v>
      </c>
    </row>
    <row r="290" spans="1:5">
      <c r="A290" s="1">
        <v>290</v>
      </c>
      <c r="B290" s="1" t="s">
        <v>303</v>
      </c>
      <c r="D290" s="1">
        <f t="shared" si="9"/>
        <v>97</v>
      </c>
      <c r="E290" s="1" t="str">
        <f t="shared" si="8"/>
        <v>Banadia 115</v>
      </c>
    </row>
    <row r="291" spans="1:5">
      <c r="A291" s="1">
        <v>291</v>
      </c>
      <c r="B291" s="1" t="s">
        <v>304</v>
      </c>
      <c r="D291" s="1">
        <f t="shared" si="9"/>
        <v>97</v>
      </c>
      <c r="E291" s="1" t="str">
        <f t="shared" si="8"/>
        <v>Banadia 115</v>
      </c>
    </row>
    <row r="292" spans="1:5">
      <c r="A292" s="1">
        <v>292</v>
      </c>
      <c r="B292" s="1" t="s">
        <v>305</v>
      </c>
      <c r="D292" s="1">
        <f t="shared" si="9"/>
        <v>98</v>
      </c>
      <c r="E292" s="1" t="str">
        <f t="shared" si="8"/>
        <v>Banadia 220</v>
      </c>
    </row>
    <row r="293" spans="1:5">
      <c r="A293" s="1">
        <v>293</v>
      </c>
      <c r="B293" s="1" t="s">
        <v>306</v>
      </c>
      <c r="D293" s="1">
        <f t="shared" si="9"/>
        <v>98</v>
      </c>
      <c r="E293" s="1" t="str">
        <f t="shared" si="8"/>
        <v>Banadia 220</v>
      </c>
    </row>
    <row r="294" spans="1:5">
      <c r="A294" s="1">
        <v>294</v>
      </c>
      <c r="B294" s="1" t="s">
        <v>307</v>
      </c>
      <c r="D294" s="1">
        <f t="shared" si="9"/>
        <v>98</v>
      </c>
      <c r="E294" s="1" t="str">
        <f t="shared" si="8"/>
        <v>Banadia 220</v>
      </c>
    </row>
    <row r="295" spans="1:5">
      <c r="A295" s="1">
        <v>295</v>
      </c>
      <c r="B295" s="1" t="s">
        <v>308</v>
      </c>
      <c r="D295" s="1">
        <f t="shared" si="9"/>
        <v>99</v>
      </c>
      <c r="E295" s="1" t="str">
        <f t="shared" si="8"/>
        <v>Caño Limon 220</v>
      </c>
    </row>
    <row r="296" spans="1:5">
      <c r="A296" s="1">
        <v>296</v>
      </c>
      <c r="B296" s="1" t="s">
        <v>309</v>
      </c>
      <c r="D296" s="1">
        <f t="shared" si="9"/>
        <v>99</v>
      </c>
      <c r="E296" s="1" t="str">
        <f t="shared" si="8"/>
        <v>Caño Limon 220</v>
      </c>
    </row>
    <row r="297" spans="1:5">
      <c r="A297" s="1">
        <v>297</v>
      </c>
      <c r="B297" s="1" t="s">
        <v>310</v>
      </c>
      <c r="D297" s="1">
        <f t="shared" si="9"/>
        <v>99</v>
      </c>
      <c r="E297" s="1" t="str">
        <f t="shared" si="8"/>
        <v>Caño Limon 220</v>
      </c>
    </row>
    <row r="298" spans="1:5">
      <c r="A298" s="1">
        <v>298</v>
      </c>
      <c r="B298" s="1" t="s">
        <v>311</v>
      </c>
      <c r="D298" s="1">
        <f t="shared" si="9"/>
        <v>100</v>
      </c>
      <c r="E298" s="1" t="str">
        <f t="shared" si="8"/>
        <v>La Paz 115</v>
      </c>
    </row>
    <row r="299" spans="1:5">
      <c r="A299" s="1">
        <v>299</v>
      </c>
      <c r="B299" s="1" t="s">
        <v>312</v>
      </c>
      <c r="D299" s="1">
        <f t="shared" si="9"/>
        <v>100</v>
      </c>
      <c r="E299" s="1" t="str">
        <f t="shared" si="8"/>
        <v>La Paz 115</v>
      </c>
    </row>
    <row r="300" spans="1:5">
      <c r="A300" s="1">
        <v>300</v>
      </c>
      <c r="B300" s="1" t="s">
        <v>313</v>
      </c>
      <c r="D300" s="1">
        <f t="shared" si="9"/>
        <v>100</v>
      </c>
      <c r="E300" s="1" t="str">
        <f t="shared" si="8"/>
        <v>La Paz 115</v>
      </c>
    </row>
    <row r="301" spans="1:5">
      <c r="A301" s="1">
        <v>301</v>
      </c>
      <c r="B301" s="1" t="s">
        <v>314</v>
      </c>
      <c r="D301" s="1">
        <f t="shared" si="9"/>
        <v>101</v>
      </c>
      <c r="E301" s="1" t="str">
        <f t="shared" si="8"/>
        <v>La Paz 220</v>
      </c>
    </row>
    <row r="302" spans="1:5">
      <c r="A302" s="1">
        <v>302</v>
      </c>
      <c r="B302" s="1" t="s">
        <v>315</v>
      </c>
      <c r="D302" s="1">
        <f t="shared" si="9"/>
        <v>101</v>
      </c>
      <c r="E302" s="1" t="str">
        <f t="shared" si="8"/>
        <v>La Paz 220</v>
      </c>
    </row>
    <row r="303" spans="1:5">
      <c r="A303" s="1">
        <v>303</v>
      </c>
      <c r="B303" s="1" t="s">
        <v>316</v>
      </c>
      <c r="D303" s="1">
        <f t="shared" si="9"/>
        <v>101</v>
      </c>
      <c r="E303" s="1" t="str">
        <f t="shared" si="8"/>
        <v>La Paz 220</v>
      </c>
    </row>
    <row r="304" spans="1:5">
      <c r="A304" s="1">
        <v>304</v>
      </c>
      <c r="B304" s="1" t="s">
        <v>317</v>
      </c>
      <c r="D304" s="1">
        <f t="shared" si="9"/>
        <v>102</v>
      </c>
      <c r="E304" s="1" t="str">
        <f t="shared" si="8"/>
        <v>Playitas 115</v>
      </c>
    </row>
    <row r="305" spans="1:5">
      <c r="A305" s="1">
        <v>305</v>
      </c>
      <c r="B305" s="1" t="s">
        <v>318</v>
      </c>
      <c r="D305" s="1">
        <f t="shared" si="9"/>
        <v>102</v>
      </c>
      <c r="E305" s="1" t="str">
        <f t="shared" si="8"/>
        <v>Playitas 115</v>
      </c>
    </row>
    <row r="306" spans="1:5">
      <c r="A306" s="1">
        <v>306</v>
      </c>
      <c r="B306" s="1" t="s">
        <v>319</v>
      </c>
      <c r="D306" s="1">
        <f t="shared" si="9"/>
        <v>102</v>
      </c>
      <c r="E306" s="1" t="str">
        <f t="shared" si="8"/>
        <v>Playitas 115</v>
      </c>
    </row>
    <row r="307" spans="1:5">
      <c r="A307" s="1">
        <v>307</v>
      </c>
      <c r="B307" s="1" t="s">
        <v>320</v>
      </c>
      <c r="D307" s="1">
        <f t="shared" si="9"/>
        <v>103</v>
      </c>
      <c r="E307" s="1" t="str">
        <f t="shared" si="8"/>
        <v>Samore 220</v>
      </c>
    </row>
    <row r="308" spans="1:5">
      <c r="A308" s="1">
        <v>308</v>
      </c>
      <c r="B308" s="1" t="s">
        <v>321</v>
      </c>
      <c r="D308" s="1">
        <f t="shared" si="9"/>
        <v>103</v>
      </c>
      <c r="E308" s="1" t="str">
        <f t="shared" si="8"/>
        <v>Samore 220</v>
      </c>
    </row>
    <row r="309" spans="1:5">
      <c r="A309" s="1">
        <v>309</v>
      </c>
      <c r="B309" s="1" t="s">
        <v>322</v>
      </c>
      <c r="D309" s="1">
        <f t="shared" si="9"/>
        <v>103</v>
      </c>
      <c r="E309" s="1" t="str">
        <f t="shared" si="8"/>
        <v>Samore 220</v>
      </c>
    </row>
    <row r="310" spans="1:5">
      <c r="A310" s="1">
        <v>310</v>
      </c>
      <c r="B310" s="1" t="s">
        <v>323</v>
      </c>
      <c r="D310" s="1">
        <f t="shared" si="9"/>
        <v>104</v>
      </c>
      <c r="E310" s="1" t="str">
        <f t="shared" si="8"/>
        <v>Tame 115</v>
      </c>
    </row>
    <row r="311" spans="1:5">
      <c r="A311" s="1">
        <v>311</v>
      </c>
      <c r="B311" s="1" t="s">
        <v>324</v>
      </c>
      <c r="D311" s="1">
        <f t="shared" si="9"/>
        <v>104</v>
      </c>
      <c r="E311" s="1" t="str">
        <f t="shared" si="8"/>
        <v>Tame 115</v>
      </c>
    </row>
    <row r="312" spans="1:5">
      <c r="A312" s="1">
        <v>312</v>
      </c>
      <c r="B312" s="1" t="s">
        <v>325</v>
      </c>
      <c r="D312" s="1">
        <f t="shared" si="9"/>
        <v>104</v>
      </c>
      <c r="E312" s="1" t="str">
        <f t="shared" si="8"/>
        <v>Tame 115</v>
      </c>
    </row>
    <row r="313" spans="1:5">
      <c r="A313" s="1">
        <v>313</v>
      </c>
      <c r="B313" s="1" t="s">
        <v>326</v>
      </c>
      <c r="D313" s="1">
        <f t="shared" si="9"/>
        <v>105</v>
      </c>
      <c r="E313" s="1" t="str">
        <f t="shared" si="8"/>
        <v>Toledo 220</v>
      </c>
    </row>
    <row r="314" spans="1:5">
      <c r="A314" s="1">
        <v>314</v>
      </c>
      <c r="B314" s="1" t="s">
        <v>327</v>
      </c>
      <c r="D314" s="1">
        <f t="shared" si="9"/>
        <v>105</v>
      </c>
      <c r="E314" s="1" t="str">
        <f t="shared" si="8"/>
        <v>Toledo 220</v>
      </c>
    </row>
    <row r="315" spans="1:5">
      <c r="A315" s="1">
        <v>315</v>
      </c>
      <c r="B315" s="1" t="s">
        <v>328</v>
      </c>
      <c r="D315" s="1">
        <f t="shared" si="9"/>
        <v>105</v>
      </c>
      <c r="E315" s="1" t="str">
        <f t="shared" si="8"/>
        <v>Toledo 220</v>
      </c>
    </row>
    <row r="316" spans="1:5">
      <c r="A316" s="1">
        <v>316</v>
      </c>
      <c r="B316" s="1" t="s">
        <v>329</v>
      </c>
      <c r="D316" s="1">
        <f t="shared" si="9"/>
        <v>106</v>
      </c>
      <c r="E316" s="1" t="str">
        <f t="shared" si="8"/>
        <v>Caracoli 110</v>
      </c>
    </row>
    <row r="317" spans="1:5">
      <c r="A317" s="1">
        <v>317</v>
      </c>
      <c r="B317" s="1" t="s">
        <v>330</v>
      </c>
      <c r="D317" s="1">
        <f t="shared" si="9"/>
        <v>106</v>
      </c>
      <c r="E317" s="1" t="str">
        <f t="shared" si="8"/>
        <v>Caracoli 110</v>
      </c>
    </row>
    <row r="318" spans="1:5">
      <c r="A318" s="1">
        <v>318</v>
      </c>
      <c r="B318" s="1" t="s">
        <v>331</v>
      </c>
      <c r="D318" s="1">
        <f t="shared" si="9"/>
        <v>106</v>
      </c>
      <c r="E318" s="1" t="str">
        <f t="shared" si="8"/>
        <v>Caracoli 110</v>
      </c>
    </row>
    <row r="319" spans="1:5">
      <c r="A319" s="1">
        <v>319</v>
      </c>
      <c r="B319" s="1" t="s">
        <v>332</v>
      </c>
      <c r="D319" s="1">
        <f t="shared" si="9"/>
        <v>107</v>
      </c>
      <c r="E319" s="1" t="str">
        <f t="shared" si="8"/>
        <v>Caracoli 220</v>
      </c>
    </row>
    <row r="320" spans="1:5">
      <c r="A320" s="1">
        <v>320</v>
      </c>
      <c r="B320" s="1" t="s">
        <v>333</v>
      </c>
      <c r="D320" s="1">
        <f t="shared" si="9"/>
        <v>107</v>
      </c>
      <c r="E320" s="1" t="str">
        <f t="shared" si="8"/>
        <v>Caracoli 220</v>
      </c>
    </row>
    <row r="321" spans="1:5">
      <c r="A321" s="1">
        <v>321</v>
      </c>
      <c r="B321" s="1" t="s">
        <v>334</v>
      </c>
      <c r="D321" s="1">
        <f t="shared" si="9"/>
        <v>107</v>
      </c>
      <c r="E321" s="1" t="str">
        <f t="shared" ref="E321:E384" si="10">+VLOOKUP(D321,$A$1:$B$1076,2,FALSE)</f>
        <v>Caracoli 220</v>
      </c>
    </row>
    <row r="322" spans="1:5">
      <c r="A322" s="1">
        <v>322</v>
      </c>
      <c r="B322" s="1" t="s">
        <v>335</v>
      </c>
      <c r="D322" s="1">
        <f t="shared" si="9"/>
        <v>108</v>
      </c>
      <c r="E322" s="1" t="str">
        <f t="shared" si="10"/>
        <v>Centro 110</v>
      </c>
    </row>
    <row r="323" spans="1:5">
      <c r="A323" s="1">
        <v>323</v>
      </c>
      <c r="B323" s="1" t="s">
        <v>336</v>
      </c>
      <c r="D323" s="1">
        <f t="shared" si="9"/>
        <v>108</v>
      </c>
      <c r="E323" s="1" t="str">
        <f t="shared" si="10"/>
        <v>Centro 110</v>
      </c>
    </row>
    <row r="324" spans="1:5">
      <c r="A324" s="1">
        <v>324</v>
      </c>
      <c r="B324" s="1" t="s">
        <v>337</v>
      </c>
      <c r="D324" s="1">
        <f t="shared" ref="D324:D387" si="11">+D321+1</f>
        <v>108</v>
      </c>
      <c r="E324" s="1" t="str">
        <f t="shared" si="10"/>
        <v>Centro 110</v>
      </c>
    </row>
    <row r="325" spans="1:5">
      <c r="A325" s="1">
        <v>325</v>
      </c>
      <c r="B325" s="1" t="s">
        <v>338</v>
      </c>
      <c r="D325" s="1">
        <f t="shared" si="11"/>
        <v>109</v>
      </c>
      <c r="E325" s="1" t="str">
        <f t="shared" si="10"/>
        <v>Cordialidad 110</v>
      </c>
    </row>
    <row r="326" spans="1:5">
      <c r="A326" s="1">
        <v>326</v>
      </c>
      <c r="B326" s="1" t="s">
        <v>339</v>
      </c>
      <c r="D326" s="1">
        <f t="shared" si="11"/>
        <v>109</v>
      </c>
      <c r="E326" s="1" t="str">
        <f t="shared" si="10"/>
        <v>Cordialidad 110</v>
      </c>
    </row>
    <row r="327" spans="1:5">
      <c r="A327" s="1">
        <v>327</v>
      </c>
      <c r="B327" s="1" t="s">
        <v>340</v>
      </c>
      <c r="D327" s="1">
        <f t="shared" si="11"/>
        <v>109</v>
      </c>
      <c r="E327" s="1" t="str">
        <f t="shared" si="10"/>
        <v>Cordialidad 110</v>
      </c>
    </row>
    <row r="328" spans="1:5">
      <c r="A328" s="1">
        <v>328</v>
      </c>
      <c r="B328" s="1" t="s">
        <v>341</v>
      </c>
      <c r="D328" s="1">
        <f t="shared" si="11"/>
        <v>110</v>
      </c>
      <c r="E328" s="1" t="str">
        <f t="shared" si="10"/>
        <v>El Rio 110</v>
      </c>
    </row>
    <row r="329" spans="1:5">
      <c r="A329" s="1">
        <v>329</v>
      </c>
      <c r="B329" s="1" t="s">
        <v>342</v>
      </c>
      <c r="D329" s="1">
        <f t="shared" si="11"/>
        <v>110</v>
      </c>
      <c r="E329" s="1" t="str">
        <f t="shared" si="10"/>
        <v>El Rio 110</v>
      </c>
    </row>
    <row r="330" spans="1:5">
      <c r="A330" s="1">
        <v>330</v>
      </c>
      <c r="B330" s="1" t="s">
        <v>343</v>
      </c>
      <c r="D330" s="1">
        <f t="shared" si="11"/>
        <v>110</v>
      </c>
      <c r="E330" s="1" t="str">
        <f t="shared" si="10"/>
        <v>El Rio 110</v>
      </c>
    </row>
    <row r="331" spans="1:5">
      <c r="A331" s="1">
        <v>331</v>
      </c>
      <c r="B331" s="1" t="s">
        <v>344</v>
      </c>
      <c r="D331" s="1">
        <f t="shared" si="11"/>
        <v>111</v>
      </c>
      <c r="E331" s="1" t="str">
        <f t="shared" si="10"/>
        <v>El Rio 220</v>
      </c>
    </row>
    <row r="332" spans="1:5">
      <c r="A332" s="1">
        <v>332</v>
      </c>
      <c r="B332" s="1" t="s">
        <v>345</v>
      </c>
      <c r="D332" s="1">
        <f t="shared" si="11"/>
        <v>111</v>
      </c>
      <c r="E332" s="1" t="str">
        <f t="shared" si="10"/>
        <v>El Rio 220</v>
      </c>
    </row>
    <row r="333" spans="1:5">
      <c r="A333" s="1">
        <v>333</v>
      </c>
      <c r="B333" s="1" t="s">
        <v>346</v>
      </c>
      <c r="D333" s="1">
        <f t="shared" si="11"/>
        <v>111</v>
      </c>
      <c r="E333" s="1" t="str">
        <f t="shared" si="10"/>
        <v>El Rio 220</v>
      </c>
    </row>
    <row r="334" spans="1:5">
      <c r="A334" s="1">
        <v>334</v>
      </c>
      <c r="B334" s="1" t="s">
        <v>347</v>
      </c>
      <c r="D334" s="1">
        <f t="shared" si="11"/>
        <v>112</v>
      </c>
      <c r="E334" s="1" t="str">
        <f t="shared" si="10"/>
        <v>Estadio 110</v>
      </c>
    </row>
    <row r="335" spans="1:5">
      <c r="A335" s="1">
        <v>335</v>
      </c>
      <c r="B335" s="1" t="s">
        <v>348</v>
      </c>
      <c r="D335" s="1">
        <f t="shared" si="11"/>
        <v>112</v>
      </c>
      <c r="E335" s="1" t="str">
        <f t="shared" si="10"/>
        <v>Estadio 110</v>
      </c>
    </row>
    <row r="336" spans="1:5">
      <c r="A336" s="1">
        <v>336</v>
      </c>
      <c r="B336" s="1" t="s">
        <v>349</v>
      </c>
      <c r="D336" s="1">
        <f t="shared" si="11"/>
        <v>112</v>
      </c>
      <c r="E336" s="1" t="str">
        <f t="shared" si="10"/>
        <v>Estadio 110</v>
      </c>
    </row>
    <row r="337" spans="1:5">
      <c r="A337" s="1">
        <v>337</v>
      </c>
      <c r="B337" s="1" t="s">
        <v>350</v>
      </c>
      <c r="D337" s="1">
        <f t="shared" si="11"/>
        <v>113</v>
      </c>
      <c r="E337" s="1" t="str">
        <f t="shared" si="10"/>
        <v>Flores 220</v>
      </c>
    </row>
    <row r="338" spans="1:5">
      <c r="A338" s="1">
        <v>338</v>
      </c>
      <c r="B338" s="1" t="s">
        <v>351</v>
      </c>
      <c r="D338" s="1">
        <f t="shared" si="11"/>
        <v>113</v>
      </c>
      <c r="E338" s="1" t="str">
        <f t="shared" si="10"/>
        <v>Flores 220</v>
      </c>
    </row>
    <row r="339" spans="1:5">
      <c r="A339" s="1">
        <v>339</v>
      </c>
      <c r="B339" s="1" t="s">
        <v>352</v>
      </c>
      <c r="D339" s="1">
        <f t="shared" si="11"/>
        <v>113</v>
      </c>
      <c r="E339" s="1" t="str">
        <f t="shared" si="10"/>
        <v>Flores 220</v>
      </c>
    </row>
    <row r="340" spans="1:5">
      <c r="A340" s="1">
        <v>340</v>
      </c>
      <c r="B340" s="1" t="s">
        <v>353</v>
      </c>
      <c r="D340" s="1">
        <f t="shared" si="11"/>
        <v>114</v>
      </c>
      <c r="E340" s="1" t="str">
        <f t="shared" si="10"/>
        <v>Galapa 110</v>
      </c>
    </row>
    <row r="341" spans="1:5">
      <c r="A341" s="1">
        <v>341</v>
      </c>
      <c r="B341" s="1" t="s">
        <v>354</v>
      </c>
      <c r="D341" s="1">
        <f t="shared" si="11"/>
        <v>114</v>
      </c>
      <c r="E341" s="1" t="str">
        <f t="shared" si="10"/>
        <v>Galapa 110</v>
      </c>
    </row>
    <row r="342" spans="1:5">
      <c r="A342" s="1">
        <v>342</v>
      </c>
      <c r="B342" s="1" t="s">
        <v>355</v>
      </c>
      <c r="D342" s="1">
        <f t="shared" si="11"/>
        <v>114</v>
      </c>
      <c r="E342" s="1" t="str">
        <f t="shared" si="10"/>
        <v>Galapa 110</v>
      </c>
    </row>
    <row r="343" spans="1:5">
      <c r="A343" s="1">
        <v>343</v>
      </c>
      <c r="B343" s="1" t="s">
        <v>356</v>
      </c>
      <c r="D343" s="1">
        <f t="shared" si="11"/>
        <v>115</v>
      </c>
      <c r="E343" s="1" t="str">
        <f t="shared" si="10"/>
        <v>Juan Mina 110</v>
      </c>
    </row>
    <row r="344" spans="1:5">
      <c r="A344" s="1">
        <v>344</v>
      </c>
      <c r="B344" s="1" t="s">
        <v>357</v>
      </c>
      <c r="D344" s="1">
        <f t="shared" si="11"/>
        <v>115</v>
      </c>
      <c r="E344" s="1" t="str">
        <f t="shared" si="10"/>
        <v>Juan Mina 110</v>
      </c>
    </row>
    <row r="345" spans="1:5">
      <c r="A345" s="1">
        <v>345</v>
      </c>
      <c r="B345" s="1" t="s">
        <v>358</v>
      </c>
      <c r="D345" s="1">
        <f t="shared" si="11"/>
        <v>115</v>
      </c>
      <c r="E345" s="1" t="str">
        <f t="shared" si="10"/>
        <v>Juan Mina 110</v>
      </c>
    </row>
    <row r="346" spans="1:5">
      <c r="A346" s="1">
        <v>346</v>
      </c>
      <c r="B346" s="1" t="s">
        <v>359</v>
      </c>
      <c r="D346" s="1">
        <f t="shared" si="11"/>
        <v>116</v>
      </c>
      <c r="E346" s="1" t="str">
        <f t="shared" si="10"/>
        <v>Las Flores 110</v>
      </c>
    </row>
    <row r="347" spans="1:5">
      <c r="A347" s="1">
        <v>347</v>
      </c>
      <c r="B347" s="1" t="s">
        <v>360</v>
      </c>
      <c r="D347" s="1">
        <f t="shared" si="11"/>
        <v>116</v>
      </c>
      <c r="E347" s="1" t="str">
        <f t="shared" si="10"/>
        <v>Las Flores 110</v>
      </c>
    </row>
    <row r="348" spans="1:5">
      <c r="A348" s="1">
        <v>348</v>
      </c>
      <c r="B348" s="1" t="s">
        <v>361</v>
      </c>
      <c r="D348" s="1">
        <f t="shared" si="11"/>
        <v>116</v>
      </c>
      <c r="E348" s="1" t="str">
        <f t="shared" si="10"/>
        <v>Las Flores 110</v>
      </c>
    </row>
    <row r="349" spans="1:5">
      <c r="A349" s="1">
        <v>349</v>
      </c>
      <c r="B349" s="1" t="s">
        <v>362</v>
      </c>
      <c r="D349" s="1">
        <f t="shared" si="11"/>
        <v>117</v>
      </c>
      <c r="E349" s="1" t="str">
        <f t="shared" si="10"/>
        <v>Malambo 110</v>
      </c>
    </row>
    <row r="350" spans="1:5">
      <c r="A350" s="1">
        <v>350</v>
      </c>
      <c r="B350" s="1" t="s">
        <v>363</v>
      </c>
      <c r="D350" s="1">
        <f t="shared" si="11"/>
        <v>117</v>
      </c>
      <c r="E350" s="1" t="str">
        <f t="shared" si="10"/>
        <v>Malambo 110</v>
      </c>
    </row>
    <row r="351" spans="1:5">
      <c r="A351" s="1">
        <v>351</v>
      </c>
      <c r="B351" s="1" t="s">
        <v>364</v>
      </c>
      <c r="D351" s="1">
        <f t="shared" si="11"/>
        <v>117</v>
      </c>
      <c r="E351" s="1" t="str">
        <f t="shared" si="10"/>
        <v>Malambo 110</v>
      </c>
    </row>
    <row r="352" spans="1:5">
      <c r="A352" s="1">
        <v>352</v>
      </c>
      <c r="B352" s="1" t="s">
        <v>365</v>
      </c>
      <c r="D352" s="1">
        <f t="shared" si="11"/>
        <v>118</v>
      </c>
      <c r="E352" s="1" t="str">
        <f t="shared" si="10"/>
        <v>Norte 110</v>
      </c>
    </row>
    <row r="353" spans="1:5">
      <c r="A353" s="1">
        <v>353</v>
      </c>
      <c r="B353" s="1" t="s">
        <v>366</v>
      </c>
      <c r="D353" s="1">
        <f t="shared" si="11"/>
        <v>118</v>
      </c>
      <c r="E353" s="1" t="str">
        <f t="shared" si="10"/>
        <v>Norte 110</v>
      </c>
    </row>
    <row r="354" spans="1:5">
      <c r="A354" s="1">
        <v>354</v>
      </c>
      <c r="B354" s="1" t="s">
        <v>367</v>
      </c>
      <c r="D354" s="1">
        <f t="shared" si="11"/>
        <v>118</v>
      </c>
      <c r="E354" s="1" t="str">
        <f t="shared" si="10"/>
        <v>Norte 110</v>
      </c>
    </row>
    <row r="355" spans="1:5">
      <c r="A355" s="1">
        <v>355</v>
      </c>
      <c r="B355" s="1" t="s">
        <v>368</v>
      </c>
      <c r="D355" s="1">
        <f t="shared" si="11"/>
        <v>119</v>
      </c>
      <c r="E355" s="1" t="str">
        <f t="shared" si="10"/>
        <v>Nv Baranoa 110</v>
      </c>
    </row>
    <row r="356" spans="1:5">
      <c r="A356" s="1">
        <v>356</v>
      </c>
      <c r="B356" s="1" t="s">
        <v>369</v>
      </c>
      <c r="D356" s="1">
        <f t="shared" si="11"/>
        <v>119</v>
      </c>
      <c r="E356" s="1" t="str">
        <f t="shared" si="10"/>
        <v>Nv Baranoa 110</v>
      </c>
    </row>
    <row r="357" spans="1:5">
      <c r="A357" s="1">
        <v>357</v>
      </c>
      <c r="B357" s="1" t="s">
        <v>370</v>
      </c>
      <c r="D357" s="1">
        <f t="shared" si="11"/>
        <v>119</v>
      </c>
      <c r="E357" s="1" t="str">
        <f t="shared" si="10"/>
        <v>Nv Baranoa 110</v>
      </c>
    </row>
    <row r="358" spans="1:5">
      <c r="A358" s="1">
        <v>358</v>
      </c>
      <c r="B358" s="1" t="s">
        <v>371</v>
      </c>
      <c r="D358" s="1">
        <f t="shared" si="11"/>
        <v>120</v>
      </c>
      <c r="E358" s="1" t="str">
        <f t="shared" si="10"/>
        <v>Nv Barranquilla 110</v>
      </c>
    </row>
    <row r="359" spans="1:5">
      <c r="A359" s="1">
        <v>359</v>
      </c>
      <c r="B359" s="1" t="s">
        <v>372</v>
      </c>
      <c r="D359" s="1">
        <f t="shared" si="11"/>
        <v>120</v>
      </c>
      <c r="E359" s="1" t="str">
        <f t="shared" si="10"/>
        <v>Nv Barranquilla 110</v>
      </c>
    </row>
    <row r="360" spans="1:5">
      <c r="A360" s="1">
        <v>360</v>
      </c>
      <c r="B360" s="1" t="s">
        <v>373</v>
      </c>
      <c r="D360" s="1">
        <f t="shared" si="11"/>
        <v>120</v>
      </c>
      <c r="E360" s="1" t="str">
        <f t="shared" si="10"/>
        <v>Nv Barranquilla 110</v>
      </c>
    </row>
    <row r="361" spans="1:5">
      <c r="A361" s="1">
        <v>361</v>
      </c>
      <c r="B361" s="1" t="s">
        <v>374</v>
      </c>
      <c r="D361" s="1">
        <f t="shared" si="11"/>
        <v>121</v>
      </c>
      <c r="E361" s="1" t="str">
        <f t="shared" si="10"/>
        <v>Nv Barranquilla 220</v>
      </c>
    </row>
    <row r="362" spans="1:5">
      <c r="A362" s="1">
        <v>362</v>
      </c>
      <c r="B362" s="1" t="s">
        <v>375</v>
      </c>
      <c r="D362" s="1">
        <f t="shared" si="11"/>
        <v>121</v>
      </c>
      <c r="E362" s="1" t="str">
        <f t="shared" si="10"/>
        <v>Nv Barranquilla 220</v>
      </c>
    </row>
    <row r="363" spans="1:5">
      <c r="A363" s="1">
        <v>363</v>
      </c>
      <c r="B363" s="1" t="s">
        <v>376</v>
      </c>
      <c r="D363" s="1">
        <f t="shared" si="11"/>
        <v>121</v>
      </c>
      <c r="E363" s="1" t="str">
        <f t="shared" si="10"/>
        <v>Nv Barranquilla 220</v>
      </c>
    </row>
    <row r="364" spans="1:5">
      <c r="A364" s="1">
        <v>364</v>
      </c>
      <c r="B364" s="1" t="s">
        <v>377</v>
      </c>
      <c r="D364" s="1">
        <f t="shared" si="11"/>
        <v>122</v>
      </c>
      <c r="E364" s="1" t="str">
        <f t="shared" si="10"/>
        <v>Nva Magdalena 110</v>
      </c>
    </row>
    <row r="365" spans="1:5">
      <c r="A365" s="1">
        <v>365</v>
      </c>
      <c r="B365" s="1" t="s">
        <v>378</v>
      </c>
      <c r="D365" s="1">
        <f t="shared" si="11"/>
        <v>122</v>
      </c>
      <c r="E365" s="1" t="str">
        <f t="shared" si="10"/>
        <v>Nva Magdalena 110</v>
      </c>
    </row>
    <row r="366" spans="1:5">
      <c r="A366" s="1">
        <v>366</v>
      </c>
      <c r="B366" s="1" t="s">
        <v>379</v>
      </c>
      <c r="D366" s="1">
        <f t="shared" si="11"/>
        <v>122</v>
      </c>
      <c r="E366" s="1" t="str">
        <f t="shared" si="10"/>
        <v>Nva Magdalena 110</v>
      </c>
    </row>
    <row r="367" spans="1:5">
      <c r="A367" s="1">
        <v>367</v>
      </c>
      <c r="B367" s="1" t="s">
        <v>380</v>
      </c>
      <c r="D367" s="1">
        <f t="shared" si="11"/>
        <v>123</v>
      </c>
      <c r="E367" s="1" t="str">
        <f t="shared" si="10"/>
        <v>Oasis 110</v>
      </c>
    </row>
    <row r="368" spans="1:5">
      <c r="A368" s="1">
        <v>368</v>
      </c>
      <c r="B368" s="1" t="s">
        <v>381</v>
      </c>
      <c r="D368" s="1">
        <f t="shared" si="11"/>
        <v>123</v>
      </c>
      <c r="E368" s="1" t="str">
        <f t="shared" si="10"/>
        <v>Oasis 110</v>
      </c>
    </row>
    <row r="369" spans="1:5">
      <c r="A369" s="1">
        <v>369</v>
      </c>
      <c r="B369" s="1" t="s">
        <v>382</v>
      </c>
      <c r="D369" s="1">
        <f t="shared" si="11"/>
        <v>123</v>
      </c>
      <c r="E369" s="1" t="str">
        <f t="shared" si="10"/>
        <v>Oasis 110</v>
      </c>
    </row>
    <row r="370" spans="1:5">
      <c r="A370" s="1">
        <v>370</v>
      </c>
      <c r="B370" s="1" t="s">
        <v>383</v>
      </c>
      <c r="D370" s="1">
        <f t="shared" si="11"/>
        <v>124</v>
      </c>
      <c r="E370" s="1" t="str">
        <f t="shared" si="10"/>
        <v>Palermo 110</v>
      </c>
    </row>
    <row r="371" spans="1:5">
      <c r="A371" s="1">
        <v>371</v>
      </c>
      <c r="B371" s="1" t="s">
        <v>384</v>
      </c>
      <c r="D371" s="1">
        <f t="shared" si="11"/>
        <v>124</v>
      </c>
      <c r="E371" s="1" t="str">
        <f t="shared" si="10"/>
        <v>Palermo 110</v>
      </c>
    </row>
    <row r="372" spans="1:5">
      <c r="A372" s="1">
        <v>372</v>
      </c>
      <c r="B372" s="1" t="s">
        <v>385</v>
      </c>
      <c r="D372" s="1">
        <f t="shared" si="11"/>
        <v>124</v>
      </c>
      <c r="E372" s="1" t="str">
        <f t="shared" si="10"/>
        <v>Palermo 110</v>
      </c>
    </row>
    <row r="373" spans="1:5">
      <c r="A373" s="1">
        <v>373</v>
      </c>
      <c r="B373" s="1" t="s">
        <v>386</v>
      </c>
      <c r="D373" s="1">
        <f t="shared" si="11"/>
        <v>125</v>
      </c>
      <c r="E373" s="1" t="str">
        <f t="shared" si="10"/>
        <v>Sabanalarga 110</v>
      </c>
    </row>
    <row r="374" spans="1:5">
      <c r="A374" s="1">
        <v>374</v>
      </c>
      <c r="B374" s="1" t="s">
        <v>387</v>
      </c>
      <c r="D374" s="1">
        <f t="shared" si="11"/>
        <v>125</v>
      </c>
      <c r="E374" s="1" t="str">
        <f t="shared" si="10"/>
        <v>Sabanalarga 110</v>
      </c>
    </row>
    <row r="375" spans="1:5">
      <c r="A375" s="1">
        <v>375</v>
      </c>
      <c r="B375" s="1" t="s">
        <v>388</v>
      </c>
      <c r="D375" s="1">
        <f t="shared" si="11"/>
        <v>125</v>
      </c>
      <c r="E375" s="1" t="str">
        <f t="shared" si="10"/>
        <v>Sabanalarga 110</v>
      </c>
    </row>
    <row r="376" spans="1:5">
      <c r="A376" s="1">
        <v>376</v>
      </c>
      <c r="B376" s="1" t="s">
        <v>389</v>
      </c>
      <c r="D376" s="1">
        <f t="shared" si="11"/>
        <v>126</v>
      </c>
      <c r="E376" s="1" t="str">
        <f t="shared" si="10"/>
        <v>Sabanalarga 220</v>
      </c>
    </row>
    <row r="377" spans="1:5">
      <c r="A377" s="1">
        <v>377</v>
      </c>
      <c r="B377" s="1" t="s">
        <v>390</v>
      </c>
      <c r="D377" s="1">
        <f t="shared" si="11"/>
        <v>126</v>
      </c>
      <c r="E377" s="1" t="str">
        <f t="shared" si="10"/>
        <v>Sabanalarga 220</v>
      </c>
    </row>
    <row r="378" spans="1:5">
      <c r="A378" s="1">
        <v>378</v>
      </c>
      <c r="B378" s="1" t="s">
        <v>391</v>
      </c>
      <c r="D378" s="1">
        <f t="shared" si="11"/>
        <v>126</v>
      </c>
      <c r="E378" s="1" t="str">
        <f t="shared" si="10"/>
        <v>Sabanalarga 220</v>
      </c>
    </row>
    <row r="379" spans="1:5">
      <c r="A379" s="1">
        <v>379</v>
      </c>
      <c r="B379" s="1" t="s">
        <v>392</v>
      </c>
      <c r="D379" s="1">
        <f t="shared" si="11"/>
        <v>127</v>
      </c>
      <c r="E379" s="1" t="str">
        <f t="shared" si="10"/>
        <v>Sabanalarga 500</v>
      </c>
    </row>
    <row r="380" spans="1:5">
      <c r="A380" s="1">
        <v>380</v>
      </c>
      <c r="B380" s="1" t="s">
        <v>393</v>
      </c>
      <c r="D380" s="1">
        <f t="shared" si="11"/>
        <v>127</v>
      </c>
      <c r="E380" s="1" t="str">
        <f t="shared" si="10"/>
        <v>Sabanalarga 500</v>
      </c>
    </row>
    <row r="381" spans="1:5">
      <c r="A381" s="1">
        <v>381</v>
      </c>
      <c r="B381" s="1" t="s">
        <v>394</v>
      </c>
      <c r="D381" s="1">
        <f t="shared" si="11"/>
        <v>127</v>
      </c>
      <c r="E381" s="1" t="str">
        <f t="shared" si="10"/>
        <v>Sabanalarga 500</v>
      </c>
    </row>
    <row r="382" spans="1:5">
      <c r="A382" s="1">
        <v>382</v>
      </c>
      <c r="B382" s="1" t="s">
        <v>395</v>
      </c>
      <c r="D382" s="1">
        <f t="shared" si="11"/>
        <v>128</v>
      </c>
      <c r="E382" s="1" t="str">
        <f t="shared" si="10"/>
        <v>Salamina EC 110</v>
      </c>
    </row>
    <row r="383" spans="1:5">
      <c r="A383" s="1">
        <v>383</v>
      </c>
      <c r="B383" s="1" t="s">
        <v>396</v>
      </c>
      <c r="D383" s="1">
        <f t="shared" si="11"/>
        <v>128</v>
      </c>
      <c r="E383" s="1" t="str">
        <f t="shared" si="10"/>
        <v>Salamina EC 110</v>
      </c>
    </row>
    <row r="384" spans="1:5">
      <c r="A384" s="1">
        <v>384</v>
      </c>
      <c r="B384" s="1" t="s">
        <v>397</v>
      </c>
      <c r="D384" s="1">
        <f t="shared" si="11"/>
        <v>128</v>
      </c>
      <c r="E384" s="1" t="str">
        <f t="shared" si="10"/>
        <v>Salamina EC 110</v>
      </c>
    </row>
    <row r="385" spans="1:5">
      <c r="A385" s="1">
        <v>385</v>
      </c>
      <c r="B385" s="1" t="s">
        <v>398</v>
      </c>
      <c r="D385" s="1">
        <f t="shared" si="11"/>
        <v>129</v>
      </c>
      <c r="E385" s="1" t="str">
        <f t="shared" ref="E385:E448" si="12">+VLOOKUP(D385,$A$1:$B$1076,2,FALSE)</f>
        <v>Silencio 110</v>
      </c>
    </row>
    <row r="386" spans="1:5">
      <c r="A386" s="1">
        <v>386</v>
      </c>
      <c r="B386" s="1" t="s">
        <v>399</v>
      </c>
      <c r="D386" s="1">
        <f t="shared" si="11"/>
        <v>129</v>
      </c>
      <c r="E386" s="1" t="str">
        <f t="shared" si="12"/>
        <v>Silencio 110</v>
      </c>
    </row>
    <row r="387" spans="1:5">
      <c r="A387" s="1">
        <v>387</v>
      </c>
      <c r="B387" s="1" t="s">
        <v>400</v>
      </c>
      <c r="D387" s="1">
        <f t="shared" si="11"/>
        <v>129</v>
      </c>
      <c r="E387" s="1" t="str">
        <f t="shared" si="12"/>
        <v>Silencio 110</v>
      </c>
    </row>
    <row r="388" spans="1:5">
      <c r="A388" s="1">
        <v>388</v>
      </c>
      <c r="B388" s="1" t="s">
        <v>401</v>
      </c>
      <c r="D388" s="1">
        <f t="shared" ref="D388:D451" si="13">+D385+1</f>
        <v>130</v>
      </c>
      <c r="E388" s="1" t="str">
        <f t="shared" si="12"/>
        <v>Tebsa 110</v>
      </c>
    </row>
    <row r="389" spans="1:5">
      <c r="A389" s="1">
        <v>389</v>
      </c>
      <c r="B389" s="1" t="s">
        <v>402</v>
      </c>
      <c r="D389" s="1">
        <f t="shared" si="13"/>
        <v>130</v>
      </c>
      <c r="E389" s="1" t="str">
        <f t="shared" si="12"/>
        <v>Tebsa 110</v>
      </c>
    </row>
    <row r="390" spans="1:5">
      <c r="A390" s="1">
        <v>390</v>
      </c>
      <c r="B390" s="1" t="s">
        <v>403</v>
      </c>
      <c r="D390" s="1">
        <f t="shared" si="13"/>
        <v>130</v>
      </c>
      <c r="E390" s="1" t="str">
        <f t="shared" si="12"/>
        <v>Tebsa 110</v>
      </c>
    </row>
    <row r="391" spans="1:5">
      <c r="A391" s="1">
        <v>391</v>
      </c>
      <c r="B391" s="1" t="s">
        <v>404</v>
      </c>
      <c r="D391" s="1">
        <f t="shared" si="13"/>
        <v>131</v>
      </c>
      <c r="E391" s="1" t="str">
        <f t="shared" si="12"/>
        <v>Tebsa 220</v>
      </c>
    </row>
    <row r="392" spans="1:5">
      <c r="A392" s="1">
        <v>392</v>
      </c>
      <c r="B392" s="1" t="s">
        <v>405</v>
      </c>
      <c r="D392" s="1">
        <f t="shared" si="13"/>
        <v>131</v>
      </c>
      <c r="E392" s="1" t="str">
        <f t="shared" si="12"/>
        <v>Tebsa 220</v>
      </c>
    </row>
    <row r="393" spans="1:5">
      <c r="A393" s="1">
        <v>393</v>
      </c>
      <c r="B393" s="1" t="s">
        <v>406</v>
      </c>
      <c r="D393" s="1">
        <f t="shared" si="13"/>
        <v>131</v>
      </c>
      <c r="E393" s="1" t="str">
        <f t="shared" si="12"/>
        <v>Tebsa 220</v>
      </c>
    </row>
    <row r="394" spans="1:5">
      <c r="A394" s="1">
        <v>394</v>
      </c>
      <c r="B394" s="1" t="s">
        <v>407</v>
      </c>
      <c r="D394" s="1">
        <f t="shared" si="13"/>
        <v>132</v>
      </c>
      <c r="E394" s="1" t="str">
        <f t="shared" si="12"/>
        <v>Tebsa II 110</v>
      </c>
    </row>
    <row r="395" spans="1:5">
      <c r="A395" s="1">
        <v>395</v>
      </c>
      <c r="B395" s="1" t="s">
        <v>408</v>
      </c>
      <c r="D395" s="1">
        <f t="shared" si="13"/>
        <v>132</v>
      </c>
      <c r="E395" s="1" t="str">
        <f t="shared" si="12"/>
        <v>Tebsa II 110</v>
      </c>
    </row>
    <row r="396" spans="1:5">
      <c r="A396" s="1">
        <v>396</v>
      </c>
      <c r="B396" s="1" t="s">
        <v>409</v>
      </c>
      <c r="D396" s="1">
        <f t="shared" si="13"/>
        <v>132</v>
      </c>
      <c r="E396" s="1" t="str">
        <f t="shared" si="12"/>
        <v>Tebsa II 110</v>
      </c>
    </row>
    <row r="397" spans="1:5">
      <c r="A397" s="1">
        <v>397</v>
      </c>
      <c r="B397" s="1" t="s">
        <v>410</v>
      </c>
      <c r="D397" s="1">
        <f t="shared" si="13"/>
        <v>133</v>
      </c>
      <c r="E397" s="1" t="str">
        <f t="shared" si="12"/>
        <v>Termoflores 110</v>
      </c>
    </row>
    <row r="398" spans="1:5">
      <c r="A398" s="1">
        <v>398</v>
      </c>
      <c r="B398" s="1" t="s">
        <v>411</v>
      </c>
      <c r="D398" s="1">
        <f t="shared" si="13"/>
        <v>133</v>
      </c>
      <c r="E398" s="1" t="str">
        <f t="shared" si="12"/>
        <v>Termoflores 110</v>
      </c>
    </row>
    <row r="399" spans="1:5">
      <c r="A399" s="1">
        <v>399</v>
      </c>
      <c r="B399" s="1" t="s">
        <v>412</v>
      </c>
      <c r="D399" s="1">
        <f t="shared" si="13"/>
        <v>133</v>
      </c>
      <c r="E399" s="1" t="str">
        <f t="shared" si="12"/>
        <v>Termoflores 110</v>
      </c>
    </row>
    <row r="400" spans="1:5">
      <c r="A400" s="1">
        <v>400</v>
      </c>
      <c r="B400" s="1" t="s">
        <v>413</v>
      </c>
      <c r="D400" s="1">
        <f t="shared" si="13"/>
        <v>134</v>
      </c>
      <c r="E400" s="1" t="str">
        <f t="shared" si="12"/>
        <v>Union 110</v>
      </c>
    </row>
    <row r="401" spans="1:5">
      <c r="A401" s="1">
        <v>401</v>
      </c>
      <c r="B401" s="1" t="s">
        <v>414</v>
      </c>
      <c r="D401" s="1">
        <f t="shared" si="13"/>
        <v>134</v>
      </c>
      <c r="E401" s="1" t="str">
        <f t="shared" si="12"/>
        <v>Union 110</v>
      </c>
    </row>
    <row r="402" spans="1:5">
      <c r="A402" s="1">
        <v>402</v>
      </c>
      <c r="B402" s="1" t="s">
        <v>415</v>
      </c>
      <c r="D402" s="1">
        <f t="shared" si="13"/>
        <v>134</v>
      </c>
      <c r="E402" s="1" t="str">
        <f t="shared" si="12"/>
        <v>Union 110</v>
      </c>
    </row>
    <row r="403" spans="1:5">
      <c r="A403" s="1">
        <v>403</v>
      </c>
      <c r="B403" s="1" t="s">
        <v>416</v>
      </c>
      <c r="D403" s="1">
        <f t="shared" si="13"/>
        <v>135</v>
      </c>
      <c r="E403" s="1" t="str">
        <f t="shared" si="12"/>
        <v>Veinte Julio 110</v>
      </c>
    </row>
    <row r="404" spans="1:5">
      <c r="A404" s="1">
        <v>404</v>
      </c>
      <c r="B404" s="1" t="s">
        <v>417</v>
      </c>
      <c r="D404" s="1">
        <f t="shared" si="13"/>
        <v>135</v>
      </c>
      <c r="E404" s="1" t="str">
        <f t="shared" si="12"/>
        <v>Veinte Julio 110</v>
      </c>
    </row>
    <row r="405" spans="1:5">
      <c r="A405" s="1">
        <v>405</v>
      </c>
      <c r="B405" s="1" t="s">
        <v>418</v>
      </c>
      <c r="D405" s="1">
        <f t="shared" si="13"/>
        <v>135</v>
      </c>
      <c r="E405" s="1" t="str">
        <f t="shared" si="12"/>
        <v>Veinte Julio 110</v>
      </c>
    </row>
    <row r="406" spans="1:5">
      <c r="A406" s="1">
        <v>406</v>
      </c>
      <c r="B406" s="1" t="s">
        <v>419</v>
      </c>
      <c r="D406" s="1">
        <f t="shared" si="13"/>
        <v>136</v>
      </c>
      <c r="E406" s="1" t="str">
        <f t="shared" si="12"/>
        <v>Aranjuez 115</v>
      </c>
    </row>
    <row r="407" spans="1:5">
      <c r="A407" s="1">
        <v>407</v>
      </c>
      <c r="B407" s="1" t="s">
        <v>420</v>
      </c>
      <c r="D407" s="1">
        <f t="shared" si="13"/>
        <v>136</v>
      </c>
      <c r="E407" s="1" t="str">
        <f t="shared" si="12"/>
        <v>Aranjuez 115</v>
      </c>
    </row>
    <row r="408" spans="1:5">
      <c r="A408" s="1">
        <v>408</v>
      </c>
      <c r="B408" s="1" t="s">
        <v>421</v>
      </c>
      <c r="D408" s="1">
        <f t="shared" si="13"/>
        <v>136</v>
      </c>
      <c r="E408" s="1" t="str">
        <f t="shared" si="12"/>
        <v>Aranjuez 115</v>
      </c>
    </row>
    <row r="409" spans="1:5">
      <c r="A409" s="1">
        <v>409</v>
      </c>
      <c r="B409" s="1" t="s">
        <v>422</v>
      </c>
      <c r="D409" s="1">
        <f t="shared" si="13"/>
        <v>137</v>
      </c>
      <c r="E409" s="1" t="str">
        <f t="shared" si="12"/>
        <v>Autopista 115</v>
      </c>
    </row>
    <row r="410" spans="1:5">
      <c r="A410" s="1">
        <v>410</v>
      </c>
      <c r="B410" s="1" t="s">
        <v>423</v>
      </c>
      <c r="D410" s="1">
        <f t="shared" si="13"/>
        <v>137</v>
      </c>
      <c r="E410" s="1" t="str">
        <f t="shared" si="12"/>
        <v>Autopista 115</v>
      </c>
    </row>
    <row r="411" spans="1:5">
      <c r="A411" s="1">
        <v>411</v>
      </c>
      <c r="B411" s="1" t="s">
        <v>424</v>
      </c>
      <c r="D411" s="1">
        <f t="shared" si="13"/>
        <v>137</v>
      </c>
      <c r="E411" s="1" t="str">
        <f t="shared" si="12"/>
        <v>Autopista 115</v>
      </c>
    </row>
    <row r="412" spans="1:5">
      <c r="A412" s="1">
        <v>412</v>
      </c>
      <c r="B412" s="1" t="s">
        <v>425</v>
      </c>
      <c r="D412" s="1">
        <f t="shared" si="13"/>
        <v>138</v>
      </c>
      <c r="E412" s="1" t="str">
        <f t="shared" si="12"/>
        <v>Avenida Primera 115</v>
      </c>
    </row>
    <row r="413" spans="1:5">
      <c r="A413" s="1">
        <v>413</v>
      </c>
      <c r="B413" s="1" t="s">
        <v>426</v>
      </c>
      <c r="D413" s="1">
        <f t="shared" si="13"/>
        <v>138</v>
      </c>
      <c r="E413" s="1" t="str">
        <f t="shared" si="12"/>
        <v>Avenida Primera 115</v>
      </c>
    </row>
    <row r="414" spans="1:5">
      <c r="A414" s="1">
        <v>414</v>
      </c>
      <c r="B414" s="1" t="s">
        <v>427</v>
      </c>
      <c r="D414" s="1">
        <f t="shared" si="13"/>
        <v>138</v>
      </c>
      <c r="E414" s="1" t="str">
        <f t="shared" si="12"/>
        <v>Avenida Primera 115</v>
      </c>
    </row>
    <row r="415" spans="1:5">
      <c r="A415" s="1">
        <v>415</v>
      </c>
      <c r="B415" s="1" t="s">
        <v>428</v>
      </c>
      <c r="D415" s="1">
        <f t="shared" si="13"/>
        <v>139</v>
      </c>
      <c r="E415" s="1" t="str">
        <f t="shared" si="12"/>
        <v>Bacata 115</v>
      </c>
    </row>
    <row r="416" spans="1:5">
      <c r="A416" s="1">
        <v>416</v>
      </c>
      <c r="B416" s="1" t="s">
        <v>429</v>
      </c>
      <c r="D416" s="1">
        <f t="shared" si="13"/>
        <v>139</v>
      </c>
      <c r="E416" s="1" t="str">
        <f t="shared" si="12"/>
        <v>Bacata 115</v>
      </c>
    </row>
    <row r="417" spans="1:5">
      <c r="A417" s="1">
        <v>417</v>
      </c>
      <c r="B417" s="1" t="s">
        <v>430</v>
      </c>
      <c r="D417" s="1">
        <f t="shared" si="13"/>
        <v>139</v>
      </c>
      <c r="E417" s="1" t="str">
        <f t="shared" si="12"/>
        <v>Bacata 115</v>
      </c>
    </row>
    <row r="418" spans="1:5">
      <c r="A418" s="1">
        <v>418</v>
      </c>
      <c r="B418" s="1" t="s">
        <v>431</v>
      </c>
      <c r="D418" s="1">
        <f t="shared" si="13"/>
        <v>140</v>
      </c>
      <c r="E418" s="1" t="str">
        <f t="shared" si="12"/>
        <v>Bacata 220</v>
      </c>
    </row>
    <row r="419" spans="1:5">
      <c r="A419" s="1">
        <v>419</v>
      </c>
      <c r="B419" s="1" t="s">
        <v>432</v>
      </c>
      <c r="D419" s="1">
        <f t="shared" si="13"/>
        <v>140</v>
      </c>
      <c r="E419" s="1" t="str">
        <f t="shared" si="12"/>
        <v>Bacata 220</v>
      </c>
    </row>
    <row r="420" spans="1:5">
      <c r="A420" s="1">
        <v>420</v>
      </c>
      <c r="B420" s="1" t="s">
        <v>433</v>
      </c>
      <c r="D420" s="1">
        <f t="shared" si="13"/>
        <v>140</v>
      </c>
      <c r="E420" s="1" t="str">
        <f t="shared" si="12"/>
        <v>Bacata 220</v>
      </c>
    </row>
    <row r="421" spans="1:5">
      <c r="A421" s="1">
        <v>421</v>
      </c>
      <c r="B421" s="1" t="s">
        <v>434</v>
      </c>
      <c r="D421" s="1">
        <f t="shared" si="13"/>
        <v>141</v>
      </c>
      <c r="E421" s="1" t="str">
        <f t="shared" si="12"/>
        <v>Bacata 500</v>
      </c>
    </row>
    <row r="422" spans="1:5">
      <c r="A422" s="1">
        <v>422</v>
      </c>
      <c r="B422" s="1" t="s">
        <v>435</v>
      </c>
      <c r="D422" s="1">
        <f t="shared" si="13"/>
        <v>141</v>
      </c>
      <c r="E422" s="1" t="str">
        <f t="shared" si="12"/>
        <v>Bacata 500</v>
      </c>
    </row>
    <row r="423" spans="1:5">
      <c r="A423" s="1">
        <v>423</v>
      </c>
      <c r="B423" s="1" t="s">
        <v>436</v>
      </c>
      <c r="D423" s="1">
        <f t="shared" si="13"/>
        <v>141</v>
      </c>
      <c r="E423" s="1" t="str">
        <f t="shared" si="12"/>
        <v>Bacata 500</v>
      </c>
    </row>
    <row r="424" spans="1:5">
      <c r="A424" s="1">
        <v>424</v>
      </c>
      <c r="B424" s="1" t="s">
        <v>437</v>
      </c>
      <c r="D424" s="1">
        <f t="shared" si="13"/>
        <v>142</v>
      </c>
      <c r="E424" s="1" t="str">
        <f t="shared" si="12"/>
        <v>Balsillas 115</v>
      </c>
    </row>
    <row r="425" spans="1:5">
      <c r="A425" s="1">
        <v>425</v>
      </c>
      <c r="B425" s="1" t="s">
        <v>438</v>
      </c>
      <c r="D425" s="1">
        <f t="shared" si="13"/>
        <v>142</v>
      </c>
      <c r="E425" s="1" t="str">
        <f t="shared" si="12"/>
        <v>Balsillas 115</v>
      </c>
    </row>
    <row r="426" spans="1:5">
      <c r="A426" s="1">
        <v>426</v>
      </c>
      <c r="B426" s="1" t="s">
        <v>439</v>
      </c>
      <c r="D426" s="1">
        <f t="shared" si="13"/>
        <v>142</v>
      </c>
      <c r="E426" s="1" t="str">
        <f t="shared" si="12"/>
        <v>Balsillas 115</v>
      </c>
    </row>
    <row r="427" spans="1:5">
      <c r="A427" s="1">
        <v>427</v>
      </c>
      <c r="B427" s="1" t="s">
        <v>440</v>
      </c>
      <c r="D427" s="1">
        <f t="shared" si="13"/>
        <v>143</v>
      </c>
      <c r="E427" s="1" t="str">
        <f t="shared" si="12"/>
        <v>Balsillas 220</v>
      </c>
    </row>
    <row r="428" spans="1:5">
      <c r="A428" s="1">
        <v>428</v>
      </c>
      <c r="B428" s="1" t="s">
        <v>441</v>
      </c>
      <c r="D428" s="1">
        <f t="shared" si="13"/>
        <v>143</v>
      </c>
      <c r="E428" s="1" t="str">
        <f t="shared" si="12"/>
        <v>Balsillas 220</v>
      </c>
    </row>
    <row r="429" spans="1:5">
      <c r="A429" s="1">
        <v>429</v>
      </c>
      <c r="B429" s="1" t="s">
        <v>442</v>
      </c>
      <c r="D429" s="1">
        <f t="shared" si="13"/>
        <v>143</v>
      </c>
      <c r="E429" s="1" t="str">
        <f t="shared" si="12"/>
        <v>Balsillas 220</v>
      </c>
    </row>
    <row r="430" spans="1:5">
      <c r="A430" s="1">
        <v>430</v>
      </c>
      <c r="B430" s="1" t="s">
        <v>443</v>
      </c>
      <c r="D430" s="1">
        <f t="shared" si="13"/>
        <v>144</v>
      </c>
      <c r="E430" s="1" t="str">
        <f t="shared" si="12"/>
        <v>Barzalosa 115</v>
      </c>
    </row>
    <row r="431" spans="1:5">
      <c r="A431" s="1">
        <v>431</v>
      </c>
      <c r="B431" s="1" t="s">
        <v>444</v>
      </c>
      <c r="D431" s="1">
        <f t="shared" si="13"/>
        <v>144</v>
      </c>
      <c r="E431" s="1" t="str">
        <f t="shared" si="12"/>
        <v>Barzalosa 115</v>
      </c>
    </row>
    <row r="432" spans="1:5">
      <c r="A432" s="1">
        <v>432</v>
      </c>
      <c r="B432" s="1" t="s">
        <v>445</v>
      </c>
      <c r="D432" s="1">
        <f t="shared" si="13"/>
        <v>144</v>
      </c>
      <c r="E432" s="1" t="str">
        <f t="shared" si="12"/>
        <v>Barzalosa 115</v>
      </c>
    </row>
    <row r="433" spans="1:5">
      <c r="A433" s="1">
        <v>433</v>
      </c>
      <c r="B433" s="1" t="s">
        <v>446</v>
      </c>
      <c r="D433" s="1">
        <f t="shared" si="13"/>
        <v>145</v>
      </c>
      <c r="E433" s="1" t="str">
        <f t="shared" si="12"/>
        <v>Bolivia 115</v>
      </c>
    </row>
    <row r="434" spans="1:5">
      <c r="A434" s="1">
        <v>434</v>
      </c>
      <c r="B434" s="1" t="s">
        <v>447</v>
      </c>
      <c r="D434" s="1">
        <f t="shared" si="13"/>
        <v>145</v>
      </c>
      <c r="E434" s="1" t="str">
        <f t="shared" si="12"/>
        <v>Bolivia 115</v>
      </c>
    </row>
    <row r="435" spans="1:5">
      <c r="A435" s="1">
        <v>435</v>
      </c>
      <c r="B435" s="1" t="s">
        <v>448</v>
      </c>
      <c r="D435" s="1">
        <f t="shared" si="13"/>
        <v>145</v>
      </c>
      <c r="E435" s="1" t="str">
        <f t="shared" si="12"/>
        <v>Bolivia 115</v>
      </c>
    </row>
    <row r="436" spans="1:5">
      <c r="A436" s="1">
        <v>436</v>
      </c>
      <c r="B436" s="1" t="s">
        <v>449</v>
      </c>
      <c r="D436" s="1">
        <f t="shared" si="13"/>
        <v>146</v>
      </c>
      <c r="E436" s="1" t="str">
        <f t="shared" si="12"/>
        <v>Bosa 115</v>
      </c>
    </row>
    <row r="437" spans="1:5">
      <c r="A437" s="1">
        <v>437</v>
      </c>
      <c r="B437" s="1" t="s">
        <v>450</v>
      </c>
      <c r="D437" s="1">
        <f t="shared" si="13"/>
        <v>146</v>
      </c>
      <c r="E437" s="1" t="str">
        <f t="shared" si="12"/>
        <v>Bosa 115</v>
      </c>
    </row>
    <row r="438" spans="1:5">
      <c r="A438" s="1">
        <v>438</v>
      </c>
      <c r="B438" s="1" t="s">
        <v>451</v>
      </c>
      <c r="D438" s="1">
        <f t="shared" si="13"/>
        <v>146</v>
      </c>
      <c r="E438" s="1" t="str">
        <f t="shared" si="12"/>
        <v>Bosa 115</v>
      </c>
    </row>
    <row r="439" spans="1:5">
      <c r="A439" s="1">
        <v>439</v>
      </c>
      <c r="B439" s="1" t="s">
        <v>452</v>
      </c>
      <c r="D439" s="1">
        <f t="shared" si="13"/>
        <v>147</v>
      </c>
      <c r="E439" s="1" t="str">
        <f t="shared" si="12"/>
        <v>Calera 115</v>
      </c>
    </row>
    <row r="440" spans="1:5">
      <c r="A440" s="1">
        <v>440</v>
      </c>
      <c r="B440" s="1" t="s">
        <v>453</v>
      </c>
      <c r="D440" s="1">
        <f t="shared" si="13"/>
        <v>147</v>
      </c>
      <c r="E440" s="1" t="str">
        <f t="shared" si="12"/>
        <v>Calera 115</v>
      </c>
    </row>
    <row r="441" spans="1:5">
      <c r="A441" s="1">
        <v>441</v>
      </c>
      <c r="B441" s="1" t="s">
        <v>454</v>
      </c>
      <c r="D441" s="1">
        <f t="shared" si="13"/>
        <v>147</v>
      </c>
      <c r="E441" s="1" t="str">
        <f t="shared" si="12"/>
        <v>Calera 115</v>
      </c>
    </row>
    <row r="442" spans="1:5">
      <c r="A442" s="1">
        <v>442</v>
      </c>
      <c r="B442" s="1" t="s">
        <v>455</v>
      </c>
      <c r="D442" s="1">
        <f t="shared" si="13"/>
        <v>148</v>
      </c>
      <c r="E442" s="1" t="str">
        <f t="shared" si="12"/>
        <v>Calle 51 115</v>
      </c>
    </row>
    <row r="443" spans="1:5">
      <c r="A443" s="1">
        <v>443</v>
      </c>
      <c r="B443" s="1" t="s">
        <v>456</v>
      </c>
      <c r="D443" s="1">
        <f t="shared" si="13"/>
        <v>148</v>
      </c>
      <c r="E443" s="1" t="str">
        <f t="shared" si="12"/>
        <v>Calle 51 115</v>
      </c>
    </row>
    <row r="444" spans="1:5">
      <c r="A444" s="1">
        <v>444</v>
      </c>
      <c r="B444" s="1" t="s">
        <v>457</v>
      </c>
      <c r="D444" s="1">
        <f t="shared" si="13"/>
        <v>148</v>
      </c>
      <c r="E444" s="1" t="str">
        <f t="shared" si="12"/>
        <v>Calle 51 115</v>
      </c>
    </row>
    <row r="445" spans="1:5">
      <c r="A445" s="1">
        <v>445</v>
      </c>
      <c r="B445" s="1" t="s">
        <v>458</v>
      </c>
      <c r="D445" s="1">
        <f t="shared" si="13"/>
        <v>149</v>
      </c>
      <c r="E445" s="1" t="str">
        <f t="shared" si="12"/>
        <v>Calle 67 115</v>
      </c>
    </row>
    <row r="446" spans="1:5">
      <c r="A446" s="1">
        <v>446</v>
      </c>
      <c r="B446" s="1" t="s">
        <v>459</v>
      </c>
      <c r="D446" s="1">
        <f t="shared" si="13"/>
        <v>149</v>
      </c>
      <c r="E446" s="1" t="str">
        <f t="shared" si="12"/>
        <v>Calle 67 115</v>
      </c>
    </row>
    <row r="447" spans="1:5">
      <c r="A447" s="1">
        <v>447</v>
      </c>
      <c r="B447" s="1" t="s">
        <v>460</v>
      </c>
      <c r="D447" s="1">
        <f t="shared" si="13"/>
        <v>149</v>
      </c>
      <c r="E447" s="1" t="str">
        <f t="shared" si="12"/>
        <v>Calle 67 115</v>
      </c>
    </row>
    <row r="448" spans="1:5">
      <c r="A448" s="1">
        <v>448</v>
      </c>
      <c r="B448" s="1" t="s">
        <v>461</v>
      </c>
      <c r="D448" s="1">
        <f t="shared" si="13"/>
        <v>150</v>
      </c>
      <c r="E448" s="1" t="str">
        <f t="shared" si="12"/>
        <v>Canoas 115</v>
      </c>
    </row>
    <row r="449" spans="1:5">
      <c r="A449" s="1">
        <v>449</v>
      </c>
      <c r="B449" s="1" t="s">
        <v>462</v>
      </c>
      <c r="D449" s="1">
        <f t="shared" si="13"/>
        <v>150</v>
      </c>
      <c r="E449" s="1" t="str">
        <f t="shared" ref="E449:E512" si="14">+VLOOKUP(D449,$A$1:$B$1076,2,FALSE)</f>
        <v>Canoas 115</v>
      </c>
    </row>
    <row r="450" spans="1:5">
      <c r="A450" s="1">
        <v>450</v>
      </c>
      <c r="B450" s="1" t="s">
        <v>463</v>
      </c>
      <c r="D450" s="1">
        <f t="shared" si="13"/>
        <v>150</v>
      </c>
      <c r="E450" s="1" t="str">
        <f t="shared" si="14"/>
        <v>Canoas 115</v>
      </c>
    </row>
    <row r="451" spans="1:5">
      <c r="A451" s="1">
        <v>451</v>
      </c>
      <c r="B451" s="1" t="s">
        <v>464</v>
      </c>
      <c r="D451" s="1">
        <f t="shared" si="13"/>
        <v>151</v>
      </c>
      <c r="E451" s="1" t="str">
        <f t="shared" si="14"/>
        <v>Caqueza 115</v>
      </c>
    </row>
    <row r="452" spans="1:5">
      <c r="A452" s="1">
        <v>452</v>
      </c>
      <c r="B452" s="1" t="s">
        <v>465</v>
      </c>
      <c r="D452" s="1">
        <f t="shared" ref="D452:D515" si="15">+D449+1</f>
        <v>151</v>
      </c>
      <c r="E452" s="1" t="str">
        <f t="shared" si="14"/>
        <v>Caqueza 115</v>
      </c>
    </row>
    <row r="453" spans="1:5">
      <c r="A453" s="1">
        <v>453</v>
      </c>
      <c r="B453" s="1" t="s">
        <v>466</v>
      </c>
      <c r="D453" s="1">
        <f t="shared" si="15"/>
        <v>151</v>
      </c>
      <c r="E453" s="1" t="str">
        <f t="shared" si="14"/>
        <v>Caqueza 115</v>
      </c>
    </row>
    <row r="454" spans="1:5">
      <c r="A454" s="1">
        <v>454</v>
      </c>
      <c r="B454" s="1" t="s">
        <v>467</v>
      </c>
      <c r="D454" s="1">
        <f t="shared" si="15"/>
        <v>152</v>
      </c>
      <c r="E454" s="1" t="str">
        <f t="shared" si="14"/>
        <v>Carrera 5 115</v>
      </c>
    </row>
    <row r="455" spans="1:5">
      <c r="A455" s="1">
        <v>455</v>
      </c>
      <c r="B455" s="1" t="s">
        <v>468</v>
      </c>
      <c r="D455" s="1">
        <f t="shared" si="15"/>
        <v>152</v>
      </c>
      <c r="E455" s="1" t="str">
        <f t="shared" si="14"/>
        <v>Carrera 5 115</v>
      </c>
    </row>
    <row r="456" spans="1:5">
      <c r="A456" s="1">
        <v>456</v>
      </c>
      <c r="B456" s="1" t="s">
        <v>469</v>
      </c>
      <c r="D456" s="1">
        <f t="shared" si="15"/>
        <v>152</v>
      </c>
      <c r="E456" s="1" t="str">
        <f t="shared" si="14"/>
        <v>Carrera 5 115</v>
      </c>
    </row>
    <row r="457" spans="1:5">
      <c r="A457" s="1">
        <v>457</v>
      </c>
      <c r="B457" s="1" t="s">
        <v>470</v>
      </c>
      <c r="D457" s="1">
        <f t="shared" si="15"/>
        <v>153</v>
      </c>
      <c r="E457" s="1" t="str">
        <f t="shared" si="14"/>
        <v>Castellana 115</v>
      </c>
    </row>
    <row r="458" spans="1:5">
      <c r="A458" s="1">
        <v>458</v>
      </c>
      <c r="B458" s="1" t="s">
        <v>471</v>
      </c>
      <c r="D458" s="1">
        <f t="shared" si="15"/>
        <v>153</v>
      </c>
      <c r="E458" s="1" t="str">
        <f t="shared" si="14"/>
        <v>Castellana 115</v>
      </c>
    </row>
    <row r="459" spans="1:5">
      <c r="A459" s="1">
        <v>459</v>
      </c>
      <c r="B459" s="1" t="s">
        <v>472</v>
      </c>
      <c r="D459" s="1">
        <f t="shared" si="15"/>
        <v>153</v>
      </c>
      <c r="E459" s="1" t="str">
        <f t="shared" si="14"/>
        <v>Castellana 115</v>
      </c>
    </row>
    <row r="460" spans="1:5">
      <c r="A460" s="1">
        <v>460</v>
      </c>
      <c r="B460" s="1" t="s">
        <v>473</v>
      </c>
      <c r="D460" s="1">
        <f t="shared" si="15"/>
        <v>154</v>
      </c>
      <c r="E460" s="1" t="str">
        <f t="shared" si="14"/>
        <v>Chia 115</v>
      </c>
    </row>
    <row r="461" spans="1:5">
      <c r="A461" s="1">
        <v>461</v>
      </c>
      <c r="B461" s="1" t="s">
        <v>474</v>
      </c>
      <c r="D461" s="1">
        <f t="shared" si="15"/>
        <v>154</v>
      </c>
      <c r="E461" s="1" t="str">
        <f t="shared" si="14"/>
        <v>Chia 115</v>
      </c>
    </row>
    <row r="462" spans="1:5">
      <c r="A462" s="1">
        <v>462</v>
      </c>
      <c r="B462" s="1" t="s">
        <v>475</v>
      </c>
      <c r="D462" s="1">
        <f t="shared" si="15"/>
        <v>154</v>
      </c>
      <c r="E462" s="1" t="str">
        <f t="shared" si="14"/>
        <v>Chia 115</v>
      </c>
    </row>
    <row r="463" spans="1:5">
      <c r="A463" s="1">
        <v>463</v>
      </c>
      <c r="B463" s="1" t="s">
        <v>476</v>
      </c>
      <c r="D463" s="1">
        <f t="shared" si="15"/>
        <v>155</v>
      </c>
      <c r="E463" s="1" t="str">
        <f t="shared" si="14"/>
        <v>Chicala 115</v>
      </c>
    </row>
    <row r="464" spans="1:5">
      <c r="A464" s="1">
        <v>464</v>
      </c>
      <c r="B464" s="1" t="s">
        <v>477</v>
      </c>
      <c r="D464" s="1">
        <f t="shared" si="15"/>
        <v>155</v>
      </c>
      <c r="E464" s="1" t="str">
        <f t="shared" si="14"/>
        <v>Chicala 115</v>
      </c>
    </row>
    <row r="465" spans="1:5">
      <c r="A465" s="1">
        <v>465</v>
      </c>
      <c r="B465" s="1" t="s">
        <v>478</v>
      </c>
      <c r="D465" s="1">
        <f t="shared" si="15"/>
        <v>155</v>
      </c>
      <c r="E465" s="1" t="str">
        <f t="shared" si="14"/>
        <v>Chicala 115</v>
      </c>
    </row>
    <row r="466" spans="1:5">
      <c r="A466" s="1">
        <v>466</v>
      </c>
      <c r="B466" s="1" t="s">
        <v>479</v>
      </c>
      <c r="D466" s="1">
        <f t="shared" si="15"/>
        <v>156</v>
      </c>
      <c r="E466" s="1" t="str">
        <f t="shared" si="14"/>
        <v>Chivor 115</v>
      </c>
    </row>
    <row r="467" spans="1:5">
      <c r="A467" s="1">
        <v>467</v>
      </c>
      <c r="B467" s="1" t="s">
        <v>480</v>
      </c>
      <c r="D467" s="1">
        <f t="shared" si="15"/>
        <v>156</v>
      </c>
      <c r="E467" s="1" t="str">
        <f t="shared" si="14"/>
        <v>Chivor 115</v>
      </c>
    </row>
    <row r="468" spans="1:5">
      <c r="A468" s="1">
        <v>468</v>
      </c>
      <c r="B468" s="1" t="s">
        <v>481</v>
      </c>
      <c r="D468" s="1">
        <f t="shared" si="15"/>
        <v>156</v>
      </c>
      <c r="E468" s="1" t="str">
        <f t="shared" si="14"/>
        <v>Chivor 115</v>
      </c>
    </row>
    <row r="469" spans="1:5">
      <c r="A469" s="1">
        <v>469</v>
      </c>
      <c r="B469" s="1" t="s">
        <v>482</v>
      </c>
      <c r="D469" s="1">
        <f t="shared" si="15"/>
        <v>157</v>
      </c>
      <c r="E469" s="1" t="str">
        <f t="shared" si="14"/>
        <v>Chivor 220</v>
      </c>
    </row>
    <row r="470" spans="1:5">
      <c r="A470" s="1">
        <v>470</v>
      </c>
      <c r="B470" s="1" t="s">
        <v>483</v>
      </c>
      <c r="D470" s="1">
        <f t="shared" si="15"/>
        <v>157</v>
      </c>
      <c r="E470" s="1" t="str">
        <f t="shared" si="14"/>
        <v>Chivor 220</v>
      </c>
    </row>
    <row r="471" spans="1:5">
      <c r="A471" s="1">
        <v>471</v>
      </c>
      <c r="B471" s="1" t="s">
        <v>484</v>
      </c>
      <c r="D471" s="1">
        <f t="shared" si="15"/>
        <v>157</v>
      </c>
      <c r="E471" s="1" t="str">
        <f t="shared" si="14"/>
        <v>Chivor 220</v>
      </c>
    </row>
    <row r="472" spans="1:5">
      <c r="A472" s="1">
        <v>472</v>
      </c>
      <c r="B472" s="1" t="s">
        <v>485</v>
      </c>
      <c r="D472" s="1">
        <f t="shared" si="15"/>
        <v>158</v>
      </c>
      <c r="E472" s="1" t="str">
        <f t="shared" si="14"/>
        <v>Chivor II 220</v>
      </c>
    </row>
    <row r="473" spans="1:5">
      <c r="A473" s="1">
        <v>473</v>
      </c>
      <c r="B473" s="1" t="s">
        <v>486</v>
      </c>
      <c r="D473" s="1">
        <f t="shared" si="15"/>
        <v>158</v>
      </c>
      <c r="E473" s="1" t="str">
        <f t="shared" si="14"/>
        <v>Chivor II 220</v>
      </c>
    </row>
    <row r="474" spans="1:5">
      <c r="A474" s="1">
        <v>474</v>
      </c>
      <c r="B474" s="1" t="s">
        <v>487</v>
      </c>
      <c r="D474" s="1">
        <f t="shared" si="15"/>
        <v>158</v>
      </c>
      <c r="E474" s="1" t="str">
        <f t="shared" si="14"/>
        <v>Chivor II 220</v>
      </c>
    </row>
    <row r="475" spans="1:5">
      <c r="A475" s="1">
        <v>475</v>
      </c>
      <c r="B475" s="1" t="s">
        <v>488</v>
      </c>
      <c r="D475" s="1">
        <f t="shared" si="15"/>
        <v>159</v>
      </c>
      <c r="E475" s="1" t="str">
        <f t="shared" si="14"/>
        <v>Circo 115</v>
      </c>
    </row>
    <row r="476" spans="1:5">
      <c r="A476" s="1">
        <v>476</v>
      </c>
      <c r="B476" s="1" t="s">
        <v>489</v>
      </c>
      <c r="D476" s="1">
        <f t="shared" si="15"/>
        <v>159</v>
      </c>
      <c r="E476" s="1" t="str">
        <f t="shared" si="14"/>
        <v>Circo 115</v>
      </c>
    </row>
    <row r="477" spans="1:5">
      <c r="A477" s="1">
        <v>477</v>
      </c>
      <c r="B477" s="1" t="s">
        <v>490</v>
      </c>
      <c r="D477" s="1">
        <f t="shared" si="15"/>
        <v>159</v>
      </c>
      <c r="E477" s="1" t="str">
        <f t="shared" si="14"/>
        <v>Circo 115</v>
      </c>
    </row>
    <row r="478" spans="1:5">
      <c r="A478" s="1">
        <v>478</v>
      </c>
      <c r="B478" s="1" t="s">
        <v>491</v>
      </c>
      <c r="D478" s="1">
        <f t="shared" si="15"/>
        <v>160</v>
      </c>
      <c r="E478" s="1" t="str">
        <f t="shared" si="14"/>
        <v>Circo 220</v>
      </c>
    </row>
    <row r="479" spans="1:5">
      <c r="A479" s="1">
        <v>479</v>
      </c>
      <c r="B479" s="1" t="s">
        <v>492</v>
      </c>
      <c r="D479" s="1">
        <f t="shared" si="15"/>
        <v>160</v>
      </c>
      <c r="E479" s="1" t="str">
        <f t="shared" si="14"/>
        <v>Circo 220</v>
      </c>
    </row>
    <row r="480" spans="1:5">
      <c r="A480" s="1">
        <v>480</v>
      </c>
      <c r="B480" s="1" t="s">
        <v>493</v>
      </c>
      <c r="D480" s="1">
        <f t="shared" si="15"/>
        <v>160</v>
      </c>
      <c r="E480" s="1" t="str">
        <f t="shared" si="14"/>
        <v>Circo 220</v>
      </c>
    </row>
    <row r="481" spans="1:5">
      <c r="A481" s="1">
        <v>481</v>
      </c>
      <c r="B481" s="1" t="s">
        <v>494</v>
      </c>
      <c r="D481" s="1">
        <f t="shared" si="15"/>
        <v>161</v>
      </c>
      <c r="E481" s="1" t="str">
        <f t="shared" si="14"/>
        <v>Colegio 115</v>
      </c>
    </row>
    <row r="482" spans="1:5">
      <c r="A482" s="1">
        <v>482</v>
      </c>
      <c r="B482" s="1" t="s">
        <v>495</v>
      </c>
      <c r="D482" s="1">
        <f t="shared" si="15"/>
        <v>161</v>
      </c>
      <c r="E482" s="1" t="str">
        <f t="shared" si="14"/>
        <v>Colegio 115</v>
      </c>
    </row>
    <row r="483" spans="1:5">
      <c r="A483" s="1">
        <v>483</v>
      </c>
      <c r="B483" s="1" t="s">
        <v>496</v>
      </c>
      <c r="D483" s="1">
        <f t="shared" si="15"/>
        <v>161</v>
      </c>
      <c r="E483" s="1" t="str">
        <f t="shared" si="14"/>
        <v>Colegio 115</v>
      </c>
    </row>
    <row r="484" spans="1:5">
      <c r="A484" s="1">
        <v>484</v>
      </c>
      <c r="B484" s="1" t="s">
        <v>497</v>
      </c>
      <c r="D484" s="1">
        <f t="shared" si="15"/>
        <v>162</v>
      </c>
      <c r="E484" s="1" t="str">
        <f t="shared" si="14"/>
        <v>Compartir 115</v>
      </c>
    </row>
    <row r="485" spans="1:5">
      <c r="A485" s="1">
        <v>485</v>
      </c>
      <c r="B485" s="1" t="s">
        <v>498</v>
      </c>
      <c r="D485" s="1">
        <f t="shared" si="15"/>
        <v>162</v>
      </c>
      <c r="E485" s="1" t="str">
        <f t="shared" si="14"/>
        <v>Compartir 115</v>
      </c>
    </row>
    <row r="486" spans="1:5">
      <c r="A486" s="1">
        <v>486</v>
      </c>
      <c r="B486" s="1" t="s">
        <v>499</v>
      </c>
      <c r="D486" s="1">
        <f t="shared" si="15"/>
        <v>162</v>
      </c>
      <c r="E486" s="1" t="str">
        <f t="shared" si="14"/>
        <v>Compartir 115</v>
      </c>
    </row>
    <row r="487" spans="1:5">
      <c r="A487" s="1">
        <v>487</v>
      </c>
      <c r="B487" s="1" t="s">
        <v>500</v>
      </c>
      <c r="D487" s="1">
        <f t="shared" si="15"/>
        <v>163</v>
      </c>
      <c r="E487" s="1" t="str">
        <f t="shared" si="14"/>
        <v>Concordia 115</v>
      </c>
    </row>
    <row r="488" spans="1:5">
      <c r="A488" s="1">
        <v>488</v>
      </c>
      <c r="B488" s="1" t="s">
        <v>501</v>
      </c>
      <c r="D488" s="1">
        <f t="shared" si="15"/>
        <v>163</v>
      </c>
      <c r="E488" s="1" t="str">
        <f t="shared" si="14"/>
        <v>Concordia 115</v>
      </c>
    </row>
    <row r="489" spans="1:5">
      <c r="A489" s="1">
        <v>489</v>
      </c>
      <c r="B489" s="1" t="s">
        <v>502</v>
      </c>
      <c r="D489" s="1">
        <f t="shared" si="15"/>
        <v>163</v>
      </c>
      <c r="E489" s="1" t="str">
        <f t="shared" si="14"/>
        <v>Concordia 115</v>
      </c>
    </row>
    <row r="490" spans="1:5">
      <c r="A490" s="1">
        <v>490</v>
      </c>
      <c r="B490" s="1" t="s">
        <v>503</v>
      </c>
      <c r="D490" s="1">
        <f t="shared" si="15"/>
        <v>164</v>
      </c>
      <c r="E490" s="1" t="str">
        <f t="shared" si="14"/>
        <v>Concordia 57.5</v>
      </c>
    </row>
    <row r="491" spans="1:5">
      <c r="A491" s="1">
        <v>491</v>
      </c>
      <c r="B491" s="1" t="s">
        <v>504</v>
      </c>
      <c r="D491" s="1">
        <f t="shared" si="15"/>
        <v>164</v>
      </c>
      <c r="E491" s="1" t="str">
        <f t="shared" si="14"/>
        <v>Concordia 57.5</v>
      </c>
    </row>
    <row r="492" spans="1:5">
      <c r="A492" s="1">
        <v>492</v>
      </c>
      <c r="B492" s="1" t="s">
        <v>505</v>
      </c>
      <c r="D492" s="1">
        <f t="shared" si="15"/>
        <v>164</v>
      </c>
      <c r="E492" s="1" t="str">
        <f t="shared" si="14"/>
        <v>Concordia 57.5</v>
      </c>
    </row>
    <row r="493" spans="1:5">
      <c r="A493" s="1">
        <v>493</v>
      </c>
      <c r="B493" s="1" t="s">
        <v>506</v>
      </c>
      <c r="D493" s="1">
        <f t="shared" si="15"/>
        <v>165</v>
      </c>
      <c r="E493" s="1" t="str">
        <f t="shared" si="14"/>
        <v>Diaco COD 115</v>
      </c>
    </row>
    <row r="494" spans="1:5">
      <c r="A494" s="1">
        <v>494</v>
      </c>
      <c r="B494" s="1" t="s">
        <v>507</v>
      </c>
      <c r="D494" s="1">
        <f t="shared" si="15"/>
        <v>165</v>
      </c>
      <c r="E494" s="1" t="str">
        <f t="shared" si="14"/>
        <v>Diaco COD 115</v>
      </c>
    </row>
    <row r="495" spans="1:5">
      <c r="A495" s="1">
        <v>495</v>
      </c>
      <c r="B495" s="1" t="s">
        <v>508</v>
      </c>
      <c r="D495" s="1">
        <f t="shared" si="15"/>
        <v>165</v>
      </c>
      <c r="E495" s="1" t="str">
        <f t="shared" si="14"/>
        <v>Diaco COD 115</v>
      </c>
    </row>
    <row r="496" spans="1:5">
      <c r="A496" s="1">
        <v>496</v>
      </c>
      <c r="B496" s="1" t="s">
        <v>509</v>
      </c>
      <c r="D496" s="1">
        <f t="shared" si="15"/>
        <v>166</v>
      </c>
      <c r="E496" s="1" t="str">
        <f t="shared" si="14"/>
        <v>El Rio (Bogota) 115</v>
      </c>
    </row>
    <row r="497" spans="1:5">
      <c r="A497" s="1">
        <v>497</v>
      </c>
      <c r="B497" s="1" t="s">
        <v>510</v>
      </c>
      <c r="D497" s="1">
        <f t="shared" si="15"/>
        <v>166</v>
      </c>
      <c r="E497" s="1" t="str">
        <f t="shared" si="14"/>
        <v>El Rio (Bogota) 115</v>
      </c>
    </row>
    <row r="498" spans="1:5">
      <c r="A498" s="1">
        <v>498</v>
      </c>
      <c r="B498" s="1" t="s">
        <v>511</v>
      </c>
      <c r="D498" s="1">
        <f t="shared" si="15"/>
        <v>166</v>
      </c>
      <c r="E498" s="1" t="str">
        <f t="shared" si="14"/>
        <v>El Rio (Bogota) 115</v>
      </c>
    </row>
    <row r="499" spans="1:5">
      <c r="A499" s="1">
        <v>499</v>
      </c>
      <c r="B499" s="1" t="s">
        <v>512</v>
      </c>
      <c r="D499" s="1">
        <f t="shared" si="15"/>
        <v>167</v>
      </c>
      <c r="E499" s="1" t="str">
        <f t="shared" si="14"/>
        <v>El Sol 115</v>
      </c>
    </row>
    <row r="500" spans="1:5">
      <c r="A500" s="1">
        <v>500</v>
      </c>
      <c r="B500" s="1" t="s">
        <v>513</v>
      </c>
      <c r="D500" s="1">
        <f t="shared" si="15"/>
        <v>167</v>
      </c>
      <c r="E500" s="1" t="str">
        <f t="shared" si="14"/>
        <v>El Sol 115</v>
      </c>
    </row>
    <row r="501" spans="1:5">
      <c r="A501" s="1">
        <v>501</v>
      </c>
      <c r="B501" s="1" t="s">
        <v>514</v>
      </c>
      <c r="D501" s="1">
        <f t="shared" si="15"/>
        <v>167</v>
      </c>
      <c r="E501" s="1" t="str">
        <f t="shared" si="14"/>
        <v>El Sol 115</v>
      </c>
    </row>
    <row r="502" spans="1:5">
      <c r="A502" s="1">
        <v>502</v>
      </c>
      <c r="B502" s="1" t="s">
        <v>515</v>
      </c>
      <c r="D502" s="1">
        <f t="shared" si="15"/>
        <v>168</v>
      </c>
      <c r="E502" s="1" t="str">
        <f t="shared" si="14"/>
        <v>Facatativa 115</v>
      </c>
    </row>
    <row r="503" spans="1:5">
      <c r="A503" s="1">
        <v>503</v>
      </c>
      <c r="B503" s="1" t="s">
        <v>516</v>
      </c>
      <c r="D503" s="1">
        <f t="shared" si="15"/>
        <v>168</v>
      </c>
      <c r="E503" s="1" t="str">
        <f t="shared" si="14"/>
        <v>Facatativa 115</v>
      </c>
    </row>
    <row r="504" spans="1:5">
      <c r="A504" s="1">
        <v>504</v>
      </c>
      <c r="B504" s="1" t="s">
        <v>517</v>
      </c>
      <c r="D504" s="1">
        <f t="shared" si="15"/>
        <v>168</v>
      </c>
      <c r="E504" s="1" t="str">
        <f t="shared" si="14"/>
        <v>Facatativa 115</v>
      </c>
    </row>
    <row r="505" spans="1:5">
      <c r="A505" s="1">
        <v>505</v>
      </c>
      <c r="B505" s="1" t="s">
        <v>518</v>
      </c>
      <c r="D505" s="1">
        <f t="shared" si="15"/>
        <v>169</v>
      </c>
      <c r="E505" s="1" t="str">
        <f t="shared" si="14"/>
        <v>Florida COD 115</v>
      </c>
    </row>
    <row r="506" spans="1:5">
      <c r="A506" s="1">
        <v>506</v>
      </c>
      <c r="B506" s="1" t="s">
        <v>519</v>
      </c>
      <c r="D506" s="1">
        <f t="shared" si="15"/>
        <v>169</v>
      </c>
      <c r="E506" s="1" t="str">
        <f t="shared" si="14"/>
        <v>Florida COD 115</v>
      </c>
    </row>
    <row r="507" spans="1:5">
      <c r="A507" s="1">
        <v>507</v>
      </c>
      <c r="B507" s="1" t="s">
        <v>520</v>
      </c>
      <c r="D507" s="1">
        <f t="shared" si="15"/>
        <v>169</v>
      </c>
      <c r="E507" s="1" t="str">
        <f t="shared" si="14"/>
        <v>Florida COD 115</v>
      </c>
    </row>
    <row r="508" spans="1:5">
      <c r="A508" s="1">
        <v>508</v>
      </c>
      <c r="B508" s="1" t="s">
        <v>521</v>
      </c>
      <c r="D508" s="1">
        <f t="shared" si="15"/>
        <v>170</v>
      </c>
      <c r="E508" s="1" t="str">
        <f t="shared" si="14"/>
        <v>Fontibon 115</v>
      </c>
    </row>
    <row r="509" spans="1:5">
      <c r="A509" s="1">
        <v>509</v>
      </c>
      <c r="B509" s="1" t="s">
        <v>522</v>
      </c>
      <c r="D509" s="1">
        <f t="shared" si="15"/>
        <v>170</v>
      </c>
      <c r="E509" s="1" t="str">
        <f t="shared" si="14"/>
        <v>Fontibon 115</v>
      </c>
    </row>
    <row r="510" spans="1:5">
      <c r="A510" s="1">
        <v>510</v>
      </c>
      <c r="B510" s="1" t="s">
        <v>523</v>
      </c>
      <c r="D510" s="1">
        <f t="shared" si="15"/>
        <v>170</v>
      </c>
      <c r="E510" s="1" t="str">
        <f t="shared" si="14"/>
        <v>Fontibon 115</v>
      </c>
    </row>
    <row r="511" spans="1:5">
      <c r="A511" s="1">
        <v>511</v>
      </c>
      <c r="B511" s="1" t="s">
        <v>524</v>
      </c>
      <c r="D511" s="1">
        <f t="shared" si="15"/>
        <v>171</v>
      </c>
      <c r="E511" s="1" t="str">
        <f t="shared" si="14"/>
        <v>Gran Sabana 115</v>
      </c>
    </row>
    <row r="512" spans="1:5">
      <c r="A512" s="1">
        <v>512</v>
      </c>
      <c r="B512" s="1" t="s">
        <v>525</v>
      </c>
      <c r="D512" s="1">
        <f t="shared" si="15"/>
        <v>171</v>
      </c>
      <c r="E512" s="1" t="str">
        <f t="shared" si="14"/>
        <v>Gran Sabana 115</v>
      </c>
    </row>
    <row r="513" spans="1:5">
      <c r="A513" s="1">
        <v>513</v>
      </c>
      <c r="B513" s="1" t="s">
        <v>526</v>
      </c>
      <c r="D513" s="1">
        <f t="shared" si="15"/>
        <v>171</v>
      </c>
      <c r="E513" s="1" t="str">
        <f t="shared" ref="E513:E576" si="16">+VLOOKUP(D513,$A$1:$B$1076,2,FALSE)</f>
        <v>Gran Sabana 115</v>
      </c>
    </row>
    <row r="514" spans="1:5">
      <c r="A514" s="1">
        <v>514</v>
      </c>
      <c r="B514" s="1" t="s">
        <v>527</v>
      </c>
      <c r="D514" s="1">
        <f t="shared" si="15"/>
        <v>172</v>
      </c>
      <c r="E514" s="1" t="str">
        <f t="shared" si="16"/>
        <v>Guaca 115</v>
      </c>
    </row>
    <row r="515" spans="1:5">
      <c r="A515" s="1">
        <v>515</v>
      </c>
      <c r="B515" s="1" t="s">
        <v>528</v>
      </c>
      <c r="D515" s="1">
        <f t="shared" si="15"/>
        <v>172</v>
      </c>
      <c r="E515" s="1" t="str">
        <f t="shared" si="16"/>
        <v>Guaca 115</v>
      </c>
    </row>
    <row r="516" spans="1:5">
      <c r="A516" s="1">
        <v>516</v>
      </c>
      <c r="B516" s="1" t="s">
        <v>529</v>
      </c>
      <c r="D516" s="1">
        <f t="shared" ref="D516:D579" si="17">+D513+1</f>
        <v>172</v>
      </c>
      <c r="E516" s="1" t="str">
        <f t="shared" si="16"/>
        <v>Guaca 115</v>
      </c>
    </row>
    <row r="517" spans="1:5">
      <c r="A517" s="1">
        <v>517</v>
      </c>
      <c r="B517" s="1" t="s">
        <v>530</v>
      </c>
      <c r="D517" s="1">
        <f t="shared" si="17"/>
        <v>173</v>
      </c>
      <c r="E517" s="1" t="str">
        <f t="shared" si="16"/>
        <v>Guaca 220</v>
      </c>
    </row>
    <row r="518" spans="1:5">
      <c r="A518" s="1">
        <v>518</v>
      </c>
      <c r="B518" s="1" t="s">
        <v>531</v>
      </c>
      <c r="D518" s="1">
        <f t="shared" si="17"/>
        <v>173</v>
      </c>
      <c r="E518" s="1" t="str">
        <f t="shared" si="16"/>
        <v>Guaca 220</v>
      </c>
    </row>
    <row r="519" spans="1:5">
      <c r="A519" s="1">
        <v>519</v>
      </c>
      <c r="B519" s="1" t="s">
        <v>532</v>
      </c>
      <c r="D519" s="1">
        <f t="shared" si="17"/>
        <v>173</v>
      </c>
      <c r="E519" s="1" t="str">
        <f t="shared" si="16"/>
        <v>Guaca 220</v>
      </c>
    </row>
    <row r="520" spans="1:5">
      <c r="A520" s="1">
        <v>520</v>
      </c>
      <c r="B520" s="1" t="s">
        <v>533</v>
      </c>
      <c r="D520" s="1">
        <f t="shared" si="17"/>
        <v>174</v>
      </c>
      <c r="E520" s="1" t="str">
        <f t="shared" si="16"/>
        <v>Guateque 115</v>
      </c>
    </row>
    <row r="521" spans="1:5">
      <c r="A521" s="1">
        <v>521</v>
      </c>
      <c r="B521" s="1" t="s">
        <v>534</v>
      </c>
      <c r="D521" s="1">
        <f t="shared" si="17"/>
        <v>174</v>
      </c>
      <c r="E521" s="1" t="str">
        <f t="shared" si="16"/>
        <v>Guateque 115</v>
      </c>
    </row>
    <row r="522" spans="1:5">
      <c r="A522" s="1">
        <v>522</v>
      </c>
      <c r="B522" s="1" t="s">
        <v>535</v>
      </c>
      <c r="D522" s="1">
        <f t="shared" si="17"/>
        <v>174</v>
      </c>
      <c r="E522" s="1" t="str">
        <f t="shared" si="16"/>
        <v>Guateque 115</v>
      </c>
    </row>
    <row r="523" spans="1:5">
      <c r="A523" s="1">
        <v>523</v>
      </c>
      <c r="B523" s="1" t="s">
        <v>536</v>
      </c>
      <c r="D523" s="1">
        <f t="shared" si="17"/>
        <v>175</v>
      </c>
      <c r="E523" s="1" t="str">
        <f t="shared" si="16"/>
        <v>Guavio 115</v>
      </c>
    </row>
    <row r="524" spans="1:5">
      <c r="A524" s="1">
        <v>524</v>
      </c>
      <c r="B524" s="1" t="s">
        <v>537</v>
      </c>
      <c r="D524" s="1">
        <f t="shared" si="17"/>
        <v>175</v>
      </c>
      <c r="E524" s="1" t="str">
        <f t="shared" si="16"/>
        <v>Guavio 115</v>
      </c>
    </row>
    <row r="525" spans="1:5">
      <c r="A525" s="1">
        <v>525</v>
      </c>
      <c r="B525" s="1" t="s">
        <v>538</v>
      </c>
      <c r="D525" s="1">
        <f t="shared" si="17"/>
        <v>175</v>
      </c>
      <c r="E525" s="1" t="str">
        <f t="shared" si="16"/>
        <v>Guavio 115</v>
      </c>
    </row>
    <row r="526" spans="1:5">
      <c r="A526" s="1">
        <v>526</v>
      </c>
      <c r="B526" s="1" t="s">
        <v>539</v>
      </c>
      <c r="D526" s="1">
        <f t="shared" si="17"/>
        <v>176</v>
      </c>
      <c r="E526" s="1" t="str">
        <f t="shared" si="16"/>
        <v>Guavio 220</v>
      </c>
    </row>
    <row r="527" spans="1:5">
      <c r="A527" s="1">
        <v>527</v>
      </c>
      <c r="B527" s="1" t="s">
        <v>540</v>
      </c>
      <c r="D527" s="1">
        <f t="shared" si="17"/>
        <v>176</v>
      </c>
      <c r="E527" s="1" t="str">
        <f t="shared" si="16"/>
        <v>Guavio 220</v>
      </c>
    </row>
    <row r="528" spans="1:5">
      <c r="A528" s="1">
        <v>528</v>
      </c>
      <c r="B528" s="1" t="s">
        <v>541</v>
      </c>
      <c r="D528" s="1">
        <f t="shared" si="17"/>
        <v>176</v>
      </c>
      <c r="E528" s="1" t="str">
        <f t="shared" si="16"/>
        <v>Guavio 220</v>
      </c>
    </row>
    <row r="529" spans="1:5">
      <c r="A529" s="1">
        <v>529</v>
      </c>
      <c r="B529" s="1" t="s">
        <v>542</v>
      </c>
      <c r="D529" s="1">
        <f t="shared" si="17"/>
        <v>177</v>
      </c>
      <c r="E529" s="1" t="str">
        <f t="shared" si="16"/>
        <v>Guavio Gen 220</v>
      </c>
    </row>
    <row r="530" spans="1:5">
      <c r="A530" s="1">
        <v>530</v>
      </c>
      <c r="B530" s="1" t="s">
        <v>543</v>
      </c>
      <c r="D530" s="1">
        <f t="shared" si="17"/>
        <v>177</v>
      </c>
      <c r="E530" s="1" t="str">
        <f t="shared" si="16"/>
        <v>Guavio Gen 220</v>
      </c>
    </row>
    <row r="531" spans="1:5">
      <c r="A531" s="1">
        <v>531</v>
      </c>
      <c r="B531" s="1" t="s">
        <v>544</v>
      </c>
      <c r="D531" s="1">
        <f t="shared" si="17"/>
        <v>177</v>
      </c>
      <c r="E531" s="1" t="str">
        <f t="shared" si="16"/>
        <v>Guavio Gen 220</v>
      </c>
    </row>
    <row r="532" spans="1:5">
      <c r="A532" s="1">
        <v>532</v>
      </c>
      <c r="B532" s="1" t="s">
        <v>545</v>
      </c>
      <c r="D532" s="1">
        <f t="shared" si="17"/>
        <v>178</v>
      </c>
      <c r="E532" s="1" t="str">
        <f t="shared" si="16"/>
        <v>Indumil 115</v>
      </c>
    </row>
    <row r="533" spans="1:5">
      <c r="A533" s="1">
        <v>533</v>
      </c>
      <c r="B533" s="1" t="s">
        <v>546</v>
      </c>
      <c r="D533" s="1">
        <f t="shared" si="17"/>
        <v>178</v>
      </c>
      <c r="E533" s="1" t="str">
        <f t="shared" si="16"/>
        <v>Indumil 115</v>
      </c>
    </row>
    <row r="534" spans="1:5">
      <c r="A534" s="1">
        <v>534</v>
      </c>
      <c r="B534" s="1" t="s">
        <v>547</v>
      </c>
      <c r="D534" s="1">
        <f t="shared" si="17"/>
        <v>178</v>
      </c>
      <c r="E534" s="1" t="str">
        <f t="shared" si="16"/>
        <v>Indumil 115</v>
      </c>
    </row>
    <row r="535" spans="1:5">
      <c r="A535" s="1">
        <v>535</v>
      </c>
      <c r="B535" s="1" t="s">
        <v>548</v>
      </c>
      <c r="D535" s="1">
        <f t="shared" si="17"/>
        <v>179</v>
      </c>
      <c r="E535" s="1" t="str">
        <f t="shared" si="16"/>
        <v>La Paz 115</v>
      </c>
    </row>
    <row r="536" spans="1:5">
      <c r="A536" s="1">
        <v>536</v>
      </c>
      <c r="B536" s="1" t="s">
        <v>549</v>
      </c>
      <c r="D536" s="1">
        <f t="shared" si="17"/>
        <v>179</v>
      </c>
      <c r="E536" s="1" t="str">
        <f t="shared" si="16"/>
        <v>La Paz 115</v>
      </c>
    </row>
    <row r="537" spans="1:5">
      <c r="A537" s="1">
        <v>537</v>
      </c>
      <c r="B537" s="1" t="s">
        <v>550</v>
      </c>
      <c r="D537" s="1">
        <f t="shared" si="17"/>
        <v>179</v>
      </c>
      <c r="E537" s="1" t="str">
        <f t="shared" si="16"/>
        <v>La Paz 115</v>
      </c>
    </row>
    <row r="538" spans="1:5">
      <c r="A538" s="1">
        <v>538</v>
      </c>
      <c r="B538" s="1" t="s">
        <v>551</v>
      </c>
      <c r="D538" s="1">
        <f t="shared" si="17"/>
        <v>180</v>
      </c>
      <c r="E538" s="1" t="str">
        <f t="shared" si="16"/>
        <v>Laguneta 115</v>
      </c>
    </row>
    <row r="539" spans="1:5">
      <c r="A539" s="1">
        <v>539</v>
      </c>
      <c r="B539" s="1" t="s">
        <v>552</v>
      </c>
      <c r="D539" s="1">
        <f t="shared" si="17"/>
        <v>180</v>
      </c>
      <c r="E539" s="1" t="str">
        <f t="shared" si="16"/>
        <v>Laguneta 115</v>
      </c>
    </row>
    <row r="540" spans="1:5">
      <c r="A540" s="1">
        <v>540</v>
      </c>
      <c r="B540" s="1" t="s">
        <v>553</v>
      </c>
      <c r="D540" s="1">
        <f t="shared" si="17"/>
        <v>180</v>
      </c>
      <c r="E540" s="1" t="str">
        <f t="shared" si="16"/>
        <v>Laguneta 115</v>
      </c>
    </row>
    <row r="541" spans="1:5">
      <c r="A541" s="1">
        <v>541</v>
      </c>
      <c r="B541" s="1" t="s">
        <v>554</v>
      </c>
      <c r="D541" s="1">
        <f t="shared" si="17"/>
        <v>181</v>
      </c>
      <c r="E541" s="1" t="str">
        <f t="shared" si="16"/>
        <v>Mambita 115</v>
      </c>
    </row>
    <row r="542" spans="1:5">
      <c r="A542" s="1">
        <v>542</v>
      </c>
      <c r="B542" s="1" t="s">
        <v>555</v>
      </c>
      <c r="D542" s="1">
        <f t="shared" si="17"/>
        <v>181</v>
      </c>
      <c r="E542" s="1" t="str">
        <f t="shared" si="16"/>
        <v>Mambita 115</v>
      </c>
    </row>
    <row r="543" spans="1:5">
      <c r="A543" s="1">
        <v>543</v>
      </c>
      <c r="B543" s="1" t="s">
        <v>556</v>
      </c>
      <c r="D543" s="1">
        <f t="shared" si="17"/>
        <v>181</v>
      </c>
      <c r="E543" s="1" t="str">
        <f t="shared" si="16"/>
        <v>Mambita 115</v>
      </c>
    </row>
    <row r="544" spans="1:5">
      <c r="A544" s="1">
        <v>544</v>
      </c>
      <c r="B544" s="1" t="s">
        <v>557</v>
      </c>
      <c r="D544" s="1">
        <f t="shared" si="17"/>
        <v>182</v>
      </c>
      <c r="E544" s="1" t="str">
        <f t="shared" si="16"/>
        <v>Mesa 220</v>
      </c>
    </row>
    <row r="545" spans="1:5">
      <c r="A545" s="1">
        <v>545</v>
      </c>
      <c r="B545" s="1" t="s">
        <v>558</v>
      </c>
      <c r="D545" s="1">
        <f t="shared" si="17"/>
        <v>182</v>
      </c>
      <c r="E545" s="1" t="str">
        <f t="shared" si="16"/>
        <v>Mesa 220</v>
      </c>
    </row>
    <row r="546" spans="1:5">
      <c r="A546" s="1">
        <v>546</v>
      </c>
      <c r="B546" s="1" t="s">
        <v>559</v>
      </c>
      <c r="D546" s="1">
        <f t="shared" si="17"/>
        <v>182</v>
      </c>
      <c r="E546" s="1" t="str">
        <f t="shared" si="16"/>
        <v>Mesa 220</v>
      </c>
    </row>
    <row r="547" spans="1:5">
      <c r="A547" s="1">
        <v>547</v>
      </c>
      <c r="B547" s="1" t="s">
        <v>560</v>
      </c>
      <c r="D547" s="1">
        <f t="shared" si="17"/>
        <v>183</v>
      </c>
      <c r="E547" s="1" t="str">
        <f t="shared" si="16"/>
        <v>Montevideo 115</v>
      </c>
    </row>
    <row r="548" spans="1:5">
      <c r="A548" s="1">
        <v>548</v>
      </c>
      <c r="B548" s="1" t="s">
        <v>561</v>
      </c>
      <c r="D548" s="1">
        <f t="shared" si="17"/>
        <v>183</v>
      </c>
      <c r="E548" s="1" t="str">
        <f t="shared" si="16"/>
        <v>Montevideo 115</v>
      </c>
    </row>
    <row r="549" spans="1:5">
      <c r="A549" s="1">
        <v>549</v>
      </c>
      <c r="B549" s="1" t="s">
        <v>562</v>
      </c>
      <c r="D549" s="1">
        <f t="shared" si="17"/>
        <v>183</v>
      </c>
      <c r="E549" s="1" t="str">
        <f t="shared" si="16"/>
        <v>Montevideo 115</v>
      </c>
    </row>
    <row r="550" spans="1:5">
      <c r="A550" s="1">
        <v>550</v>
      </c>
      <c r="B550" s="1" t="s">
        <v>563</v>
      </c>
      <c r="D550" s="1">
        <f t="shared" si="17"/>
        <v>184</v>
      </c>
      <c r="E550" s="1" t="str">
        <f t="shared" si="16"/>
        <v>Morato 115</v>
      </c>
    </row>
    <row r="551" spans="1:5">
      <c r="A551" s="1">
        <v>551</v>
      </c>
      <c r="B551" s="1" t="s">
        <v>564</v>
      </c>
      <c r="D551" s="1">
        <f t="shared" si="17"/>
        <v>184</v>
      </c>
      <c r="E551" s="1" t="str">
        <f t="shared" si="16"/>
        <v>Morato 115</v>
      </c>
    </row>
    <row r="552" spans="1:5">
      <c r="A552" s="1">
        <v>552</v>
      </c>
      <c r="B552" s="1" t="s">
        <v>565</v>
      </c>
      <c r="D552" s="1">
        <f t="shared" si="17"/>
        <v>184</v>
      </c>
      <c r="E552" s="1" t="str">
        <f t="shared" si="16"/>
        <v>Morato 115</v>
      </c>
    </row>
    <row r="553" spans="1:5">
      <c r="A553" s="1">
        <v>553</v>
      </c>
      <c r="B553" s="1" t="s">
        <v>566</v>
      </c>
      <c r="D553" s="1">
        <f t="shared" si="17"/>
        <v>185</v>
      </c>
      <c r="E553" s="1" t="str">
        <f t="shared" si="16"/>
        <v>Mosquera 115</v>
      </c>
    </row>
    <row r="554" spans="1:5">
      <c r="A554" s="1">
        <v>554</v>
      </c>
      <c r="B554" s="1" t="s">
        <v>567</v>
      </c>
      <c r="D554" s="1">
        <f t="shared" si="17"/>
        <v>185</v>
      </c>
      <c r="E554" s="1" t="str">
        <f t="shared" si="16"/>
        <v>Mosquera 115</v>
      </c>
    </row>
    <row r="555" spans="1:5">
      <c r="A555" s="1">
        <v>555</v>
      </c>
      <c r="B555" s="1" t="s">
        <v>568</v>
      </c>
      <c r="D555" s="1">
        <f t="shared" si="17"/>
        <v>185</v>
      </c>
      <c r="E555" s="1" t="str">
        <f t="shared" si="16"/>
        <v>Mosquera 115</v>
      </c>
    </row>
    <row r="556" spans="1:5">
      <c r="A556" s="1">
        <v>556</v>
      </c>
      <c r="B556" s="1" t="s">
        <v>569</v>
      </c>
      <c r="D556" s="1">
        <f t="shared" si="17"/>
        <v>186</v>
      </c>
      <c r="E556" s="1" t="str">
        <f t="shared" si="16"/>
        <v>Muzu 115</v>
      </c>
    </row>
    <row r="557" spans="1:5">
      <c r="A557" s="1">
        <v>557</v>
      </c>
      <c r="B557" s="1" t="s">
        <v>570</v>
      </c>
      <c r="D557" s="1">
        <f t="shared" si="17"/>
        <v>186</v>
      </c>
      <c r="E557" s="1" t="str">
        <f t="shared" si="16"/>
        <v>Muzu 115</v>
      </c>
    </row>
    <row r="558" spans="1:5">
      <c r="A558" s="1">
        <v>558</v>
      </c>
      <c r="B558" s="1" t="s">
        <v>571</v>
      </c>
      <c r="D558" s="1">
        <f t="shared" si="17"/>
        <v>186</v>
      </c>
      <c r="E558" s="1" t="str">
        <f t="shared" si="16"/>
        <v>Muzu 115</v>
      </c>
    </row>
    <row r="559" spans="1:5">
      <c r="A559" s="1">
        <v>559</v>
      </c>
      <c r="B559" s="1" t="s">
        <v>572</v>
      </c>
      <c r="D559" s="1">
        <f t="shared" si="17"/>
        <v>187</v>
      </c>
      <c r="E559" s="1" t="str">
        <f t="shared" si="16"/>
        <v>Muña 1 115</v>
      </c>
    </row>
    <row r="560" spans="1:5">
      <c r="A560" s="1">
        <v>560</v>
      </c>
      <c r="B560" s="1" t="s">
        <v>573</v>
      </c>
      <c r="D560" s="1">
        <f t="shared" si="17"/>
        <v>187</v>
      </c>
      <c r="E560" s="1" t="str">
        <f t="shared" si="16"/>
        <v>Muña 1 115</v>
      </c>
    </row>
    <row r="561" spans="1:5">
      <c r="A561" s="1">
        <v>561</v>
      </c>
      <c r="B561" s="1" t="s">
        <v>574</v>
      </c>
      <c r="D561" s="1">
        <f t="shared" si="17"/>
        <v>187</v>
      </c>
      <c r="E561" s="1" t="str">
        <f t="shared" si="16"/>
        <v>Muña 1 115</v>
      </c>
    </row>
    <row r="562" spans="1:5">
      <c r="A562" s="1">
        <v>562</v>
      </c>
      <c r="B562" s="1" t="s">
        <v>575</v>
      </c>
      <c r="D562" s="1">
        <f t="shared" si="17"/>
        <v>188</v>
      </c>
      <c r="E562" s="1" t="str">
        <f t="shared" si="16"/>
        <v>Muña 3 115</v>
      </c>
    </row>
    <row r="563" spans="1:5">
      <c r="A563" s="1">
        <v>563</v>
      </c>
      <c r="B563" s="1" t="s">
        <v>576</v>
      </c>
      <c r="D563" s="1">
        <f t="shared" si="17"/>
        <v>188</v>
      </c>
      <c r="E563" s="1" t="str">
        <f t="shared" si="16"/>
        <v>Muña 3 115</v>
      </c>
    </row>
    <row r="564" spans="1:5">
      <c r="A564" s="1">
        <v>564</v>
      </c>
      <c r="B564" s="1" t="s">
        <v>577</v>
      </c>
      <c r="D564" s="1">
        <f t="shared" si="17"/>
        <v>188</v>
      </c>
      <c r="E564" s="1" t="str">
        <f t="shared" si="16"/>
        <v>Muña 3 115</v>
      </c>
    </row>
    <row r="565" spans="1:5">
      <c r="A565" s="1">
        <v>565</v>
      </c>
      <c r="B565" s="1" t="s">
        <v>578</v>
      </c>
      <c r="D565" s="1">
        <f t="shared" si="17"/>
        <v>189</v>
      </c>
      <c r="E565" s="1" t="str">
        <f t="shared" si="16"/>
        <v>Noroeste 115</v>
      </c>
    </row>
    <row r="566" spans="1:5">
      <c r="A566" s="1">
        <v>566</v>
      </c>
      <c r="B566" s="1" t="s">
        <v>579</v>
      </c>
      <c r="D566" s="1">
        <f t="shared" si="17"/>
        <v>189</v>
      </c>
      <c r="E566" s="1" t="str">
        <f t="shared" si="16"/>
        <v>Noroeste 115</v>
      </c>
    </row>
    <row r="567" spans="1:5">
      <c r="A567" s="1">
        <v>567</v>
      </c>
      <c r="B567" s="1" t="s">
        <v>580</v>
      </c>
      <c r="D567" s="1">
        <f t="shared" si="17"/>
        <v>189</v>
      </c>
      <c r="E567" s="1" t="str">
        <f t="shared" si="16"/>
        <v>Noroeste 115</v>
      </c>
    </row>
    <row r="568" spans="1:5">
      <c r="A568" s="1">
        <v>568</v>
      </c>
      <c r="B568" s="1" t="s">
        <v>581</v>
      </c>
      <c r="D568" s="1">
        <f t="shared" si="17"/>
        <v>190</v>
      </c>
      <c r="E568" s="1" t="str">
        <f t="shared" si="16"/>
        <v>Noroeste 220</v>
      </c>
    </row>
    <row r="569" spans="1:5">
      <c r="A569" s="1">
        <v>569</v>
      </c>
      <c r="B569" s="1" t="s">
        <v>582</v>
      </c>
      <c r="D569" s="1">
        <f t="shared" si="17"/>
        <v>190</v>
      </c>
      <c r="E569" s="1" t="str">
        <f t="shared" si="16"/>
        <v>Noroeste 220</v>
      </c>
    </row>
    <row r="570" spans="1:5">
      <c r="A570" s="1">
        <v>570</v>
      </c>
      <c r="B570" s="1" t="s">
        <v>583</v>
      </c>
      <c r="D570" s="1">
        <f t="shared" si="17"/>
        <v>190</v>
      </c>
      <c r="E570" s="1" t="str">
        <f t="shared" si="16"/>
        <v>Noroeste 220</v>
      </c>
    </row>
    <row r="571" spans="1:5">
      <c r="A571" s="1">
        <v>571</v>
      </c>
      <c r="B571" s="1" t="s">
        <v>584</v>
      </c>
      <c r="D571" s="1">
        <f t="shared" si="17"/>
        <v>191</v>
      </c>
      <c r="E571" s="1" t="str">
        <f t="shared" si="16"/>
        <v>Norte 115</v>
      </c>
    </row>
    <row r="572" spans="1:5">
      <c r="A572" s="1">
        <v>572</v>
      </c>
      <c r="B572" s="1" t="s">
        <v>585</v>
      </c>
      <c r="D572" s="1">
        <f t="shared" si="17"/>
        <v>191</v>
      </c>
      <c r="E572" s="1" t="str">
        <f t="shared" si="16"/>
        <v>Norte 115</v>
      </c>
    </row>
    <row r="573" spans="1:5">
      <c r="A573" s="1">
        <v>573</v>
      </c>
      <c r="B573" s="1" t="s">
        <v>586</v>
      </c>
      <c r="D573" s="1">
        <f t="shared" si="17"/>
        <v>191</v>
      </c>
      <c r="E573" s="1" t="str">
        <f t="shared" si="16"/>
        <v>Norte 115</v>
      </c>
    </row>
    <row r="574" spans="1:5">
      <c r="A574" s="1">
        <v>574</v>
      </c>
      <c r="B574" s="1" t="s">
        <v>587</v>
      </c>
      <c r="D574" s="1">
        <f t="shared" si="17"/>
        <v>192</v>
      </c>
      <c r="E574" s="1" t="str">
        <f t="shared" si="16"/>
        <v>Norte 220</v>
      </c>
    </row>
    <row r="575" spans="1:5">
      <c r="A575" s="1">
        <v>575</v>
      </c>
      <c r="B575" s="1" t="s">
        <v>588</v>
      </c>
      <c r="D575" s="1">
        <f t="shared" si="17"/>
        <v>192</v>
      </c>
      <c r="E575" s="1" t="str">
        <f t="shared" si="16"/>
        <v>Norte 220</v>
      </c>
    </row>
    <row r="576" spans="1:5">
      <c r="A576" s="1">
        <v>576</v>
      </c>
      <c r="B576" s="1" t="s">
        <v>589</v>
      </c>
      <c r="D576" s="1">
        <f t="shared" si="17"/>
        <v>192</v>
      </c>
      <c r="E576" s="1" t="str">
        <f t="shared" si="16"/>
        <v>Norte 220</v>
      </c>
    </row>
    <row r="577" spans="1:5">
      <c r="A577" s="1">
        <v>577</v>
      </c>
      <c r="B577" s="1" t="s">
        <v>590</v>
      </c>
      <c r="D577" s="1">
        <f t="shared" si="17"/>
        <v>193</v>
      </c>
      <c r="E577" s="1" t="str">
        <f t="shared" ref="E577:E640" si="18">+VLOOKUP(D577,$A$1:$B$1076,2,FALSE)</f>
        <v>Norte 500</v>
      </c>
    </row>
    <row r="578" spans="1:5">
      <c r="A578" s="1">
        <v>578</v>
      </c>
      <c r="B578" s="1" t="s">
        <v>313</v>
      </c>
      <c r="D578" s="1">
        <f t="shared" si="17"/>
        <v>193</v>
      </c>
      <c r="E578" s="1" t="str">
        <f t="shared" si="18"/>
        <v>Norte 500</v>
      </c>
    </row>
    <row r="579" spans="1:5">
      <c r="A579" s="1">
        <v>579</v>
      </c>
      <c r="B579" s="1" t="s">
        <v>591</v>
      </c>
      <c r="D579" s="1">
        <f t="shared" si="17"/>
        <v>193</v>
      </c>
      <c r="E579" s="1" t="str">
        <f t="shared" si="18"/>
        <v>Norte 500</v>
      </c>
    </row>
    <row r="580" spans="1:5">
      <c r="A580" s="1">
        <v>580</v>
      </c>
      <c r="B580" s="1" t="s">
        <v>592</v>
      </c>
      <c r="D580" s="1">
        <f t="shared" ref="D580:D643" si="19">+D577+1</f>
        <v>194</v>
      </c>
      <c r="E580" s="1" t="str">
        <f t="shared" si="18"/>
        <v>Nva Esperanza 115</v>
      </c>
    </row>
    <row r="581" spans="1:5">
      <c r="A581" s="1">
        <v>581</v>
      </c>
      <c r="B581" s="1" t="s">
        <v>593</v>
      </c>
      <c r="D581" s="1">
        <f t="shared" si="19"/>
        <v>194</v>
      </c>
      <c r="E581" s="1" t="str">
        <f t="shared" si="18"/>
        <v>Nva Esperanza 115</v>
      </c>
    </row>
    <row r="582" spans="1:5">
      <c r="A582" s="1">
        <v>582</v>
      </c>
      <c r="B582" s="1" t="s">
        <v>594</v>
      </c>
      <c r="D582" s="1">
        <f t="shared" si="19"/>
        <v>194</v>
      </c>
      <c r="E582" s="1" t="str">
        <f t="shared" si="18"/>
        <v>Nva Esperanza 115</v>
      </c>
    </row>
    <row r="583" spans="1:5">
      <c r="A583" s="1">
        <v>583</v>
      </c>
      <c r="B583" s="1" t="s">
        <v>595</v>
      </c>
      <c r="D583" s="1">
        <f t="shared" si="19"/>
        <v>195</v>
      </c>
      <c r="E583" s="1" t="str">
        <f t="shared" si="18"/>
        <v>Nva Esperanza 220</v>
      </c>
    </row>
    <row r="584" spans="1:5">
      <c r="A584" s="1">
        <v>584</v>
      </c>
      <c r="B584" s="1" t="s">
        <v>596</v>
      </c>
      <c r="D584" s="1">
        <f t="shared" si="19"/>
        <v>195</v>
      </c>
      <c r="E584" s="1" t="str">
        <f t="shared" si="18"/>
        <v>Nva Esperanza 220</v>
      </c>
    </row>
    <row r="585" spans="1:5">
      <c r="A585" s="1">
        <v>585</v>
      </c>
      <c r="B585" s="1" t="s">
        <v>597</v>
      </c>
      <c r="D585" s="1">
        <f t="shared" si="19"/>
        <v>195</v>
      </c>
      <c r="E585" s="1" t="str">
        <f t="shared" si="18"/>
        <v>Nva Esperanza 220</v>
      </c>
    </row>
    <row r="586" spans="1:5">
      <c r="A586" s="1">
        <v>586</v>
      </c>
      <c r="B586" s="1" t="s">
        <v>598</v>
      </c>
      <c r="D586" s="1">
        <f t="shared" si="19"/>
        <v>196</v>
      </c>
      <c r="E586" s="1" t="str">
        <f t="shared" si="18"/>
        <v>Nva Esperanza 500</v>
      </c>
    </row>
    <row r="587" spans="1:5">
      <c r="A587" s="1">
        <v>587</v>
      </c>
      <c r="B587" s="1" t="s">
        <v>599</v>
      </c>
      <c r="D587" s="1">
        <f t="shared" si="19"/>
        <v>196</v>
      </c>
      <c r="E587" s="1" t="str">
        <f t="shared" si="18"/>
        <v>Nva Esperanza 500</v>
      </c>
    </row>
    <row r="588" spans="1:5">
      <c r="A588" s="1">
        <v>588</v>
      </c>
      <c r="B588" s="1" t="s">
        <v>600</v>
      </c>
      <c r="D588" s="1">
        <f t="shared" si="19"/>
        <v>196</v>
      </c>
      <c r="E588" s="1" t="str">
        <f t="shared" si="18"/>
        <v>Nva Esperanza 500</v>
      </c>
    </row>
    <row r="589" spans="1:5">
      <c r="A589" s="1">
        <v>589</v>
      </c>
      <c r="B589" s="1" t="s">
        <v>601</v>
      </c>
      <c r="D589" s="1">
        <f t="shared" si="19"/>
        <v>197</v>
      </c>
      <c r="E589" s="1" t="str">
        <f t="shared" si="18"/>
        <v>Paraiso 220</v>
      </c>
    </row>
    <row r="590" spans="1:5">
      <c r="A590" s="1">
        <v>590</v>
      </c>
      <c r="B590" s="1" t="s">
        <v>602</v>
      </c>
      <c r="D590" s="1">
        <f t="shared" si="19"/>
        <v>197</v>
      </c>
      <c r="E590" s="1" t="str">
        <f t="shared" si="18"/>
        <v>Paraiso 220</v>
      </c>
    </row>
    <row r="591" spans="1:5">
      <c r="A591" s="1">
        <v>591</v>
      </c>
      <c r="B591" s="1" t="s">
        <v>603</v>
      </c>
      <c r="D591" s="1">
        <f t="shared" si="19"/>
        <v>197</v>
      </c>
      <c r="E591" s="1" t="str">
        <f t="shared" si="18"/>
        <v>Paraiso 220</v>
      </c>
    </row>
    <row r="592" spans="1:5">
      <c r="A592" s="1">
        <v>592</v>
      </c>
      <c r="D592" s="1">
        <f t="shared" si="19"/>
        <v>198</v>
      </c>
      <c r="E592" s="1" t="str">
        <f t="shared" si="18"/>
        <v>Peldar 115</v>
      </c>
    </row>
    <row r="593" spans="1:5">
      <c r="A593" s="1">
        <v>593</v>
      </c>
      <c r="D593" s="1">
        <f t="shared" si="19"/>
        <v>198</v>
      </c>
      <c r="E593" s="1" t="str">
        <f t="shared" si="18"/>
        <v>Peldar 115</v>
      </c>
    </row>
    <row r="594" spans="1:5">
      <c r="A594" s="1">
        <v>594</v>
      </c>
      <c r="D594" s="1">
        <f t="shared" si="19"/>
        <v>198</v>
      </c>
      <c r="E594" s="1" t="str">
        <f t="shared" si="18"/>
        <v>Peldar 115</v>
      </c>
    </row>
    <row r="595" spans="1:5">
      <c r="A595" s="1">
        <v>595</v>
      </c>
      <c r="D595" s="1">
        <f t="shared" si="19"/>
        <v>199</v>
      </c>
      <c r="E595" s="1" t="str">
        <f t="shared" si="18"/>
        <v>Portugal 115</v>
      </c>
    </row>
    <row r="596" spans="1:5">
      <c r="A596" s="1">
        <v>596</v>
      </c>
      <c r="D596" s="1">
        <f t="shared" si="19"/>
        <v>199</v>
      </c>
      <c r="E596" s="1" t="str">
        <f t="shared" si="18"/>
        <v>Portugal 115</v>
      </c>
    </row>
    <row r="597" spans="1:5">
      <c r="A597" s="1">
        <v>597</v>
      </c>
      <c r="D597" s="1">
        <f t="shared" si="19"/>
        <v>199</v>
      </c>
      <c r="E597" s="1" t="str">
        <f t="shared" si="18"/>
        <v>Portugal 115</v>
      </c>
    </row>
    <row r="598" spans="1:5">
      <c r="A598" s="1">
        <v>598</v>
      </c>
      <c r="D598" s="1">
        <f t="shared" si="19"/>
        <v>200</v>
      </c>
      <c r="E598" s="1" t="str">
        <f t="shared" si="18"/>
        <v>Porvenir 115</v>
      </c>
    </row>
    <row r="599" spans="1:5">
      <c r="A599" s="1">
        <v>599</v>
      </c>
      <c r="D599" s="1">
        <f t="shared" si="19"/>
        <v>200</v>
      </c>
      <c r="E599" s="1" t="str">
        <f t="shared" si="18"/>
        <v>Porvenir 115</v>
      </c>
    </row>
    <row r="600" spans="1:5">
      <c r="A600" s="1">
        <v>600</v>
      </c>
      <c r="D600" s="1">
        <f t="shared" si="19"/>
        <v>200</v>
      </c>
      <c r="E600" s="1" t="str">
        <f t="shared" si="18"/>
        <v>Porvenir 115</v>
      </c>
    </row>
    <row r="601" spans="1:5">
      <c r="A601" s="1">
        <v>601</v>
      </c>
      <c r="D601" s="1">
        <f t="shared" si="19"/>
        <v>201</v>
      </c>
      <c r="E601" s="1" t="str">
        <f t="shared" si="18"/>
        <v>Rubiales 220</v>
      </c>
    </row>
    <row r="602" spans="1:5">
      <c r="A602" s="1">
        <v>602</v>
      </c>
      <c r="D602" s="1">
        <f t="shared" si="19"/>
        <v>201</v>
      </c>
      <c r="E602" s="1" t="str">
        <f t="shared" si="18"/>
        <v>Rubiales 220</v>
      </c>
    </row>
    <row r="603" spans="1:5">
      <c r="A603" s="1">
        <v>603</v>
      </c>
      <c r="D603" s="1">
        <f t="shared" si="19"/>
        <v>201</v>
      </c>
      <c r="E603" s="1" t="str">
        <f t="shared" si="18"/>
        <v>Rubiales 220</v>
      </c>
    </row>
    <row r="604" spans="1:5">
      <c r="A604" s="1">
        <v>604</v>
      </c>
      <c r="D604" s="1">
        <f t="shared" si="19"/>
        <v>202</v>
      </c>
      <c r="E604" s="1" t="str">
        <f t="shared" si="18"/>
        <v>Salitre 115</v>
      </c>
    </row>
    <row r="605" spans="1:5">
      <c r="A605" s="1">
        <v>605</v>
      </c>
      <c r="D605" s="1">
        <f t="shared" si="19"/>
        <v>202</v>
      </c>
      <c r="E605" s="1" t="str">
        <f t="shared" si="18"/>
        <v>Salitre 115</v>
      </c>
    </row>
    <row r="606" spans="1:5">
      <c r="A606" s="1">
        <v>606</v>
      </c>
      <c r="D606" s="1">
        <f t="shared" si="19"/>
        <v>202</v>
      </c>
      <c r="E606" s="1" t="str">
        <f t="shared" si="18"/>
        <v>Salitre 115</v>
      </c>
    </row>
    <row r="607" spans="1:5">
      <c r="A607" s="1">
        <v>607</v>
      </c>
      <c r="D607" s="1">
        <f t="shared" si="19"/>
        <v>203</v>
      </c>
      <c r="E607" s="1" t="str">
        <f t="shared" si="18"/>
        <v>Salitre 57.5</v>
      </c>
    </row>
    <row r="608" spans="1:5">
      <c r="A608" s="1">
        <v>608</v>
      </c>
      <c r="D608" s="1">
        <f t="shared" si="19"/>
        <v>203</v>
      </c>
      <c r="E608" s="1" t="str">
        <f t="shared" si="18"/>
        <v>Salitre 57.5</v>
      </c>
    </row>
    <row r="609" spans="1:5">
      <c r="A609" s="1">
        <v>609</v>
      </c>
      <c r="D609" s="1">
        <f t="shared" si="19"/>
        <v>203</v>
      </c>
      <c r="E609" s="1" t="str">
        <f t="shared" si="18"/>
        <v>Salitre 57.5</v>
      </c>
    </row>
    <row r="610" spans="1:5">
      <c r="A610" s="1">
        <v>610</v>
      </c>
      <c r="D610" s="1">
        <f t="shared" si="19"/>
        <v>204</v>
      </c>
      <c r="E610" s="1" t="str">
        <f t="shared" si="18"/>
        <v>Salto I (Bogota) 115</v>
      </c>
    </row>
    <row r="611" spans="1:5">
      <c r="A611" s="1">
        <v>611</v>
      </c>
      <c r="D611" s="1">
        <f t="shared" si="19"/>
        <v>204</v>
      </c>
      <c r="E611" s="1" t="str">
        <f t="shared" si="18"/>
        <v>Salto I (Bogota) 115</v>
      </c>
    </row>
    <row r="612" spans="1:5">
      <c r="A612" s="1">
        <v>612</v>
      </c>
      <c r="D612" s="1">
        <f t="shared" si="19"/>
        <v>204</v>
      </c>
      <c r="E612" s="1" t="str">
        <f t="shared" si="18"/>
        <v>Salto I (Bogota) 115</v>
      </c>
    </row>
    <row r="613" spans="1:5">
      <c r="A613" s="1">
        <v>613</v>
      </c>
      <c r="D613" s="1">
        <f t="shared" si="19"/>
        <v>205</v>
      </c>
      <c r="E613" s="1" t="str">
        <f t="shared" si="18"/>
        <v>Salto II 115</v>
      </c>
    </row>
    <row r="614" spans="1:5">
      <c r="A614" s="1">
        <v>614</v>
      </c>
      <c r="D614" s="1">
        <f t="shared" si="19"/>
        <v>205</v>
      </c>
      <c r="E614" s="1" t="str">
        <f t="shared" si="18"/>
        <v>Salto II 115</v>
      </c>
    </row>
    <row r="615" spans="1:5">
      <c r="A615" s="1">
        <v>615</v>
      </c>
      <c r="D615" s="1">
        <f t="shared" si="19"/>
        <v>205</v>
      </c>
      <c r="E615" s="1" t="str">
        <f t="shared" si="18"/>
        <v>Salto II 115</v>
      </c>
    </row>
    <row r="616" spans="1:5">
      <c r="A616" s="1">
        <v>616</v>
      </c>
      <c r="D616" s="1">
        <f t="shared" si="19"/>
        <v>206</v>
      </c>
      <c r="E616" s="1" t="str">
        <f t="shared" si="18"/>
        <v>San Jose 115</v>
      </c>
    </row>
    <row r="617" spans="1:5">
      <c r="A617" s="1">
        <v>617</v>
      </c>
      <c r="D617" s="1">
        <f t="shared" si="19"/>
        <v>206</v>
      </c>
      <c r="E617" s="1" t="str">
        <f t="shared" si="18"/>
        <v>San Jose 115</v>
      </c>
    </row>
    <row r="618" spans="1:5">
      <c r="A618" s="1">
        <v>618</v>
      </c>
      <c r="D618" s="1">
        <f t="shared" si="19"/>
        <v>206</v>
      </c>
      <c r="E618" s="1" t="str">
        <f t="shared" si="18"/>
        <v>San Jose 115</v>
      </c>
    </row>
    <row r="619" spans="1:5">
      <c r="A619" s="1">
        <v>619</v>
      </c>
      <c r="D619" s="1">
        <f t="shared" si="19"/>
        <v>207</v>
      </c>
      <c r="E619" s="1" t="str">
        <f t="shared" si="18"/>
        <v>San Mateo (Bogota) 220</v>
      </c>
    </row>
    <row r="620" spans="1:5">
      <c r="A620" s="1">
        <v>620</v>
      </c>
      <c r="D620" s="1">
        <f t="shared" si="19"/>
        <v>207</v>
      </c>
      <c r="E620" s="1" t="str">
        <f t="shared" si="18"/>
        <v>San Mateo (Bogota) 220</v>
      </c>
    </row>
    <row r="621" spans="1:5">
      <c r="A621" s="1">
        <v>621</v>
      </c>
      <c r="D621" s="1">
        <f t="shared" si="19"/>
        <v>207</v>
      </c>
      <c r="E621" s="1" t="str">
        <f t="shared" si="18"/>
        <v>San Mateo (Bogota) 220</v>
      </c>
    </row>
    <row r="622" spans="1:5">
      <c r="A622" s="1">
        <v>622</v>
      </c>
      <c r="D622" s="1">
        <f t="shared" si="19"/>
        <v>208</v>
      </c>
      <c r="E622" s="1" t="str">
        <f t="shared" si="18"/>
        <v>Santa Maria 115</v>
      </c>
    </row>
    <row r="623" spans="1:5">
      <c r="A623" s="1">
        <v>623</v>
      </c>
      <c r="D623" s="1">
        <f t="shared" si="19"/>
        <v>208</v>
      </c>
      <c r="E623" s="1" t="str">
        <f t="shared" si="18"/>
        <v>Santa Maria 115</v>
      </c>
    </row>
    <row r="624" spans="1:5">
      <c r="A624" s="1">
        <v>624</v>
      </c>
      <c r="D624" s="1">
        <f t="shared" si="19"/>
        <v>208</v>
      </c>
      <c r="E624" s="1" t="str">
        <f t="shared" si="18"/>
        <v>Santa Maria 115</v>
      </c>
    </row>
    <row r="625" spans="1:5">
      <c r="A625" s="1">
        <v>625</v>
      </c>
      <c r="D625" s="1">
        <f t="shared" si="19"/>
        <v>209</v>
      </c>
      <c r="E625" s="1" t="str">
        <f t="shared" si="18"/>
        <v>Sauces 115</v>
      </c>
    </row>
    <row r="626" spans="1:5">
      <c r="A626" s="1">
        <v>626</v>
      </c>
      <c r="D626" s="1">
        <f t="shared" si="19"/>
        <v>209</v>
      </c>
      <c r="E626" s="1" t="str">
        <f t="shared" si="18"/>
        <v>Sauces 115</v>
      </c>
    </row>
    <row r="627" spans="1:5">
      <c r="A627" s="1">
        <v>627</v>
      </c>
      <c r="D627" s="1">
        <f t="shared" si="19"/>
        <v>209</v>
      </c>
      <c r="E627" s="1" t="str">
        <f t="shared" si="18"/>
        <v>Sauces 115</v>
      </c>
    </row>
    <row r="628" spans="1:5">
      <c r="A628" s="1">
        <v>628</v>
      </c>
      <c r="D628" s="1">
        <f t="shared" si="19"/>
        <v>210</v>
      </c>
      <c r="E628" s="1" t="str">
        <f t="shared" si="18"/>
        <v>Sesquile 115</v>
      </c>
    </row>
    <row r="629" spans="1:5">
      <c r="A629" s="1">
        <v>629</v>
      </c>
      <c r="D629" s="1">
        <f t="shared" si="19"/>
        <v>210</v>
      </c>
      <c r="E629" s="1" t="str">
        <f t="shared" si="18"/>
        <v>Sesquile 115</v>
      </c>
    </row>
    <row r="630" spans="1:5">
      <c r="A630" s="1">
        <v>630</v>
      </c>
      <c r="D630" s="1">
        <f t="shared" si="19"/>
        <v>210</v>
      </c>
      <c r="E630" s="1" t="str">
        <f t="shared" si="18"/>
        <v>Sesquile 115</v>
      </c>
    </row>
    <row r="631" spans="1:5">
      <c r="A631" s="1">
        <v>631</v>
      </c>
      <c r="D631" s="1">
        <f t="shared" si="19"/>
        <v>211</v>
      </c>
      <c r="E631" s="1" t="str">
        <f t="shared" si="18"/>
        <v>Simijaca 115</v>
      </c>
    </row>
    <row r="632" spans="1:5">
      <c r="A632" s="1">
        <v>632</v>
      </c>
      <c r="D632" s="1">
        <f t="shared" si="19"/>
        <v>211</v>
      </c>
      <c r="E632" s="1" t="str">
        <f t="shared" si="18"/>
        <v>Simijaca 115</v>
      </c>
    </row>
    <row r="633" spans="1:5">
      <c r="A633" s="1">
        <v>633</v>
      </c>
      <c r="D633" s="1">
        <f t="shared" si="19"/>
        <v>211</v>
      </c>
      <c r="E633" s="1" t="str">
        <f t="shared" si="18"/>
        <v>Simijaca 115</v>
      </c>
    </row>
    <row r="634" spans="1:5">
      <c r="A634" s="1">
        <v>634</v>
      </c>
      <c r="D634" s="1">
        <f t="shared" si="19"/>
        <v>212</v>
      </c>
      <c r="E634" s="1" t="str">
        <f t="shared" si="18"/>
        <v>Sn Carlos EEB 115</v>
      </c>
    </row>
    <row r="635" spans="1:5">
      <c r="A635" s="1">
        <v>635</v>
      </c>
      <c r="D635" s="1">
        <f t="shared" si="19"/>
        <v>212</v>
      </c>
      <c r="E635" s="1" t="str">
        <f t="shared" si="18"/>
        <v>Sn Carlos EEB 115</v>
      </c>
    </row>
    <row r="636" spans="1:5">
      <c r="A636" s="1">
        <v>636</v>
      </c>
      <c r="D636" s="1">
        <f t="shared" si="19"/>
        <v>212</v>
      </c>
      <c r="E636" s="1" t="str">
        <f t="shared" si="18"/>
        <v>Sn Carlos EEB 115</v>
      </c>
    </row>
    <row r="637" spans="1:5">
      <c r="A637" s="1">
        <v>637</v>
      </c>
      <c r="D637" s="1">
        <f t="shared" si="19"/>
        <v>213</v>
      </c>
      <c r="E637" s="1" t="str">
        <f t="shared" si="18"/>
        <v>Suba 115</v>
      </c>
    </row>
    <row r="638" spans="1:5">
      <c r="A638" s="1">
        <v>638</v>
      </c>
      <c r="D638" s="1">
        <f t="shared" si="19"/>
        <v>213</v>
      </c>
      <c r="E638" s="1" t="str">
        <f t="shared" si="18"/>
        <v>Suba 115</v>
      </c>
    </row>
    <row r="639" spans="1:5">
      <c r="A639" s="1">
        <v>639</v>
      </c>
      <c r="D639" s="1">
        <f t="shared" si="19"/>
        <v>213</v>
      </c>
      <c r="E639" s="1" t="str">
        <f t="shared" si="18"/>
        <v>Suba 115</v>
      </c>
    </row>
    <row r="640" spans="1:5">
      <c r="A640" s="1">
        <v>640</v>
      </c>
      <c r="D640" s="1">
        <f t="shared" si="19"/>
        <v>214</v>
      </c>
      <c r="E640" s="1" t="str">
        <f t="shared" si="18"/>
        <v>Techo 115</v>
      </c>
    </row>
    <row r="641" spans="1:5">
      <c r="A641" s="1">
        <v>641</v>
      </c>
      <c r="D641" s="1">
        <f t="shared" si="19"/>
        <v>214</v>
      </c>
      <c r="E641" s="1" t="str">
        <f t="shared" ref="E641:E704" si="20">+VLOOKUP(D641,$A$1:$B$1076,2,FALSE)</f>
        <v>Techo 115</v>
      </c>
    </row>
    <row r="642" spans="1:5">
      <c r="A642" s="1">
        <v>642</v>
      </c>
      <c r="D642" s="1">
        <f t="shared" si="19"/>
        <v>214</v>
      </c>
      <c r="E642" s="1" t="str">
        <f t="shared" si="20"/>
        <v>Techo 115</v>
      </c>
    </row>
    <row r="643" spans="1:5">
      <c r="A643" s="1">
        <v>643</v>
      </c>
      <c r="D643" s="1">
        <f t="shared" si="19"/>
        <v>215</v>
      </c>
      <c r="E643" s="1" t="str">
        <f t="shared" si="20"/>
        <v>Tenjo 115</v>
      </c>
    </row>
    <row r="644" spans="1:5">
      <c r="A644" s="1">
        <v>644</v>
      </c>
      <c r="D644" s="1">
        <f t="shared" ref="D644:D707" si="21">+D641+1</f>
        <v>215</v>
      </c>
      <c r="E644" s="1" t="str">
        <f t="shared" si="20"/>
        <v>Tenjo 115</v>
      </c>
    </row>
    <row r="645" spans="1:5">
      <c r="A645" s="1">
        <v>645</v>
      </c>
      <c r="D645" s="1">
        <f t="shared" si="21"/>
        <v>215</v>
      </c>
      <c r="E645" s="1" t="str">
        <f t="shared" si="20"/>
        <v>Tenjo 115</v>
      </c>
    </row>
    <row r="646" spans="1:5">
      <c r="A646" s="1">
        <v>646</v>
      </c>
      <c r="D646" s="1">
        <f t="shared" si="21"/>
        <v>216</v>
      </c>
      <c r="E646" s="1" t="str">
        <f t="shared" si="20"/>
        <v>Terminal 115</v>
      </c>
    </row>
    <row r="647" spans="1:5">
      <c r="A647" s="1">
        <v>647</v>
      </c>
      <c r="D647" s="1">
        <f t="shared" si="21"/>
        <v>216</v>
      </c>
      <c r="E647" s="1" t="str">
        <f t="shared" si="20"/>
        <v>Terminal 115</v>
      </c>
    </row>
    <row r="648" spans="1:5">
      <c r="A648" s="1">
        <v>648</v>
      </c>
      <c r="D648" s="1">
        <f t="shared" si="21"/>
        <v>216</v>
      </c>
      <c r="E648" s="1" t="str">
        <f t="shared" si="20"/>
        <v>Terminal 115</v>
      </c>
    </row>
    <row r="649" spans="1:5">
      <c r="A649" s="1">
        <v>649</v>
      </c>
      <c r="D649" s="1">
        <f t="shared" si="21"/>
        <v>217</v>
      </c>
      <c r="E649" s="1" t="str">
        <f t="shared" si="20"/>
        <v>Termo Zipa 115</v>
      </c>
    </row>
    <row r="650" spans="1:5">
      <c r="A650" s="1">
        <v>650</v>
      </c>
      <c r="D650" s="1">
        <f t="shared" si="21"/>
        <v>217</v>
      </c>
      <c r="E650" s="1" t="str">
        <f t="shared" si="20"/>
        <v>Termo Zipa 115</v>
      </c>
    </row>
    <row r="651" spans="1:5">
      <c r="A651" s="1">
        <v>651</v>
      </c>
      <c r="D651" s="1">
        <f t="shared" si="21"/>
        <v>217</v>
      </c>
      <c r="E651" s="1" t="str">
        <f t="shared" si="20"/>
        <v>Termo Zipa 115</v>
      </c>
    </row>
    <row r="652" spans="1:5">
      <c r="A652" s="1">
        <v>652</v>
      </c>
      <c r="D652" s="1">
        <f t="shared" si="21"/>
        <v>218</v>
      </c>
      <c r="E652" s="1" t="str">
        <f t="shared" si="20"/>
        <v>Tibabuyes 115</v>
      </c>
    </row>
    <row r="653" spans="1:5">
      <c r="A653" s="1">
        <v>653</v>
      </c>
      <c r="D653" s="1">
        <f t="shared" si="21"/>
        <v>218</v>
      </c>
      <c r="E653" s="1" t="str">
        <f t="shared" si="20"/>
        <v>Tibabuyes 115</v>
      </c>
    </row>
    <row r="654" spans="1:5">
      <c r="A654" s="1">
        <v>654</v>
      </c>
      <c r="D654" s="1">
        <f t="shared" si="21"/>
        <v>218</v>
      </c>
      <c r="E654" s="1" t="str">
        <f t="shared" si="20"/>
        <v>Tibabuyes 115</v>
      </c>
    </row>
    <row r="655" spans="1:5">
      <c r="A655" s="1">
        <v>655</v>
      </c>
      <c r="D655" s="1">
        <f t="shared" si="21"/>
        <v>219</v>
      </c>
      <c r="E655" s="1" t="str">
        <f t="shared" si="20"/>
        <v>Torca 115</v>
      </c>
    </row>
    <row r="656" spans="1:5">
      <c r="A656" s="1">
        <v>656</v>
      </c>
      <c r="D656" s="1">
        <f t="shared" si="21"/>
        <v>219</v>
      </c>
      <c r="E656" s="1" t="str">
        <f t="shared" si="20"/>
        <v>Torca 115</v>
      </c>
    </row>
    <row r="657" spans="1:5">
      <c r="A657" s="1">
        <v>657</v>
      </c>
      <c r="D657" s="1">
        <f t="shared" si="21"/>
        <v>219</v>
      </c>
      <c r="E657" s="1" t="str">
        <f t="shared" si="20"/>
        <v>Torca 115</v>
      </c>
    </row>
    <row r="658" spans="1:5">
      <c r="A658" s="1">
        <v>658</v>
      </c>
      <c r="D658" s="1">
        <f t="shared" si="21"/>
        <v>220</v>
      </c>
      <c r="E658" s="1" t="str">
        <f t="shared" si="20"/>
        <v>Torca 220</v>
      </c>
    </row>
    <row r="659" spans="1:5">
      <c r="A659" s="1">
        <v>659</v>
      </c>
      <c r="D659" s="1">
        <f t="shared" si="21"/>
        <v>220</v>
      </c>
      <c r="E659" s="1" t="str">
        <f t="shared" si="20"/>
        <v>Torca 220</v>
      </c>
    </row>
    <row r="660" spans="1:5">
      <c r="A660" s="1">
        <v>660</v>
      </c>
      <c r="D660" s="1">
        <f t="shared" si="21"/>
        <v>220</v>
      </c>
      <c r="E660" s="1" t="str">
        <f t="shared" si="20"/>
        <v>Torca 220</v>
      </c>
    </row>
    <row r="661" spans="1:5">
      <c r="A661" s="1">
        <v>661</v>
      </c>
      <c r="D661" s="1">
        <f t="shared" si="21"/>
        <v>221</v>
      </c>
      <c r="E661" s="1" t="str">
        <f t="shared" si="20"/>
        <v>Tren Occ 115</v>
      </c>
    </row>
    <row r="662" spans="1:5">
      <c r="A662" s="1">
        <v>662</v>
      </c>
      <c r="D662" s="1">
        <f t="shared" si="21"/>
        <v>221</v>
      </c>
      <c r="E662" s="1" t="str">
        <f t="shared" si="20"/>
        <v>Tren Occ 115</v>
      </c>
    </row>
    <row r="663" spans="1:5">
      <c r="A663" s="1">
        <v>663</v>
      </c>
      <c r="D663" s="1">
        <f t="shared" si="21"/>
        <v>221</v>
      </c>
      <c r="E663" s="1" t="str">
        <f t="shared" si="20"/>
        <v>Tren Occ 115</v>
      </c>
    </row>
    <row r="664" spans="1:5">
      <c r="A664" s="1">
        <v>664</v>
      </c>
      <c r="D664" s="1">
        <f t="shared" si="21"/>
        <v>222</v>
      </c>
      <c r="E664" s="1" t="str">
        <f t="shared" si="20"/>
        <v>Tunal 115</v>
      </c>
    </row>
    <row r="665" spans="1:5">
      <c r="A665" s="1">
        <v>665</v>
      </c>
      <c r="D665" s="1">
        <f t="shared" si="21"/>
        <v>222</v>
      </c>
      <c r="E665" s="1" t="str">
        <f t="shared" si="20"/>
        <v>Tunal 115</v>
      </c>
    </row>
    <row r="666" spans="1:5">
      <c r="A666" s="1">
        <v>666</v>
      </c>
      <c r="D666" s="1">
        <f t="shared" si="21"/>
        <v>222</v>
      </c>
      <c r="E666" s="1" t="str">
        <f t="shared" si="20"/>
        <v>Tunal 115</v>
      </c>
    </row>
    <row r="667" spans="1:5">
      <c r="A667" s="1">
        <v>667</v>
      </c>
      <c r="D667" s="1">
        <f t="shared" si="21"/>
        <v>223</v>
      </c>
      <c r="E667" s="1" t="str">
        <f t="shared" si="20"/>
        <v>Tunal 220</v>
      </c>
    </row>
    <row r="668" spans="1:5">
      <c r="A668" s="1">
        <v>668</v>
      </c>
      <c r="D668" s="1">
        <f t="shared" si="21"/>
        <v>223</v>
      </c>
      <c r="E668" s="1" t="str">
        <f t="shared" si="20"/>
        <v>Tunal 220</v>
      </c>
    </row>
    <row r="669" spans="1:5">
      <c r="A669" s="1">
        <v>669</v>
      </c>
      <c r="D669" s="1">
        <f t="shared" si="21"/>
        <v>223</v>
      </c>
      <c r="E669" s="1" t="str">
        <f t="shared" si="20"/>
        <v>Tunal 220</v>
      </c>
    </row>
    <row r="670" spans="1:5">
      <c r="A670" s="1">
        <v>670</v>
      </c>
      <c r="D670" s="1">
        <f t="shared" si="21"/>
        <v>224</v>
      </c>
      <c r="E670" s="1" t="str">
        <f t="shared" si="20"/>
        <v>Tunjita 115</v>
      </c>
    </row>
    <row r="671" spans="1:5">
      <c r="A671" s="1">
        <v>671</v>
      </c>
      <c r="D671" s="1">
        <f t="shared" si="21"/>
        <v>224</v>
      </c>
      <c r="E671" s="1" t="str">
        <f t="shared" si="20"/>
        <v>Tunjita 115</v>
      </c>
    </row>
    <row r="672" spans="1:5">
      <c r="A672" s="1">
        <v>672</v>
      </c>
      <c r="D672" s="1">
        <f t="shared" si="21"/>
        <v>224</v>
      </c>
      <c r="E672" s="1" t="str">
        <f t="shared" si="20"/>
        <v>Tunjita 115</v>
      </c>
    </row>
    <row r="673" spans="1:5">
      <c r="A673" s="1">
        <v>673</v>
      </c>
      <c r="D673" s="1">
        <f t="shared" si="21"/>
        <v>225</v>
      </c>
      <c r="E673" s="1" t="str">
        <f t="shared" si="20"/>
        <v>Ubala 115</v>
      </c>
    </row>
    <row r="674" spans="1:5">
      <c r="A674" s="1">
        <v>674</v>
      </c>
      <c r="D674" s="1">
        <f t="shared" si="21"/>
        <v>225</v>
      </c>
      <c r="E674" s="1" t="str">
        <f t="shared" si="20"/>
        <v>Ubala 115</v>
      </c>
    </row>
    <row r="675" spans="1:5">
      <c r="A675" s="1">
        <v>675</v>
      </c>
      <c r="D675" s="1">
        <f t="shared" si="21"/>
        <v>225</v>
      </c>
      <c r="E675" s="1" t="str">
        <f t="shared" si="20"/>
        <v>Ubala 115</v>
      </c>
    </row>
    <row r="676" spans="1:5">
      <c r="A676" s="1">
        <v>676</v>
      </c>
      <c r="D676" s="1">
        <f t="shared" si="21"/>
        <v>226</v>
      </c>
      <c r="E676" s="1" t="str">
        <f t="shared" si="20"/>
        <v>Ubate 115</v>
      </c>
    </row>
    <row r="677" spans="1:5">
      <c r="A677" s="1">
        <v>677</v>
      </c>
      <c r="D677" s="1">
        <f t="shared" si="21"/>
        <v>226</v>
      </c>
      <c r="E677" s="1" t="str">
        <f t="shared" si="20"/>
        <v>Ubate 115</v>
      </c>
    </row>
    <row r="678" spans="1:5">
      <c r="A678" s="1">
        <v>678</v>
      </c>
      <c r="D678" s="1">
        <f t="shared" si="21"/>
        <v>226</v>
      </c>
      <c r="E678" s="1" t="str">
        <f t="shared" si="20"/>
        <v>Ubate 115</v>
      </c>
    </row>
    <row r="679" spans="1:5">
      <c r="A679" s="1">
        <v>679</v>
      </c>
      <c r="D679" s="1">
        <f t="shared" si="21"/>
        <v>227</v>
      </c>
      <c r="E679" s="1" t="str">
        <f t="shared" si="20"/>
        <v>Usaquen 115</v>
      </c>
    </row>
    <row r="680" spans="1:5">
      <c r="A680" s="1">
        <v>680</v>
      </c>
      <c r="D680" s="1">
        <f t="shared" si="21"/>
        <v>227</v>
      </c>
      <c r="E680" s="1" t="str">
        <f t="shared" si="20"/>
        <v>Usaquen 115</v>
      </c>
    </row>
    <row r="681" spans="1:5">
      <c r="A681" s="1">
        <v>681</v>
      </c>
      <c r="D681" s="1">
        <f t="shared" si="21"/>
        <v>227</v>
      </c>
      <c r="E681" s="1" t="str">
        <f t="shared" si="20"/>
        <v>Usaquen 115</v>
      </c>
    </row>
    <row r="682" spans="1:5">
      <c r="A682" s="1">
        <v>682</v>
      </c>
      <c r="D682" s="1">
        <f t="shared" si="21"/>
        <v>228</v>
      </c>
      <c r="E682" s="1" t="str">
        <f t="shared" si="20"/>
        <v>Usme 115</v>
      </c>
    </row>
    <row r="683" spans="1:5">
      <c r="A683" s="1">
        <v>683</v>
      </c>
      <c r="D683" s="1">
        <f t="shared" si="21"/>
        <v>228</v>
      </c>
      <c r="E683" s="1" t="str">
        <f t="shared" si="20"/>
        <v>Usme 115</v>
      </c>
    </row>
    <row r="684" spans="1:5">
      <c r="A684" s="1">
        <v>684</v>
      </c>
      <c r="D684" s="1">
        <f t="shared" si="21"/>
        <v>228</v>
      </c>
      <c r="E684" s="1" t="str">
        <f t="shared" si="20"/>
        <v>Usme 115</v>
      </c>
    </row>
    <row r="685" spans="1:5">
      <c r="A685" s="1">
        <v>685</v>
      </c>
      <c r="D685" s="1">
        <f t="shared" si="21"/>
        <v>229</v>
      </c>
      <c r="E685" s="1" t="str">
        <f t="shared" si="20"/>
        <v>Veraguas 115</v>
      </c>
    </row>
    <row r="686" spans="1:5">
      <c r="A686" s="1">
        <v>686</v>
      </c>
      <c r="D686" s="1">
        <f t="shared" si="21"/>
        <v>229</v>
      </c>
      <c r="E686" s="1" t="str">
        <f t="shared" si="20"/>
        <v>Veraguas 115</v>
      </c>
    </row>
    <row r="687" spans="1:5">
      <c r="A687" s="1">
        <v>687</v>
      </c>
      <c r="D687" s="1">
        <f t="shared" si="21"/>
        <v>229</v>
      </c>
      <c r="E687" s="1" t="str">
        <f t="shared" si="20"/>
        <v>Veraguas 115</v>
      </c>
    </row>
    <row r="688" spans="1:5">
      <c r="A688" s="1">
        <v>688</v>
      </c>
      <c r="D688" s="1">
        <f t="shared" si="21"/>
        <v>230</v>
      </c>
      <c r="E688" s="1" t="str">
        <f t="shared" si="20"/>
        <v>Veraguas 57.5</v>
      </c>
    </row>
    <row r="689" spans="1:5">
      <c r="A689" s="1">
        <v>689</v>
      </c>
      <c r="D689" s="1">
        <f t="shared" si="21"/>
        <v>230</v>
      </c>
      <c r="E689" s="1" t="str">
        <f t="shared" si="20"/>
        <v>Veraguas 57.5</v>
      </c>
    </row>
    <row r="690" spans="1:5">
      <c r="A690" s="1">
        <v>690</v>
      </c>
      <c r="D690" s="1">
        <f t="shared" si="21"/>
        <v>230</v>
      </c>
      <c r="E690" s="1" t="str">
        <f t="shared" si="20"/>
        <v>Veraguas 57.5</v>
      </c>
    </row>
    <row r="691" spans="1:5">
      <c r="A691" s="1">
        <v>691</v>
      </c>
      <c r="D691" s="1">
        <f t="shared" si="21"/>
        <v>231</v>
      </c>
      <c r="E691" s="1" t="str">
        <f t="shared" si="20"/>
        <v>Victoria EEB 115</v>
      </c>
    </row>
    <row r="692" spans="1:5">
      <c r="A692" s="1">
        <v>692</v>
      </c>
      <c r="D692" s="1">
        <f t="shared" si="21"/>
        <v>231</v>
      </c>
      <c r="E692" s="1" t="str">
        <f t="shared" si="20"/>
        <v>Victoria EEB 115</v>
      </c>
    </row>
    <row r="693" spans="1:5">
      <c r="A693" s="1">
        <v>693</v>
      </c>
      <c r="D693" s="1">
        <f t="shared" si="21"/>
        <v>231</v>
      </c>
      <c r="E693" s="1" t="str">
        <f t="shared" si="20"/>
        <v>Victoria EEB 115</v>
      </c>
    </row>
    <row r="694" spans="1:5">
      <c r="A694" s="1">
        <v>694</v>
      </c>
      <c r="D694" s="1">
        <f t="shared" si="21"/>
        <v>232</v>
      </c>
      <c r="E694" s="1" t="str">
        <f t="shared" si="20"/>
        <v>Villeta 115</v>
      </c>
    </row>
    <row r="695" spans="1:5">
      <c r="A695" s="1">
        <v>695</v>
      </c>
      <c r="D695" s="1">
        <f t="shared" si="21"/>
        <v>232</v>
      </c>
      <c r="E695" s="1" t="str">
        <f t="shared" si="20"/>
        <v>Villeta 115</v>
      </c>
    </row>
    <row r="696" spans="1:5">
      <c r="A696" s="1">
        <v>696</v>
      </c>
      <c r="D696" s="1">
        <f t="shared" si="21"/>
        <v>232</v>
      </c>
      <c r="E696" s="1" t="str">
        <f t="shared" si="20"/>
        <v>Villeta 115</v>
      </c>
    </row>
    <row r="697" spans="1:5">
      <c r="A697" s="1">
        <v>697</v>
      </c>
      <c r="D697" s="1">
        <f t="shared" si="21"/>
        <v>233</v>
      </c>
      <c r="E697" s="1" t="str">
        <f t="shared" si="20"/>
        <v>Zipaquira 115</v>
      </c>
    </row>
    <row r="698" spans="1:5">
      <c r="A698" s="1">
        <v>698</v>
      </c>
      <c r="D698" s="1">
        <f t="shared" si="21"/>
        <v>233</v>
      </c>
      <c r="E698" s="1" t="str">
        <f t="shared" si="20"/>
        <v>Zipaquira 115</v>
      </c>
    </row>
    <row r="699" spans="1:5">
      <c r="A699" s="1">
        <v>699</v>
      </c>
      <c r="D699" s="1">
        <f t="shared" si="21"/>
        <v>233</v>
      </c>
      <c r="E699" s="1" t="str">
        <f t="shared" si="20"/>
        <v>Zipaquira 115</v>
      </c>
    </row>
    <row r="700" spans="1:5">
      <c r="A700" s="1">
        <v>700</v>
      </c>
      <c r="D700" s="1">
        <f t="shared" si="21"/>
        <v>234</v>
      </c>
      <c r="E700" s="1" t="str">
        <f t="shared" si="20"/>
        <v>Argos 110</v>
      </c>
    </row>
    <row r="701" spans="1:5">
      <c r="A701" s="1">
        <v>701</v>
      </c>
      <c r="D701" s="1">
        <f t="shared" si="21"/>
        <v>234</v>
      </c>
      <c r="E701" s="1" t="str">
        <f t="shared" si="20"/>
        <v>Argos 110</v>
      </c>
    </row>
    <row r="702" spans="1:5">
      <c r="A702" s="1">
        <v>702</v>
      </c>
      <c r="D702" s="1">
        <f t="shared" si="21"/>
        <v>234</v>
      </c>
      <c r="E702" s="1" t="str">
        <f t="shared" si="20"/>
        <v>Argos 110</v>
      </c>
    </row>
    <row r="703" spans="1:5">
      <c r="A703" s="1">
        <v>703</v>
      </c>
      <c r="D703" s="1">
        <f t="shared" si="21"/>
        <v>235</v>
      </c>
      <c r="E703" s="1" t="str">
        <f t="shared" si="20"/>
        <v>Bayunca 66</v>
      </c>
    </row>
    <row r="704" spans="1:5">
      <c r="A704" s="1">
        <v>704</v>
      </c>
      <c r="D704" s="1">
        <f t="shared" si="21"/>
        <v>235</v>
      </c>
      <c r="E704" s="1" t="str">
        <f t="shared" si="20"/>
        <v>Bayunca 66</v>
      </c>
    </row>
    <row r="705" spans="1:5">
      <c r="A705" s="1">
        <v>705</v>
      </c>
      <c r="D705" s="1">
        <f t="shared" si="21"/>
        <v>235</v>
      </c>
      <c r="E705" s="1" t="str">
        <f t="shared" ref="E705:E768" si="22">+VLOOKUP(D705,$A$1:$B$1076,2,FALSE)</f>
        <v>Bayunca 66</v>
      </c>
    </row>
    <row r="706" spans="1:5">
      <c r="A706" s="1">
        <v>706</v>
      </c>
      <c r="D706" s="1">
        <f t="shared" si="21"/>
        <v>236</v>
      </c>
      <c r="E706" s="1" t="str">
        <f t="shared" si="22"/>
        <v>Byrande 66</v>
      </c>
    </row>
    <row r="707" spans="1:5">
      <c r="A707" s="1">
        <v>707</v>
      </c>
      <c r="D707" s="1">
        <f t="shared" si="21"/>
        <v>236</v>
      </c>
      <c r="E707" s="1" t="str">
        <f t="shared" si="22"/>
        <v>Byrande 66</v>
      </c>
    </row>
    <row r="708" spans="1:5">
      <c r="A708" s="1">
        <v>708</v>
      </c>
      <c r="D708" s="1">
        <f t="shared" ref="D708:D771" si="23">+D705+1</f>
        <v>236</v>
      </c>
      <c r="E708" s="1" t="str">
        <f t="shared" si="22"/>
        <v>Byrande 66</v>
      </c>
    </row>
    <row r="709" spans="1:5">
      <c r="A709" s="1">
        <v>709</v>
      </c>
      <c r="D709" s="1">
        <f t="shared" si="23"/>
        <v>237</v>
      </c>
      <c r="E709" s="1" t="str">
        <f t="shared" si="22"/>
        <v>Bolivar 220</v>
      </c>
    </row>
    <row r="710" spans="1:5">
      <c r="A710" s="1">
        <v>710</v>
      </c>
      <c r="D710" s="1">
        <f t="shared" si="23"/>
        <v>237</v>
      </c>
      <c r="E710" s="1" t="str">
        <f t="shared" si="22"/>
        <v>Bolivar 220</v>
      </c>
    </row>
    <row r="711" spans="1:5">
      <c r="A711" s="1">
        <v>711</v>
      </c>
      <c r="D711" s="1">
        <f t="shared" si="23"/>
        <v>237</v>
      </c>
      <c r="E711" s="1" t="str">
        <f t="shared" si="22"/>
        <v>Bolivar 220</v>
      </c>
    </row>
    <row r="712" spans="1:5">
      <c r="A712" s="1">
        <v>712</v>
      </c>
      <c r="D712" s="1">
        <f t="shared" si="23"/>
        <v>238</v>
      </c>
      <c r="E712" s="1" t="str">
        <f t="shared" si="22"/>
        <v>Bolivar 500</v>
      </c>
    </row>
    <row r="713" spans="1:5">
      <c r="A713" s="1">
        <v>713</v>
      </c>
      <c r="D713" s="1">
        <f t="shared" si="23"/>
        <v>238</v>
      </c>
      <c r="E713" s="1" t="str">
        <f t="shared" si="22"/>
        <v>Bolivar 500</v>
      </c>
    </row>
    <row r="714" spans="1:5">
      <c r="A714" s="1">
        <v>714</v>
      </c>
      <c r="D714" s="1">
        <f t="shared" si="23"/>
        <v>238</v>
      </c>
      <c r="E714" s="1" t="str">
        <f t="shared" si="22"/>
        <v>Bolivar 500</v>
      </c>
    </row>
    <row r="715" spans="1:5">
      <c r="A715" s="1">
        <v>715</v>
      </c>
      <c r="D715" s="1">
        <f t="shared" si="23"/>
        <v>239</v>
      </c>
      <c r="E715" s="1" t="str">
        <f t="shared" si="22"/>
        <v>Bolivar 66</v>
      </c>
    </row>
    <row r="716" spans="1:5">
      <c r="A716" s="1">
        <v>716</v>
      </c>
      <c r="D716" s="1">
        <f t="shared" si="23"/>
        <v>239</v>
      </c>
      <c r="E716" s="1" t="str">
        <f t="shared" si="22"/>
        <v>Bolivar 66</v>
      </c>
    </row>
    <row r="717" spans="1:5">
      <c r="A717" s="1">
        <v>717</v>
      </c>
      <c r="D717" s="1">
        <f t="shared" si="23"/>
        <v>239</v>
      </c>
      <c r="E717" s="1" t="str">
        <f t="shared" si="22"/>
        <v>Bolivar 66</v>
      </c>
    </row>
    <row r="718" spans="1:5">
      <c r="A718" s="1">
        <v>718</v>
      </c>
      <c r="D718" s="1">
        <f t="shared" si="23"/>
        <v>240</v>
      </c>
      <c r="E718" s="1" t="str">
        <f t="shared" si="22"/>
        <v>Bosque 220</v>
      </c>
    </row>
    <row r="719" spans="1:5">
      <c r="A719" s="1">
        <v>719</v>
      </c>
      <c r="D719" s="1">
        <f t="shared" si="23"/>
        <v>240</v>
      </c>
      <c r="E719" s="1" t="str">
        <f t="shared" si="22"/>
        <v>Bosque 220</v>
      </c>
    </row>
    <row r="720" spans="1:5">
      <c r="A720" s="1">
        <v>720</v>
      </c>
      <c r="D720" s="1">
        <f t="shared" si="23"/>
        <v>240</v>
      </c>
      <c r="E720" s="1" t="str">
        <f t="shared" si="22"/>
        <v>Bosque 220</v>
      </c>
    </row>
    <row r="721" spans="1:5">
      <c r="A721" s="1">
        <v>721</v>
      </c>
      <c r="D721" s="1">
        <f t="shared" si="23"/>
        <v>241</v>
      </c>
      <c r="E721" s="1" t="str">
        <f t="shared" si="22"/>
        <v>Bosque 66</v>
      </c>
    </row>
    <row r="722" spans="1:5">
      <c r="A722" s="1">
        <v>722</v>
      </c>
      <c r="D722" s="1">
        <f t="shared" si="23"/>
        <v>241</v>
      </c>
      <c r="E722" s="1" t="str">
        <f t="shared" si="22"/>
        <v>Bosque 66</v>
      </c>
    </row>
    <row r="723" spans="1:5">
      <c r="A723" s="1">
        <v>723</v>
      </c>
      <c r="D723" s="1">
        <f t="shared" si="23"/>
        <v>241</v>
      </c>
      <c r="E723" s="1" t="str">
        <f t="shared" si="22"/>
        <v>Bosque 66</v>
      </c>
    </row>
    <row r="724" spans="1:5">
      <c r="A724" s="1">
        <v>724</v>
      </c>
      <c r="D724" s="1">
        <f t="shared" si="23"/>
        <v>242</v>
      </c>
      <c r="E724" s="1" t="str">
        <f t="shared" si="22"/>
        <v>Calamar 66</v>
      </c>
    </row>
    <row r="725" spans="1:5">
      <c r="A725" s="1">
        <v>725</v>
      </c>
      <c r="D725" s="1">
        <f t="shared" si="23"/>
        <v>242</v>
      </c>
      <c r="E725" s="1" t="str">
        <f t="shared" si="22"/>
        <v>Calamar 66</v>
      </c>
    </row>
    <row r="726" spans="1:5">
      <c r="A726" s="1">
        <v>726</v>
      </c>
      <c r="D726" s="1">
        <f t="shared" si="23"/>
        <v>242</v>
      </c>
      <c r="E726" s="1" t="str">
        <f t="shared" si="22"/>
        <v>Calamar 66</v>
      </c>
    </row>
    <row r="727" spans="1:5">
      <c r="A727" s="1">
        <v>727</v>
      </c>
      <c r="D727" s="1">
        <f t="shared" si="23"/>
        <v>243</v>
      </c>
      <c r="E727" s="1" t="str">
        <f t="shared" si="22"/>
        <v>Campestre 66</v>
      </c>
    </row>
    <row r="728" spans="1:5">
      <c r="A728" s="1">
        <v>728</v>
      </c>
      <c r="D728" s="1">
        <f t="shared" si="23"/>
        <v>243</v>
      </c>
      <c r="E728" s="1" t="str">
        <f t="shared" si="22"/>
        <v>Campestre 66</v>
      </c>
    </row>
    <row r="729" spans="1:5">
      <c r="A729" s="1">
        <v>729</v>
      </c>
      <c r="D729" s="1">
        <f t="shared" si="23"/>
        <v>243</v>
      </c>
      <c r="E729" s="1" t="str">
        <f t="shared" si="22"/>
        <v>Campestre 66</v>
      </c>
    </row>
    <row r="730" spans="1:5">
      <c r="A730" s="1">
        <v>730</v>
      </c>
      <c r="D730" s="1">
        <f t="shared" si="23"/>
        <v>244</v>
      </c>
      <c r="E730" s="1" t="str">
        <f t="shared" si="22"/>
        <v>Candelaria 110</v>
      </c>
    </row>
    <row r="731" spans="1:5">
      <c r="A731" s="1">
        <v>731</v>
      </c>
      <c r="D731" s="1">
        <f t="shared" si="23"/>
        <v>244</v>
      </c>
      <c r="E731" s="1" t="str">
        <f t="shared" si="22"/>
        <v>Candelaria 110</v>
      </c>
    </row>
    <row r="732" spans="1:5">
      <c r="A732" s="1">
        <v>732</v>
      </c>
      <c r="D732" s="1">
        <f t="shared" si="23"/>
        <v>244</v>
      </c>
      <c r="E732" s="1" t="str">
        <f t="shared" si="22"/>
        <v>Candelaria 110</v>
      </c>
    </row>
    <row r="733" spans="1:5">
      <c r="A733" s="1">
        <v>733</v>
      </c>
      <c r="D733" s="1">
        <f t="shared" si="23"/>
        <v>245</v>
      </c>
      <c r="E733" s="1" t="str">
        <f t="shared" si="22"/>
        <v>Candelaria 220</v>
      </c>
    </row>
    <row r="734" spans="1:5">
      <c r="A734" s="1">
        <v>734</v>
      </c>
      <c r="D734" s="1">
        <f t="shared" si="23"/>
        <v>245</v>
      </c>
      <c r="E734" s="1" t="str">
        <f t="shared" si="22"/>
        <v>Candelaria 220</v>
      </c>
    </row>
    <row r="735" spans="1:5">
      <c r="A735" s="1">
        <v>735</v>
      </c>
      <c r="D735" s="1">
        <f t="shared" si="23"/>
        <v>245</v>
      </c>
      <c r="E735" s="1" t="str">
        <f t="shared" si="22"/>
        <v>Candelaria 220</v>
      </c>
    </row>
    <row r="736" spans="1:5">
      <c r="A736" s="1">
        <v>736</v>
      </c>
      <c r="D736" s="1">
        <f t="shared" si="23"/>
        <v>246</v>
      </c>
      <c r="E736" s="1" t="str">
        <f t="shared" si="22"/>
        <v>Carreto 500</v>
      </c>
    </row>
    <row r="737" spans="1:5">
      <c r="A737" s="1">
        <v>737</v>
      </c>
      <c r="D737" s="1">
        <f t="shared" si="23"/>
        <v>246</v>
      </c>
      <c r="E737" s="1" t="str">
        <f t="shared" si="22"/>
        <v>Carreto 500</v>
      </c>
    </row>
    <row r="738" spans="1:5">
      <c r="A738" s="1">
        <v>738</v>
      </c>
      <c r="D738" s="1">
        <f t="shared" si="23"/>
        <v>246</v>
      </c>
      <c r="E738" s="1" t="str">
        <f t="shared" si="22"/>
        <v>Carreto 500</v>
      </c>
    </row>
    <row r="739" spans="1:5">
      <c r="A739" s="1">
        <v>739</v>
      </c>
      <c r="D739" s="1">
        <f t="shared" si="23"/>
        <v>247</v>
      </c>
      <c r="E739" s="1" t="str">
        <f t="shared" si="22"/>
        <v>Carreto 66</v>
      </c>
    </row>
    <row r="740" spans="1:5">
      <c r="A740" s="1">
        <v>740</v>
      </c>
      <c r="D740" s="1">
        <f t="shared" si="23"/>
        <v>247</v>
      </c>
      <c r="E740" s="1" t="str">
        <f t="shared" si="22"/>
        <v>Carreto 66</v>
      </c>
    </row>
    <row r="741" spans="1:5">
      <c r="A741" s="1">
        <v>741</v>
      </c>
      <c r="D741" s="1">
        <f t="shared" si="23"/>
        <v>247</v>
      </c>
      <c r="E741" s="1" t="str">
        <f t="shared" si="22"/>
        <v>Carreto 66</v>
      </c>
    </row>
    <row r="742" spans="1:5">
      <c r="A742" s="1">
        <v>742</v>
      </c>
      <c r="D742" s="1">
        <f t="shared" si="23"/>
        <v>248</v>
      </c>
      <c r="E742" s="1" t="str">
        <f t="shared" si="22"/>
        <v>Cartagena 220</v>
      </c>
    </row>
    <row r="743" spans="1:5">
      <c r="A743" s="1">
        <v>743</v>
      </c>
      <c r="D743" s="1">
        <f t="shared" si="23"/>
        <v>248</v>
      </c>
      <c r="E743" s="1" t="str">
        <f t="shared" si="22"/>
        <v>Cartagena 220</v>
      </c>
    </row>
    <row r="744" spans="1:5">
      <c r="A744" s="1">
        <v>744</v>
      </c>
      <c r="D744" s="1">
        <f t="shared" si="23"/>
        <v>248</v>
      </c>
      <c r="E744" s="1" t="str">
        <f t="shared" si="22"/>
        <v>Cartagena 220</v>
      </c>
    </row>
    <row r="745" spans="1:5">
      <c r="A745" s="1">
        <v>745</v>
      </c>
      <c r="D745" s="1">
        <f t="shared" si="23"/>
        <v>249</v>
      </c>
      <c r="E745" s="1" t="str">
        <f t="shared" si="22"/>
        <v>Cartagena 66</v>
      </c>
    </row>
    <row r="746" spans="1:5">
      <c r="A746" s="1">
        <v>746</v>
      </c>
      <c r="D746" s="1">
        <f t="shared" si="23"/>
        <v>249</v>
      </c>
      <c r="E746" s="1" t="str">
        <f t="shared" si="22"/>
        <v>Cartagena 66</v>
      </c>
    </row>
    <row r="747" spans="1:5">
      <c r="A747" s="1">
        <v>747</v>
      </c>
      <c r="D747" s="1">
        <f t="shared" si="23"/>
        <v>249</v>
      </c>
      <c r="E747" s="1" t="str">
        <f t="shared" si="22"/>
        <v>Cartagena 66</v>
      </c>
    </row>
    <row r="748" spans="1:5">
      <c r="A748" s="1">
        <v>748</v>
      </c>
      <c r="D748" s="1">
        <f t="shared" si="23"/>
        <v>250</v>
      </c>
      <c r="E748" s="1" t="str">
        <f t="shared" si="22"/>
        <v>Chambacu 66</v>
      </c>
    </row>
    <row r="749" spans="1:5">
      <c r="A749" s="1">
        <v>749</v>
      </c>
      <c r="D749" s="1">
        <f t="shared" si="23"/>
        <v>250</v>
      </c>
      <c r="E749" s="1" t="str">
        <f t="shared" si="22"/>
        <v>Chambacu 66</v>
      </c>
    </row>
    <row r="750" spans="1:5">
      <c r="A750" s="1">
        <v>750</v>
      </c>
      <c r="D750" s="1">
        <f t="shared" si="23"/>
        <v>250</v>
      </c>
      <c r="E750" s="1" t="str">
        <f t="shared" si="22"/>
        <v>Chambacu 66</v>
      </c>
    </row>
    <row r="751" spans="1:5">
      <c r="A751" s="1">
        <v>751</v>
      </c>
      <c r="D751" s="1">
        <f t="shared" si="23"/>
        <v>251</v>
      </c>
      <c r="E751" s="1" t="str">
        <f t="shared" si="22"/>
        <v>Cospique 66</v>
      </c>
    </row>
    <row r="752" spans="1:5">
      <c r="A752" s="1">
        <v>752</v>
      </c>
      <c r="D752" s="1">
        <f t="shared" si="23"/>
        <v>251</v>
      </c>
      <c r="E752" s="1" t="str">
        <f t="shared" si="22"/>
        <v>Cospique 66</v>
      </c>
    </row>
    <row r="753" spans="1:5">
      <c r="A753" s="1">
        <v>753</v>
      </c>
      <c r="D753" s="1">
        <f t="shared" si="23"/>
        <v>251</v>
      </c>
      <c r="E753" s="1" t="str">
        <f t="shared" si="22"/>
        <v>Cospique 66</v>
      </c>
    </row>
    <row r="754" spans="1:5">
      <c r="A754" s="1">
        <v>754</v>
      </c>
      <c r="D754" s="1">
        <f t="shared" si="23"/>
        <v>252</v>
      </c>
      <c r="E754" s="1" t="str">
        <f t="shared" si="22"/>
        <v>El Carmen 110</v>
      </c>
    </row>
    <row r="755" spans="1:5">
      <c r="A755" s="1">
        <v>755</v>
      </c>
      <c r="D755" s="1">
        <f t="shared" si="23"/>
        <v>252</v>
      </c>
      <c r="E755" s="1" t="str">
        <f t="shared" si="22"/>
        <v>El Carmen 110</v>
      </c>
    </row>
    <row r="756" spans="1:5">
      <c r="A756" s="1">
        <v>756</v>
      </c>
      <c r="D756" s="1">
        <f t="shared" si="23"/>
        <v>252</v>
      </c>
      <c r="E756" s="1" t="str">
        <f t="shared" si="22"/>
        <v>El Carmen 110</v>
      </c>
    </row>
    <row r="757" spans="1:5">
      <c r="A757" s="1">
        <v>757</v>
      </c>
      <c r="D757" s="1">
        <f t="shared" si="23"/>
        <v>253</v>
      </c>
      <c r="E757" s="1" t="str">
        <f t="shared" si="22"/>
        <v>El Carmen 66</v>
      </c>
    </row>
    <row r="758" spans="1:5">
      <c r="A758" s="1">
        <v>758</v>
      </c>
      <c r="D758" s="1">
        <f t="shared" si="23"/>
        <v>253</v>
      </c>
      <c r="E758" s="1" t="str">
        <f t="shared" si="22"/>
        <v>El Carmen 66</v>
      </c>
    </row>
    <row r="759" spans="1:5">
      <c r="A759" s="1">
        <v>759</v>
      </c>
      <c r="D759" s="1">
        <f t="shared" si="23"/>
        <v>253</v>
      </c>
      <c r="E759" s="1" t="str">
        <f t="shared" si="22"/>
        <v>El Carmen 66</v>
      </c>
    </row>
    <row r="760" spans="1:5">
      <c r="A760" s="1">
        <v>760</v>
      </c>
      <c r="D760" s="1">
        <f t="shared" si="23"/>
        <v>254</v>
      </c>
      <c r="E760" s="1" t="str">
        <f t="shared" si="22"/>
        <v>Gambote 66</v>
      </c>
    </row>
    <row r="761" spans="1:5">
      <c r="A761" s="1">
        <v>761</v>
      </c>
      <c r="D761" s="1">
        <f t="shared" si="23"/>
        <v>254</v>
      </c>
      <c r="E761" s="1" t="str">
        <f t="shared" si="22"/>
        <v>Gambote 66</v>
      </c>
    </row>
    <row r="762" spans="1:5">
      <c r="A762" s="1">
        <v>762</v>
      </c>
      <c r="D762" s="1">
        <f t="shared" si="23"/>
        <v>254</v>
      </c>
      <c r="E762" s="1" t="str">
        <f t="shared" si="22"/>
        <v>Gambote 66</v>
      </c>
    </row>
    <row r="763" spans="1:5">
      <c r="A763" s="1">
        <v>763</v>
      </c>
      <c r="D763" s="1">
        <f t="shared" si="23"/>
        <v>255</v>
      </c>
      <c r="E763" s="1" t="str">
        <f t="shared" si="22"/>
        <v>La Marina 66</v>
      </c>
    </row>
    <row r="764" spans="1:5">
      <c r="A764" s="1">
        <v>764</v>
      </c>
      <c r="D764" s="1">
        <f t="shared" si="23"/>
        <v>255</v>
      </c>
      <c r="E764" s="1" t="str">
        <f t="shared" si="22"/>
        <v>La Marina 66</v>
      </c>
    </row>
    <row r="765" spans="1:5">
      <c r="A765" s="1">
        <v>765</v>
      </c>
      <c r="D765" s="1">
        <f t="shared" si="23"/>
        <v>255</v>
      </c>
      <c r="E765" s="1" t="str">
        <f t="shared" si="22"/>
        <v>La Marina 66</v>
      </c>
    </row>
    <row r="766" spans="1:5">
      <c r="A766" s="1">
        <v>766</v>
      </c>
      <c r="D766" s="1">
        <f t="shared" si="23"/>
        <v>256</v>
      </c>
      <c r="E766" s="1" t="str">
        <f t="shared" si="22"/>
        <v>Mamonal 66</v>
      </c>
    </row>
    <row r="767" spans="1:5">
      <c r="A767" s="1">
        <v>767</v>
      </c>
      <c r="D767" s="1">
        <f t="shared" si="23"/>
        <v>256</v>
      </c>
      <c r="E767" s="1" t="str">
        <f t="shared" si="22"/>
        <v>Mamonal 66</v>
      </c>
    </row>
    <row r="768" spans="1:5">
      <c r="A768" s="1">
        <v>768</v>
      </c>
      <c r="D768" s="1">
        <f t="shared" si="23"/>
        <v>256</v>
      </c>
      <c r="E768" s="1" t="str">
        <f t="shared" si="22"/>
        <v>Mamonal 66</v>
      </c>
    </row>
    <row r="769" spans="1:5">
      <c r="A769" s="1">
        <v>769</v>
      </c>
      <c r="D769" s="1">
        <f t="shared" si="23"/>
        <v>257</v>
      </c>
      <c r="E769" s="1" t="str">
        <f t="shared" ref="E769:E832" si="24">+VLOOKUP(D769,$A$1:$B$1076,2,FALSE)</f>
        <v>Manzanillo 66</v>
      </c>
    </row>
    <row r="770" spans="1:5">
      <c r="A770" s="1">
        <v>770</v>
      </c>
      <c r="D770" s="1">
        <f t="shared" si="23"/>
        <v>257</v>
      </c>
      <c r="E770" s="1" t="str">
        <f t="shared" si="24"/>
        <v>Manzanillo 66</v>
      </c>
    </row>
    <row r="771" spans="1:5">
      <c r="A771" s="1">
        <v>771</v>
      </c>
      <c r="D771" s="1">
        <f t="shared" si="23"/>
        <v>257</v>
      </c>
      <c r="E771" s="1" t="str">
        <f t="shared" si="24"/>
        <v>Manzanillo 66</v>
      </c>
    </row>
    <row r="772" spans="1:5">
      <c r="A772" s="1">
        <v>772</v>
      </c>
      <c r="D772" s="1">
        <f t="shared" ref="D772:D835" si="25">+D769+1</f>
        <v>258</v>
      </c>
      <c r="E772" s="1" t="str">
        <f t="shared" si="24"/>
        <v>Membrillal 66</v>
      </c>
    </row>
    <row r="773" spans="1:5">
      <c r="A773" s="1">
        <v>773</v>
      </c>
      <c r="D773" s="1">
        <f t="shared" si="25"/>
        <v>258</v>
      </c>
      <c r="E773" s="1" t="str">
        <f t="shared" si="24"/>
        <v>Membrillal 66</v>
      </c>
    </row>
    <row r="774" spans="1:5">
      <c r="A774" s="1">
        <v>774</v>
      </c>
      <c r="D774" s="1">
        <f t="shared" si="25"/>
        <v>258</v>
      </c>
      <c r="E774" s="1" t="str">
        <f t="shared" si="24"/>
        <v>Membrillal 66</v>
      </c>
    </row>
    <row r="775" spans="1:5">
      <c r="A775" s="1">
        <v>775</v>
      </c>
      <c r="D775" s="1">
        <f t="shared" si="25"/>
        <v>259</v>
      </c>
      <c r="E775" s="1" t="str">
        <f t="shared" si="24"/>
        <v>Nv Cospique 110</v>
      </c>
    </row>
    <row r="776" spans="1:5">
      <c r="A776" s="1">
        <v>776</v>
      </c>
      <c r="D776" s="1">
        <f t="shared" si="25"/>
        <v>259</v>
      </c>
      <c r="E776" s="1" t="str">
        <f t="shared" si="24"/>
        <v>Nv Cospique 110</v>
      </c>
    </row>
    <row r="777" spans="1:5">
      <c r="A777" s="1">
        <v>777</v>
      </c>
      <c r="D777" s="1">
        <f t="shared" si="25"/>
        <v>259</v>
      </c>
      <c r="E777" s="1" t="str">
        <f t="shared" si="24"/>
        <v>Nv Cospique 110</v>
      </c>
    </row>
    <row r="778" spans="1:5">
      <c r="A778" s="1">
        <v>778</v>
      </c>
      <c r="D778" s="1">
        <f t="shared" si="25"/>
        <v>260</v>
      </c>
      <c r="E778" s="1" t="str">
        <f t="shared" si="24"/>
        <v>Pasacaballos 110</v>
      </c>
    </row>
    <row r="779" spans="1:5">
      <c r="A779" s="1">
        <v>779</v>
      </c>
      <c r="D779" s="1">
        <f t="shared" si="25"/>
        <v>260</v>
      </c>
      <c r="E779" s="1" t="str">
        <f t="shared" si="24"/>
        <v>Pasacaballos 110</v>
      </c>
    </row>
    <row r="780" spans="1:5">
      <c r="A780" s="1">
        <v>780</v>
      </c>
      <c r="D780" s="1">
        <f t="shared" si="25"/>
        <v>260</v>
      </c>
      <c r="E780" s="1" t="str">
        <f t="shared" si="24"/>
        <v>Pasacaballos 110</v>
      </c>
    </row>
    <row r="781" spans="1:5">
      <c r="A781" s="1">
        <v>781</v>
      </c>
      <c r="D781" s="1">
        <f t="shared" si="25"/>
        <v>261</v>
      </c>
      <c r="E781" s="1" t="str">
        <f t="shared" si="24"/>
        <v>Pasacaballos 220</v>
      </c>
    </row>
    <row r="782" spans="1:5">
      <c r="A782" s="1">
        <v>782</v>
      </c>
      <c r="D782" s="1">
        <f t="shared" si="25"/>
        <v>261</v>
      </c>
      <c r="E782" s="1" t="str">
        <f t="shared" si="24"/>
        <v>Pasacaballos 220</v>
      </c>
    </row>
    <row r="783" spans="1:5">
      <c r="A783" s="1">
        <v>783</v>
      </c>
      <c r="D783" s="1">
        <f t="shared" si="25"/>
        <v>261</v>
      </c>
      <c r="E783" s="1" t="str">
        <f t="shared" si="24"/>
        <v>Pasacaballos 220</v>
      </c>
    </row>
    <row r="784" spans="1:5">
      <c r="A784" s="1">
        <v>784</v>
      </c>
      <c r="D784" s="1">
        <f t="shared" si="25"/>
        <v>262</v>
      </c>
      <c r="E784" s="1" t="str">
        <f t="shared" si="24"/>
        <v>Proelectrica 66</v>
      </c>
    </row>
    <row r="785" spans="1:5">
      <c r="A785" s="1">
        <v>785</v>
      </c>
      <c r="D785" s="1">
        <f t="shared" si="25"/>
        <v>262</v>
      </c>
      <c r="E785" s="1" t="str">
        <f t="shared" si="24"/>
        <v>Proelectrica 66</v>
      </c>
    </row>
    <row r="786" spans="1:5">
      <c r="A786" s="1">
        <v>786</v>
      </c>
      <c r="D786" s="1">
        <f t="shared" si="25"/>
        <v>262</v>
      </c>
      <c r="E786" s="1" t="str">
        <f t="shared" si="24"/>
        <v>Proelectrica 66</v>
      </c>
    </row>
    <row r="787" spans="1:5">
      <c r="A787" s="1">
        <v>787</v>
      </c>
      <c r="D787" s="1">
        <f t="shared" si="25"/>
        <v>263</v>
      </c>
      <c r="E787" s="1" t="str">
        <f t="shared" si="24"/>
        <v>San Jacinto 66</v>
      </c>
    </row>
    <row r="788" spans="1:5">
      <c r="A788" s="1">
        <v>788</v>
      </c>
      <c r="D788" s="1">
        <f t="shared" si="25"/>
        <v>263</v>
      </c>
      <c r="E788" s="1" t="str">
        <f t="shared" si="24"/>
        <v>San Jacinto 66</v>
      </c>
    </row>
    <row r="789" spans="1:5">
      <c r="A789" s="1">
        <v>789</v>
      </c>
      <c r="D789" s="1">
        <f t="shared" si="25"/>
        <v>263</v>
      </c>
      <c r="E789" s="1" t="str">
        <f t="shared" si="24"/>
        <v>San Jacinto 66</v>
      </c>
    </row>
    <row r="790" spans="1:5">
      <c r="A790" s="1">
        <v>790</v>
      </c>
      <c r="D790" s="1">
        <f t="shared" si="25"/>
        <v>264</v>
      </c>
      <c r="E790" s="1" t="str">
        <f t="shared" si="24"/>
        <v>Ternera 110</v>
      </c>
    </row>
    <row r="791" spans="1:5">
      <c r="A791" s="1">
        <v>791</v>
      </c>
      <c r="D791" s="1">
        <f t="shared" si="25"/>
        <v>264</v>
      </c>
      <c r="E791" s="1" t="str">
        <f t="shared" si="24"/>
        <v>Ternera 110</v>
      </c>
    </row>
    <row r="792" spans="1:5">
      <c r="A792" s="1">
        <v>792</v>
      </c>
      <c r="D792" s="1">
        <f t="shared" si="25"/>
        <v>264</v>
      </c>
      <c r="E792" s="1" t="str">
        <f t="shared" si="24"/>
        <v>Ternera 110</v>
      </c>
    </row>
    <row r="793" spans="1:5">
      <c r="A793" s="1">
        <v>793</v>
      </c>
      <c r="D793" s="1">
        <f t="shared" si="25"/>
        <v>265</v>
      </c>
      <c r="E793" s="1" t="str">
        <f t="shared" si="24"/>
        <v>Ternera 220</v>
      </c>
    </row>
    <row r="794" spans="1:5">
      <c r="A794" s="1">
        <v>794</v>
      </c>
      <c r="D794" s="1">
        <f t="shared" si="25"/>
        <v>265</v>
      </c>
      <c r="E794" s="1" t="str">
        <f t="shared" si="24"/>
        <v>Ternera 220</v>
      </c>
    </row>
    <row r="795" spans="1:5">
      <c r="A795" s="1">
        <v>795</v>
      </c>
      <c r="D795" s="1">
        <f t="shared" si="25"/>
        <v>265</v>
      </c>
      <c r="E795" s="1" t="str">
        <f t="shared" si="24"/>
        <v>Ternera 220</v>
      </c>
    </row>
    <row r="796" spans="1:5">
      <c r="A796" s="1">
        <v>796</v>
      </c>
      <c r="D796" s="1">
        <f t="shared" si="25"/>
        <v>266</v>
      </c>
      <c r="E796" s="1" t="str">
        <f t="shared" si="24"/>
        <v>Ternera 66</v>
      </c>
    </row>
    <row r="797" spans="1:5">
      <c r="A797" s="1">
        <v>797</v>
      </c>
      <c r="D797" s="1">
        <f t="shared" si="25"/>
        <v>266</v>
      </c>
      <c r="E797" s="1" t="str">
        <f t="shared" si="24"/>
        <v>Ternera 66</v>
      </c>
    </row>
    <row r="798" spans="1:5">
      <c r="A798" s="1">
        <v>798</v>
      </c>
      <c r="D798" s="1">
        <f t="shared" si="25"/>
        <v>266</v>
      </c>
      <c r="E798" s="1" t="str">
        <f t="shared" si="24"/>
        <v>Ternera 66</v>
      </c>
    </row>
    <row r="799" spans="1:5">
      <c r="A799" s="1">
        <v>799</v>
      </c>
      <c r="D799" s="1">
        <f t="shared" si="25"/>
        <v>267</v>
      </c>
      <c r="E799" s="1" t="str">
        <f t="shared" si="24"/>
        <v>Turbaco 110</v>
      </c>
    </row>
    <row r="800" spans="1:5">
      <c r="A800" s="1">
        <v>800</v>
      </c>
      <c r="D800" s="1">
        <f t="shared" si="25"/>
        <v>267</v>
      </c>
      <c r="E800" s="1" t="str">
        <f t="shared" si="24"/>
        <v>Turbaco 110</v>
      </c>
    </row>
    <row r="801" spans="1:5">
      <c r="A801" s="1">
        <v>801</v>
      </c>
      <c r="D801" s="1">
        <f t="shared" si="25"/>
        <v>267</v>
      </c>
      <c r="E801" s="1" t="str">
        <f t="shared" si="24"/>
        <v>Turbaco 110</v>
      </c>
    </row>
    <row r="802" spans="1:5">
      <c r="A802" s="1">
        <v>802</v>
      </c>
      <c r="D802" s="1">
        <f t="shared" si="25"/>
        <v>268</v>
      </c>
      <c r="E802" s="1" t="str">
        <f t="shared" si="24"/>
        <v>Villa Estrella 66</v>
      </c>
    </row>
    <row r="803" spans="1:5">
      <c r="A803" s="1">
        <v>803</v>
      </c>
      <c r="D803" s="1">
        <f t="shared" si="25"/>
        <v>268</v>
      </c>
      <c r="E803" s="1" t="str">
        <f t="shared" si="24"/>
        <v>Villa Estrella 66</v>
      </c>
    </row>
    <row r="804" spans="1:5">
      <c r="A804" s="1">
        <v>804</v>
      </c>
      <c r="D804" s="1">
        <f t="shared" si="25"/>
        <v>268</v>
      </c>
      <c r="E804" s="1" t="str">
        <f t="shared" si="24"/>
        <v>Villa Estrella 66</v>
      </c>
    </row>
    <row r="805" spans="1:5">
      <c r="A805" s="1">
        <v>805</v>
      </c>
      <c r="D805" s="1">
        <f t="shared" si="25"/>
        <v>269</v>
      </c>
      <c r="E805" s="1" t="str">
        <f t="shared" si="24"/>
        <v>Zambrano 66</v>
      </c>
    </row>
    <row r="806" spans="1:5">
      <c r="A806" s="1">
        <v>806</v>
      </c>
      <c r="D806" s="1">
        <f t="shared" si="25"/>
        <v>269</v>
      </c>
      <c r="E806" s="1" t="str">
        <f t="shared" si="24"/>
        <v>Zambrano 66</v>
      </c>
    </row>
    <row r="807" spans="1:5">
      <c r="A807" s="1">
        <v>807</v>
      </c>
      <c r="D807" s="1">
        <f t="shared" si="25"/>
        <v>269</v>
      </c>
      <c r="E807" s="1" t="str">
        <f t="shared" si="24"/>
        <v>Zambrano 66</v>
      </c>
    </row>
    <row r="808" spans="1:5">
      <c r="A808" s="1">
        <v>808</v>
      </c>
      <c r="D808" s="1">
        <f t="shared" si="25"/>
        <v>270</v>
      </c>
      <c r="E808" s="1" t="str">
        <f t="shared" si="24"/>
        <v>Zaragocilla 66</v>
      </c>
    </row>
    <row r="809" spans="1:5">
      <c r="A809" s="1">
        <v>809</v>
      </c>
      <c r="D809" s="1">
        <f t="shared" si="25"/>
        <v>270</v>
      </c>
      <c r="E809" s="1" t="str">
        <f t="shared" si="24"/>
        <v>Zaragocilla 66</v>
      </c>
    </row>
    <row r="810" spans="1:5">
      <c r="A810" s="1">
        <v>810</v>
      </c>
      <c r="D810" s="1">
        <f t="shared" si="25"/>
        <v>270</v>
      </c>
      <c r="E810" s="1" t="str">
        <f t="shared" si="24"/>
        <v>Zaragocilla 66</v>
      </c>
    </row>
    <row r="811" spans="1:5">
      <c r="A811" s="1">
        <v>811</v>
      </c>
      <c r="D811" s="1">
        <f t="shared" si="25"/>
        <v>271</v>
      </c>
      <c r="E811" s="1" t="str">
        <f t="shared" si="24"/>
        <v>Aguaclara 115</v>
      </c>
    </row>
    <row r="812" spans="1:5">
      <c r="A812" s="1">
        <v>812</v>
      </c>
      <c r="D812" s="1">
        <f t="shared" si="25"/>
        <v>271</v>
      </c>
      <c r="E812" s="1" t="str">
        <f t="shared" si="24"/>
        <v>Aguaclara 115</v>
      </c>
    </row>
    <row r="813" spans="1:5">
      <c r="A813" s="1">
        <v>813</v>
      </c>
      <c r="D813" s="1">
        <f t="shared" si="25"/>
        <v>271</v>
      </c>
      <c r="E813" s="1" t="str">
        <f t="shared" si="24"/>
        <v>Aguaclara 115</v>
      </c>
    </row>
    <row r="814" spans="1:5">
      <c r="A814" s="1">
        <v>814</v>
      </c>
      <c r="D814" s="1">
        <f t="shared" si="25"/>
        <v>272</v>
      </c>
      <c r="E814" s="1" t="str">
        <f t="shared" si="24"/>
        <v>Aguazul 115</v>
      </c>
    </row>
    <row r="815" spans="1:5">
      <c r="A815" s="1">
        <v>815</v>
      </c>
      <c r="D815" s="1">
        <f t="shared" si="25"/>
        <v>272</v>
      </c>
      <c r="E815" s="1" t="str">
        <f t="shared" si="24"/>
        <v>Aguazul 115</v>
      </c>
    </row>
    <row r="816" spans="1:5">
      <c r="A816" s="1">
        <v>816</v>
      </c>
      <c r="D816" s="1">
        <f t="shared" si="25"/>
        <v>272</v>
      </c>
      <c r="E816" s="1" t="str">
        <f t="shared" si="24"/>
        <v>Aguazul 115</v>
      </c>
    </row>
    <row r="817" spans="1:5">
      <c r="A817" s="1">
        <v>817</v>
      </c>
      <c r="D817" s="1">
        <f t="shared" si="25"/>
        <v>273</v>
      </c>
      <c r="E817" s="1" t="str">
        <f t="shared" si="24"/>
        <v>Alcaravan 115</v>
      </c>
    </row>
    <row r="818" spans="1:5">
      <c r="A818" s="1">
        <v>818</v>
      </c>
      <c r="D818" s="1">
        <f t="shared" si="25"/>
        <v>273</v>
      </c>
      <c r="E818" s="1" t="str">
        <f t="shared" si="24"/>
        <v>Alcaravan 115</v>
      </c>
    </row>
    <row r="819" spans="1:5">
      <c r="A819" s="1">
        <v>819</v>
      </c>
      <c r="D819" s="1">
        <f t="shared" si="25"/>
        <v>273</v>
      </c>
      <c r="E819" s="1" t="str">
        <f t="shared" si="24"/>
        <v>Alcaravan 115</v>
      </c>
    </row>
    <row r="820" spans="1:5">
      <c r="A820" s="1">
        <v>820</v>
      </c>
      <c r="D820" s="1">
        <f t="shared" si="25"/>
        <v>274</v>
      </c>
      <c r="E820" s="1" t="str">
        <f t="shared" si="24"/>
        <v>Alcaravan 220</v>
      </c>
    </row>
    <row r="821" spans="1:5">
      <c r="A821" s="1">
        <v>821</v>
      </c>
      <c r="D821" s="1">
        <f t="shared" si="25"/>
        <v>274</v>
      </c>
      <c r="E821" s="1" t="str">
        <f t="shared" si="24"/>
        <v>Alcaravan 220</v>
      </c>
    </row>
    <row r="822" spans="1:5">
      <c r="A822" s="1">
        <v>822</v>
      </c>
      <c r="D822" s="1">
        <f t="shared" si="25"/>
        <v>274</v>
      </c>
      <c r="E822" s="1" t="str">
        <f t="shared" si="24"/>
        <v>Alcaravan 220</v>
      </c>
    </row>
    <row r="823" spans="1:5">
      <c r="A823" s="1">
        <v>823</v>
      </c>
      <c r="D823" s="1">
        <f t="shared" si="25"/>
        <v>275</v>
      </c>
      <c r="E823" s="1" t="str">
        <f t="shared" si="24"/>
        <v>Alto Ricaurte 115</v>
      </c>
    </row>
    <row r="824" spans="1:5">
      <c r="A824" s="1">
        <v>824</v>
      </c>
      <c r="D824" s="1">
        <f t="shared" si="25"/>
        <v>275</v>
      </c>
      <c r="E824" s="1" t="str">
        <f t="shared" si="24"/>
        <v>Alto Ricaurte 115</v>
      </c>
    </row>
    <row r="825" spans="1:5">
      <c r="A825" s="1">
        <v>825</v>
      </c>
      <c r="D825" s="1">
        <f t="shared" si="25"/>
        <v>275</v>
      </c>
      <c r="E825" s="1" t="str">
        <f t="shared" si="24"/>
        <v>Alto Ricaurte 115</v>
      </c>
    </row>
    <row r="826" spans="1:5">
      <c r="A826" s="1">
        <v>826</v>
      </c>
      <c r="D826" s="1">
        <f t="shared" si="25"/>
        <v>276</v>
      </c>
      <c r="E826" s="1" t="str">
        <f t="shared" si="24"/>
        <v>Barbosa 115</v>
      </c>
    </row>
    <row r="827" spans="1:5">
      <c r="A827" s="1">
        <v>827</v>
      </c>
      <c r="D827" s="1">
        <f t="shared" si="25"/>
        <v>276</v>
      </c>
      <c r="E827" s="1" t="str">
        <f t="shared" si="24"/>
        <v>Barbosa 115</v>
      </c>
    </row>
    <row r="828" spans="1:5">
      <c r="A828" s="1">
        <v>828</v>
      </c>
      <c r="D828" s="1">
        <f t="shared" si="25"/>
        <v>276</v>
      </c>
      <c r="E828" s="1" t="str">
        <f t="shared" si="24"/>
        <v>Barbosa 115</v>
      </c>
    </row>
    <row r="829" spans="1:5">
      <c r="A829" s="1">
        <v>829</v>
      </c>
      <c r="D829" s="1">
        <f t="shared" si="25"/>
        <v>277</v>
      </c>
      <c r="E829" s="1" t="str">
        <f t="shared" si="24"/>
        <v>Bartolome 115</v>
      </c>
    </row>
    <row r="830" spans="1:5">
      <c r="A830" s="1">
        <v>830</v>
      </c>
      <c r="D830" s="1">
        <f t="shared" si="25"/>
        <v>277</v>
      </c>
      <c r="E830" s="1" t="str">
        <f t="shared" si="24"/>
        <v>Bartolome 115</v>
      </c>
    </row>
    <row r="831" spans="1:5">
      <c r="A831" s="1">
        <v>831</v>
      </c>
      <c r="D831" s="1">
        <f t="shared" si="25"/>
        <v>277</v>
      </c>
      <c r="E831" s="1" t="str">
        <f t="shared" si="24"/>
        <v>Bartolome 115</v>
      </c>
    </row>
    <row r="832" spans="1:5">
      <c r="A832" s="1">
        <v>832</v>
      </c>
      <c r="D832" s="1">
        <f t="shared" si="25"/>
        <v>278</v>
      </c>
      <c r="E832" s="1" t="str">
        <f t="shared" si="24"/>
        <v>Belencito 115</v>
      </c>
    </row>
    <row r="833" spans="1:5">
      <c r="A833" s="1">
        <v>833</v>
      </c>
      <c r="D833" s="1">
        <f t="shared" si="25"/>
        <v>278</v>
      </c>
      <c r="E833" s="1" t="str">
        <f t="shared" ref="E833:E896" si="26">+VLOOKUP(D833,$A$1:$B$1076,2,FALSE)</f>
        <v>Belencito 115</v>
      </c>
    </row>
    <row r="834" spans="1:5">
      <c r="A834" s="1">
        <v>834</v>
      </c>
      <c r="D834" s="1">
        <f t="shared" si="25"/>
        <v>278</v>
      </c>
      <c r="E834" s="1" t="str">
        <f t="shared" si="26"/>
        <v>Belencito 115</v>
      </c>
    </row>
    <row r="835" spans="1:5">
      <c r="A835" s="1">
        <v>835</v>
      </c>
      <c r="D835" s="1">
        <f t="shared" si="25"/>
        <v>279</v>
      </c>
      <c r="E835" s="1" t="str">
        <f t="shared" si="26"/>
        <v>Boavita 115</v>
      </c>
    </row>
    <row r="836" spans="1:5">
      <c r="A836" s="1">
        <v>836</v>
      </c>
      <c r="D836" s="1">
        <f t="shared" ref="D836:D899" si="27">+D833+1</f>
        <v>279</v>
      </c>
      <c r="E836" s="1" t="str">
        <f t="shared" si="26"/>
        <v>Boavita 115</v>
      </c>
    </row>
    <row r="837" spans="1:5">
      <c r="A837" s="1">
        <v>837</v>
      </c>
      <c r="D837" s="1">
        <f t="shared" si="27"/>
        <v>279</v>
      </c>
      <c r="E837" s="1" t="str">
        <f t="shared" si="26"/>
        <v>Boavita 115</v>
      </c>
    </row>
    <row r="838" spans="1:5">
      <c r="A838" s="1">
        <v>838</v>
      </c>
      <c r="D838" s="1">
        <f t="shared" si="27"/>
        <v>280</v>
      </c>
      <c r="E838" s="1" t="str">
        <f t="shared" si="26"/>
        <v>Cabrera 115</v>
      </c>
    </row>
    <row r="839" spans="1:5">
      <c r="A839" s="1">
        <v>839</v>
      </c>
      <c r="D839" s="1">
        <f t="shared" si="27"/>
        <v>280</v>
      </c>
      <c r="E839" s="1" t="str">
        <f t="shared" si="26"/>
        <v>Cabrera 115</v>
      </c>
    </row>
    <row r="840" spans="1:5">
      <c r="A840" s="1">
        <v>840</v>
      </c>
      <c r="D840" s="1">
        <f t="shared" si="27"/>
        <v>280</v>
      </c>
      <c r="E840" s="1" t="str">
        <f t="shared" si="26"/>
        <v>Cabrera 115</v>
      </c>
    </row>
    <row r="841" spans="1:5">
      <c r="A841" s="1">
        <v>841</v>
      </c>
      <c r="D841" s="1">
        <f t="shared" si="27"/>
        <v>281</v>
      </c>
      <c r="E841" s="1" t="str">
        <f t="shared" si="26"/>
        <v>Cabrera 220</v>
      </c>
    </row>
    <row r="842" spans="1:5">
      <c r="A842" s="1">
        <v>842</v>
      </c>
      <c r="D842" s="1">
        <f t="shared" si="27"/>
        <v>281</v>
      </c>
      <c r="E842" s="1" t="str">
        <f t="shared" si="26"/>
        <v>Cabrera 220</v>
      </c>
    </row>
    <row r="843" spans="1:5">
      <c r="A843" s="1">
        <v>843</v>
      </c>
      <c r="D843" s="1">
        <f t="shared" si="27"/>
        <v>281</v>
      </c>
      <c r="E843" s="1" t="str">
        <f t="shared" si="26"/>
        <v>Cabrera 220</v>
      </c>
    </row>
    <row r="844" spans="1:5">
      <c r="A844" s="1">
        <v>844</v>
      </c>
      <c r="D844" s="1">
        <f t="shared" si="27"/>
        <v>282</v>
      </c>
      <c r="E844" s="1" t="str">
        <f t="shared" si="26"/>
        <v>Cementos Argos</v>
      </c>
    </row>
    <row r="845" spans="1:5">
      <c r="A845" s="1">
        <v>845</v>
      </c>
      <c r="D845" s="1">
        <f t="shared" si="27"/>
        <v>282</v>
      </c>
      <c r="E845" s="1" t="str">
        <f t="shared" si="26"/>
        <v>Cementos Argos</v>
      </c>
    </row>
    <row r="846" spans="1:5">
      <c r="A846" s="1">
        <v>846</v>
      </c>
      <c r="D846" s="1">
        <f t="shared" si="27"/>
        <v>282</v>
      </c>
      <c r="E846" s="1" t="str">
        <f t="shared" si="26"/>
        <v>Cementos Argos</v>
      </c>
    </row>
    <row r="847" spans="1:5">
      <c r="A847" s="1">
        <v>847</v>
      </c>
      <c r="D847" s="1">
        <f t="shared" si="27"/>
        <v>283</v>
      </c>
      <c r="E847" s="1" t="str">
        <f t="shared" si="26"/>
        <v>Chiquinquira 115</v>
      </c>
    </row>
    <row r="848" spans="1:5">
      <c r="A848" s="1">
        <v>848</v>
      </c>
      <c r="D848" s="1">
        <f t="shared" si="27"/>
        <v>283</v>
      </c>
      <c r="E848" s="1" t="str">
        <f t="shared" si="26"/>
        <v>Chiquinquira 115</v>
      </c>
    </row>
    <row r="849" spans="1:5">
      <c r="A849" s="1">
        <v>849</v>
      </c>
      <c r="D849" s="1">
        <f t="shared" si="27"/>
        <v>283</v>
      </c>
      <c r="E849" s="1" t="str">
        <f t="shared" si="26"/>
        <v>Chiquinquira 115</v>
      </c>
    </row>
    <row r="850" spans="1:5">
      <c r="A850" s="1">
        <v>850</v>
      </c>
      <c r="D850" s="1">
        <f t="shared" si="27"/>
        <v>284</v>
      </c>
      <c r="E850" s="1" t="str">
        <f t="shared" si="26"/>
        <v>Cimitarra 115</v>
      </c>
    </row>
    <row r="851" spans="1:5">
      <c r="A851" s="1">
        <v>851</v>
      </c>
      <c r="D851" s="1">
        <f t="shared" si="27"/>
        <v>284</v>
      </c>
      <c r="E851" s="1" t="str">
        <f t="shared" si="26"/>
        <v>Cimitarra 115</v>
      </c>
    </row>
    <row r="852" spans="1:5">
      <c r="A852" s="1">
        <v>852</v>
      </c>
      <c r="D852" s="1">
        <f t="shared" si="27"/>
        <v>284</v>
      </c>
      <c r="E852" s="1" t="str">
        <f t="shared" si="26"/>
        <v>Cimitarra 115</v>
      </c>
    </row>
    <row r="853" spans="1:5">
      <c r="A853" s="1">
        <v>853</v>
      </c>
      <c r="D853" s="1">
        <f t="shared" si="27"/>
        <v>285</v>
      </c>
      <c r="E853" s="1" t="str">
        <f t="shared" si="26"/>
        <v>Diaco 115</v>
      </c>
    </row>
    <row r="854" spans="1:5">
      <c r="A854" s="1">
        <v>854</v>
      </c>
      <c r="D854" s="1">
        <f t="shared" si="27"/>
        <v>285</v>
      </c>
      <c r="E854" s="1" t="str">
        <f t="shared" si="26"/>
        <v>Diaco 115</v>
      </c>
    </row>
    <row r="855" spans="1:5">
      <c r="A855" s="1">
        <v>855</v>
      </c>
      <c r="D855" s="1">
        <f t="shared" si="27"/>
        <v>285</v>
      </c>
      <c r="E855" s="1" t="str">
        <f t="shared" si="26"/>
        <v>Diaco 115</v>
      </c>
    </row>
    <row r="856" spans="1:5">
      <c r="A856" s="1">
        <v>856</v>
      </c>
      <c r="D856" s="1">
        <f t="shared" si="27"/>
        <v>286</v>
      </c>
      <c r="E856" s="1" t="str">
        <f t="shared" si="26"/>
        <v>Duitama 115</v>
      </c>
    </row>
    <row r="857" spans="1:5">
      <c r="A857" s="1">
        <v>857</v>
      </c>
      <c r="D857" s="1">
        <f t="shared" si="27"/>
        <v>286</v>
      </c>
      <c r="E857" s="1" t="str">
        <f t="shared" si="26"/>
        <v>Duitama 115</v>
      </c>
    </row>
    <row r="858" spans="1:5">
      <c r="A858" s="1">
        <v>858</v>
      </c>
      <c r="D858" s="1">
        <f t="shared" si="27"/>
        <v>286</v>
      </c>
      <c r="E858" s="1" t="str">
        <f t="shared" si="26"/>
        <v>Duitama 115</v>
      </c>
    </row>
    <row r="859" spans="1:5">
      <c r="A859" s="1">
        <v>859</v>
      </c>
      <c r="D859" s="1">
        <f t="shared" si="27"/>
        <v>287</v>
      </c>
      <c r="E859" s="1" t="str">
        <f t="shared" si="26"/>
        <v>El Huche 115</v>
      </c>
    </row>
    <row r="860" spans="1:5">
      <c r="A860" s="1">
        <v>860</v>
      </c>
      <c r="D860" s="1">
        <f t="shared" si="27"/>
        <v>287</v>
      </c>
      <c r="E860" s="1" t="str">
        <f t="shared" si="26"/>
        <v>El Huche 115</v>
      </c>
    </row>
    <row r="861" spans="1:5">
      <c r="A861" s="1">
        <v>861</v>
      </c>
      <c r="D861" s="1">
        <f t="shared" si="27"/>
        <v>287</v>
      </c>
      <c r="E861" s="1" t="str">
        <f t="shared" si="26"/>
        <v>El Huche 115</v>
      </c>
    </row>
    <row r="862" spans="1:5">
      <c r="A862" s="1">
        <v>862</v>
      </c>
      <c r="D862" s="1">
        <f t="shared" si="27"/>
        <v>288</v>
      </c>
      <c r="E862" s="1" t="str">
        <f t="shared" si="26"/>
        <v>Holcim 115 kV</v>
      </c>
    </row>
    <row r="863" spans="1:5">
      <c r="A863" s="1">
        <v>863</v>
      </c>
      <c r="D863" s="1">
        <f t="shared" si="27"/>
        <v>288</v>
      </c>
      <c r="E863" s="1" t="str">
        <f t="shared" si="26"/>
        <v>Holcim 115 kV</v>
      </c>
    </row>
    <row r="864" spans="1:5">
      <c r="A864" s="1">
        <v>864</v>
      </c>
      <c r="D864" s="1">
        <f t="shared" si="27"/>
        <v>288</v>
      </c>
      <c r="E864" s="1" t="str">
        <f t="shared" si="26"/>
        <v>Holcim 115 kV</v>
      </c>
    </row>
    <row r="865" spans="1:5">
      <c r="A865" s="1">
        <v>865</v>
      </c>
      <c r="D865" s="1">
        <f t="shared" si="27"/>
        <v>289</v>
      </c>
      <c r="E865" s="1" t="str">
        <f t="shared" si="26"/>
        <v>Jenesano 115</v>
      </c>
    </row>
    <row r="866" spans="1:5">
      <c r="A866" s="1">
        <v>866</v>
      </c>
      <c r="D866" s="1">
        <f t="shared" si="27"/>
        <v>289</v>
      </c>
      <c r="E866" s="1" t="str">
        <f t="shared" si="26"/>
        <v>Jenesano 115</v>
      </c>
    </row>
    <row r="867" spans="1:5">
      <c r="A867" s="1">
        <v>867</v>
      </c>
      <c r="D867" s="1">
        <f t="shared" si="27"/>
        <v>289</v>
      </c>
      <c r="E867" s="1" t="str">
        <f t="shared" si="26"/>
        <v>Jenesano 115</v>
      </c>
    </row>
    <row r="868" spans="1:5">
      <c r="A868" s="1">
        <v>868</v>
      </c>
      <c r="D868" s="1">
        <f t="shared" si="27"/>
        <v>290</v>
      </c>
      <c r="E868" s="1" t="str">
        <f t="shared" si="26"/>
        <v>Morro 115</v>
      </c>
    </row>
    <row r="869" spans="1:5">
      <c r="A869" s="1">
        <v>869</v>
      </c>
      <c r="D869" s="1">
        <f t="shared" si="27"/>
        <v>290</v>
      </c>
      <c r="E869" s="1" t="str">
        <f t="shared" si="26"/>
        <v>Morro 115</v>
      </c>
    </row>
    <row r="870" spans="1:5">
      <c r="A870" s="1">
        <v>870</v>
      </c>
      <c r="D870" s="1">
        <f t="shared" si="27"/>
        <v>290</v>
      </c>
      <c r="E870" s="1" t="str">
        <f t="shared" si="26"/>
        <v>Morro 115</v>
      </c>
    </row>
    <row r="871" spans="1:5">
      <c r="A871" s="1">
        <v>871</v>
      </c>
      <c r="D871" s="1">
        <f t="shared" si="27"/>
        <v>291</v>
      </c>
      <c r="E871" s="1" t="str">
        <f t="shared" si="26"/>
        <v>Muiscas 115</v>
      </c>
    </row>
    <row r="872" spans="1:5">
      <c r="A872" s="1">
        <v>872</v>
      </c>
      <c r="D872" s="1">
        <f t="shared" si="27"/>
        <v>291</v>
      </c>
      <c r="E872" s="1" t="str">
        <f t="shared" si="26"/>
        <v>Muiscas 115</v>
      </c>
    </row>
    <row r="873" spans="1:5">
      <c r="A873" s="1">
        <v>873</v>
      </c>
      <c r="D873" s="1">
        <f t="shared" si="27"/>
        <v>291</v>
      </c>
      <c r="E873" s="1" t="str">
        <f t="shared" si="26"/>
        <v>Muiscas 115</v>
      </c>
    </row>
    <row r="874" spans="1:5">
      <c r="A874" s="1">
        <v>874</v>
      </c>
      <c r="D874" s="1">
        <f t="shared" si="27"/>
        <v>292</v>
      </c>
      <c r="E874" s="1" t="str">
        <f t="shared" si="26"/>
        <v>Oiba 115</v>
      </c>
    </row>
    <row r="875" spans="1:5">
      <c r="A875" s="1">
        <v>875</v>
      </c>
      <c r="D875" s="1">
        <f t="shared" si="27"/>
        <v>292</v>
      </c>
      <c r="E875" s="1" t="str">
        <f t="shared" si="26"/>
        <v>Oiba 115</v>
      </c>
    </row>
    <row r="876" spans="1:5">
      <c r="A876" s="1">
        <v>876</v>
      </c>
      <c r="D876" s="1">
        <f t="shared" si="27"/>
        <v>292</v>
      </c>
      <c r="E876" s="1" t="str">
        <f t="shared" si="26"/>
        <v>Oiba 115</v>
      </c>
    </row>
    <row r="877" spans="1:5">
      <c r="A877" s="1">
        <v>877</v>
      </c>
      <c r="D877" s="1">
        <f t="shared" si="27"/>
        <v>293</v>
      </c>
      <c r="E877" s="1" t="str">
        <f t="shared" si="26"/>
        <v>Olibita 115</v>
      </c>
    </row>
    <row r="878" spans="1:5">
      <c r="A878" s="1">
        <v>878</v>
      </c>
      <c r="D878" s="1">
        <f t="shared" si="27"/>
        <v>293</v>
      </c>
      <c r="E878" s="1" t="str">
        <f t="shared" si="26"/>
        <v>Olibita 115</v>
      </c>
    </row>
    <row r="879" spans="1:5">
      <c r="A879" s="1">
        <v>879</v>
      </c>
      <c r="D879" s="1">
        <f t="shared" si="27"/>
        <v>293</v>
      </c>
      <c r="E879" s="1" t="str">
        <f t="shared" si="26"/>
        <v>Olibita 115</v>
      </c>
    </row>
    <row r="880" spans="1:5">
      <c r="A880" s="1">
        <v>880</v>
      </c>
      <c r="D880" s="1">
        <f t="shared" si="27"/>
        <v>294</v>
      </c>
      <c r="E880" s="1" t="str">
        <f t="shared" si="26"/>
        <v>Paipa 115</v>
      </c>
    </row>
    <row r="881" spans="1:5">
      <c r="A881" s="1">
        <v>881</v>
      </c>
      <c r="D881" s="1">
        <f t="shared" si="27"/>
        <v>294</v>
      </c>
      <c r="E881" s="1" t="str">
        <f t="shared" si="26"/>
        <v>Paipa 115</v>
      </c>
    </row>
    <row r="882" spans="1:5">
      <c r="A882" s="1">
        <v>882</v>
      </c>
      <c r="D882" s="1">
        <f t="shared" si="27"/>
        <v>294</v>
      </c>
      <c r="E882" s="1" t="str">
        <f t="shared" si="26"/>
        <v>Paipa 115</v>
      </c>
    </row>
    <row r="883" spans="1:5">
      <c r="A883" s="1">
        <v>883</v>
      </c>
      <c r="D883" s="1">
        <f t="shared" si="27"/>
        <v>295</v>
      </c>
      <c r="E883" s="1" t="str">
        <f t="shared" si="26"/>
        <v>Paipa 220</v>
      </c>
    </row>
    <row r="884" spans="1:5">
      <c r="A884" s="1">
        <v>884</v>
      </c>
      <c r="D884" s="1">
        <f t="shared" si="27"/>
        <v>295</v>
      </c>
      <c r="E884" s="1" t="str">
        <f t="shared" si="26"/>
        <v>Paipa 220</v>
      </c>
    </row>
    <row r="885" spans="1:5">
      <c r="A885" s="1">
        <v>885</v>
      </c>
      <c r="D885" s="1">
        <f t="shared" si="27"/>
        <v>295</v>
      </c>
      <c r="E885" s="1" t="str">
        <f t="shared" si="26"/>
        <v>Paipa 220</v>
      </c>
    </row>
    <row r="886" spans="1:5">
      <c r="A886" s="1">
        <v>886</v>
      </c>
      <c r="D886" s="1">
        <f t="shared" si="27"/>
        <v>296</v>
      </c>
      <c r="E886" s="1" t="str">
        <f t="shared" si="26"/>
        <v>Paz de Ariporo 115</v>
      </c>
    </row>
    <row r="887" spans="1:5">
      <c r="A887" s="1">
        <v>887</v>
      </c>
      <c r="D887" s="1">
        <f t="shared" si="27"/>
        <v>296</v>
      </c>
      <c r="E887" s="1" t="str">
        <f t="shared" si="26"/>
        <v>Paz de Ariporo 115</v>
      </c>
    </row>
    <row r="888" spans="1:5">
      <c r="A888" s="1">
        <v>888</v>
      </c>
      <c r="D888" s="1">
        <f t="shared" si="27"/>
        <v>296</v>
      </c>
      <c r="E888" s="1" t="str">
        <f t="shared" si="26"/>
        <v>Paz de Ariporo 115</v>
      </c>
    </row>
    <row r="889" spans="1:5">
      <c r="A889" s="1">
        <v>889</v>
      </c>
      <c r="D889" s="1">
        <f t="shared" si="27"/>
        <v>297</v>
      </c>
      <c r="E889" s="1" t="str">
        <f t="shared" si="26"/>
        <v>Ramada 115</v>
      </c>
    </row>
    <row r="890" spans="1:5">
      <c r="A890" s="1">
        <v>890</v>
      </c>
      <c r="D890" s="1">
        <f t="shared" si="27"/>
        <v>297</v>
      </c>
      <c r="E890" s="1" t="str">
        <f t="shared" si="26"/>
        <v>Ramada 115</v>
      </c>
    </row>
    <row r="891" spans="1:5">
      <c r="A891" s="1">
        <v>891</v>
      </c>
      <c r="D891" s="1">
        <f t="shared" si="27"/>
        <v>297</v>
      </c>
      <c r="E891" s="1" t="str">
        <f t="shared" si="26"/>
        <v>Ramada 115</v>
      </c>
    </row>
    <row r="892" spans="1:5">
      <c r="A892" s="1">
        <v>892</v>
      </c>
      <c r="D892" s="1">
        <f t="shared" si="27"/>
        <v>298</v>
      </c>
      <c r="E892" s="1" t="str">
        <f t="shared" si="26"/>
        <v>San Antonio (Boyacá) 115</v>
      </c>
    </row>
    <row r="893" spans="1:5">
      <c r="A893" s="1">
        <v>893</v>
      </c>
      <c r="D893" s="1">
        <f t="shared" si="27"/>
        <v>298</v>
      </c>
      <c r="E893" s="1" t="str">
        <f t="shared" si="26"/>
        <v>San Antonio (Boyacá) 115</v>
      </c>
    </row>
    <row r="894" spans="1:5">
      <c r="A894" s="1">
        <v>894</v>
      </c>
      <c r="D894" s="1">
        <f t="shared" si="27"/>
        <v>298</v>
      </c>
      <c r="E894" s="1" t="str">
        <f t="shared" si="26"/>
        <v>San Antonio (Boyacá) 115</v>
      </c>
    </row>
    <row r="895" spans="1:5">
      <c r="A895" s="1">
        <v>895</v>
      </c>
      <c r="D895" s="1">
        <f t="shared" si="27"/>
        <v>299</v>
      </c>
      <c r="E895" s="1" t="str">
        <f t="shared" si="26"/>
        <v>San Antonio 220</v>
      </c>
    </row>
    <row r="896" spans="1:5">
      <c r="A896" s="1">
        <v>896</v>
      </c>
      <c r="D896" s="1">
        <f t="shared" si="27"/>
        <v>299</v>
      </c>
      <c r="E896" s="1" t="str">
        <f t="shared" si="26"/>
        <v>San Antonio 220</v>
      </c>
    </row>
    <row r="897" spans="1:5">
      <c r="A897" s="1">
        <v>897</v>
      </c>
      <c r="D897" s="1">
        <f t="shared" si="27"/>
        <v>299</v>
      </c>
      <c r="E897" s="1" t="str">
        <f t="shared" ref="E897:E960" si="28">+VLOOKUP(D897,$A$1:$B$1076,2,FALSE)</f>
        <v>San Antonio 220</v>
      </c>
    </row>
    <row r="898" spans="1:5">
      <c r="A898" s="1">
        <v>898</v>
      </c>
      <c r="D898" s="1">
        <f t="shared" si="27"/>
        <v>300</v>
      </c>
      <c r="E898" s="1" t="str">
        <f t="shared" si="28"/>
        <v>San Luis 115</v>
      </c>
    </row>
    <row r="899" spans="1:5">
      <c r="A899" s="1">
        <v>899</v>
      </c>
      <c r="D899" s="1">
        <f t="shared" si="27"/>
        <v>300</v>
      </c>
      <c r="E899" s="1" t="str">
        <f t="shared" si="28"/>
        <v>San Luis 115</v>
      </c>
    </row>
    <row r="900" spans="1:5">
      <c r="A900" s="1">
        <v>900</v>
      </c>
      <c r="D900" s="1">
        <f t="shared" ref="D900:D963" si="29">+D897+1</f>
        <v>300</v>
      </c>
      <c r="E900" s="1" t="str">
        <f t="shared" si="28"/>
        <v>San Luis 115</v>
      </c>
    </row>
    <row r="901" spans="1:5">
      <c r="A901" s="1">
        <v>901</v>
      </c>
      <c r="D901" s="1">
        <f t="shared" si="29"/>
        <v>301</v>
      </c>
      <c r="E901" s="1" t="str">
        <f t="shared" si="28"/>
        <v>San Pablo 115</v>
      </c>
    </row>
    <row r="902" spans="1:5">
      <c r="A902" s="1">
        <v>902</v>
      </c>
      <c r="D902" s="1">
        <f t="shared" si="29"/>
        <v>301</v>
      </c>
      <c r="E902" s="1" t="str">
        <f t="shared" si="28"/>
        <v>San Pablo 115</v>
      </c>
    </row>
    <row r="903" spans="1:5">
      <c r="A903" s="1">
        <v>903</v>
      </c>
      <c r="D903" s="1">
        <f t="shared" si="29"/>
        <v>301</v>
      </c>
      <c r="E903" s="1" t="str">
        <f t="shared" si="28"/>
        <v>San Pablo 115</v>
      </c>
    </row>
    <row r="904" spans="1:5">
      <c r="A904" s="1">
        <v>904</v>
      </c>
      <c r="D904" s="1">
        <f t="shared" si="29"/>
        <v>302</v>
      </c>
      <c r="E904" s="1" t="str">
        <f t="shared" si="28"/>
        <v>Santa Rosalía 115</v>
      </c>
    </row>
    <row r="905" spans="1:5">
      <c r="A905" s="1">
        <v>905</v>
      </c>
      <c r="D905" s="1">
        <f t="shared" si="29"/>
        <v>302</v>
      </c>
      <c r="E905" s="1" t="str">
        <f t="shared" si="28"/>
        <v>Santa Rosalía 115</v>
      </c>
    </row>
    <row r="906" spans="1:5">
      <c r="A906" s="1">
        <v>906</v>
      </c>
      <c r="D906" s="1">
        <f t="shared" si="29"/>
        <v>302</v>
      </c>
      <c r="E906" s="1" t="str">
        <f t="shared" si="28"/>
        <v>Santa Rosalía 115</v>
      </c>
    </row>
    <row r="907" spans="1:5">
      <c r="A907" s="1">
        <v>907</v>
      </c>
      <c r="D907" s="1">
        <f t="shared" si="29"/>
        <v>303</v>
      </c>
      <c r="E907" s="1" t="str">
        <f t="shared" si="28"/>
        <v>Sidenal 115</v>
      </c>
    </row>
    <row r="908" spans="1:5">
      <c r="A908" s="1">
        <v>908</v>
      </c>
      <c r="D908" s="1">
        <f t="shared" si="29"/>
        <v>303</v>
      </c>
      <c r="E908" s="1" t="str">
        <f t="shared" si="28"/>
        <v>Sidenal 115</v>
      </c>
    </row>
    <row r="909" spans="1:5">
      <c r="A909" s="1">
        <v>909</v>
      </c>
      <c r="D909" s="1">
        <f t="shared" si="29"/>
        <v>303</v>
      </c>
      <c r="E909" s="1" t="str">
        <f t="shared" si="28"/>
        <v>Sidenal 115</v>
      </c>
    </row>
    <row r="910" spans="1:5">
      <c r="A910" s="1">
        <v>910</v>
      </c>
      <c r="D910" s="1">
        <f t="shared" si="29"/>
        <v>304</v>
      </c>
      <c r="E910" s="1" t="str">
        <f t="shared" si="28"/>
        <v>Sochagota 115</v>
      </c>
    </row>
    <row r="911" spans="1:5">
      <c r="A911" s="1">
        <v>911</v>
      </c>
      <c r="D911" s="1">
        <f t="shared" si="29"/>
        <v>304</v>
      </c>
      <c r="E911" s="1" t="str">
        <f t="shared" si="28"/>
        <v>Sochagota 115</v>
      </c>
    </row>
    <row r="912" spans="1:5">
      <c r="A912" s="1">
        <v>912</v>
      </c>
      <c r="D912" s="1">
        <f t="shared" si="29"/>
        <v>304</v>
      </c>
      <c r="E912" s="1" t="str">
        <f t="shared" si="28"/>
        <v>Sochagota 115</v>
      </c>
    </row>
    <row r="913" spans="1:5">
      <c r="A913" s="1">
        <v>913</v>
      </c>
      <c r="D913" s="1">
        <f t="shared" si="29"/>
        <v>305</v>
      </c>
      <c r="E913" s="1" t="str">
        <f t="shared" si="28"/>
        <v>Sochagota 220</v>
      </c>
    </row>
    <row r="914" spans="1:5">
      <c r="A914" s="1">
        <v>914</v>
      </c>
      <c r="D914" s="1">
        <f t="shared" si="29"/>
        <v>305</v>
      </c>
      <c r="E914" s="1" t="str">
        <f t="shared" si="28"/>
        <v>Sochagota 220</v>
      </c>
    </row>
    <row r="915" spans="1:5">
      <c r="A915" s="1">
        <v>915</v>
      </c>
      <c r="D915" s="1">
        <f t="shared" si="29"/>
        <v>305</v>
      </c>
      <c r="E915" s="1" t="str">
        <f t="shared" si="28"/>
        <v>Sochagota 220</v>
      </c>
    </row>
    <row r="916" spans="1:5">
      <c r="A916" s="1">
        <v>916</v>
      </c>
      <c r="D916" s="1">
        <f t="shared" si="29"/>
        <v>306</v>
      </c>
      <c r="E916" s="1" t="str">
        <f t="shared" si="28"/>
        <v>Sta Rosa 115</v>
      </c>
    </row>
    <row r="917" spans="1:5">
      <c r="A917" s="1">
        <v>917</v>
      </c>
      <c r="D917" s="1">
        <f t="shared" si="29"/>
        <v>306</v>
      </c>
      <c r="E917" s="1" t="str">
        <f t="shared" si="28"/>
        <v>Sta Rosa 115</v>
      </c>
    </row>
    <row r="918" spans="1:5">
      <c r="A918" s="1">
        <v>918</v>
      </c>
      <c r="D918" s="1">
        <f t="shared" si="29"/>
        <v>306</v>
      </c>
      <c r="E918" s="1" t="str">
        <f t="shared" si="28"/>
        <v>Sta Rosa 115</v>
      </c>
    </row>
    <row r="919" spans="1:5">
      <c r="A919" s="1">
        <v>919</v>
      </c>
      <c r="D919" s="1">
        <f t="shared" si="29"/>
        <v>307</v>
      </c>
      <c r="E919" s="1" t="str">
        <f t="shared" si="28"/>
        <v>Suaita 115</v>
      </c>
    </row>
    <row r="920" spans="1:5">
      <c r="A920" s="1">
        <v>920</v>
      </c>
      <c r="D920" s="1">
        <f t="shared" si="29"/>
        <v>307</v>
      </c>
      <c r="E920" s="1" t="str">
        <f t="shared" si="28"/>
        <v>Suaita 115</v>
      </c>
    </row>
    <row r="921" spans="1:5">
      <c r="A921" s="1">
        <v>921</v>
      </c>
      <c r="D921" s="1">
        <f t="shared" si="29"/>
        <v>307</v>
      </c>
      <c r="E921" s="1" t="str">
        <f t="shared" si="28"/>
        <v>Suaita 115</v>
      </c>
    </row>
    <row r="922" spans="1:5">
      <c r="A922" s="1">
        <v>922</v>
      </c>
      <c r="D922" s="1">
        <f t="shared" si="29"/>
        <v>308</v>
      </c>
      <c r="E922" s="1" t="str">
        <f t="shared" si="28"/>
        <v>Suamox 115</v>
      </c>
    </row>
    <row r="923" spans="1:5">
      <c r="A923" s="1">
        <v>923</v>
      </c>
      <c r="D923" s="1">
        <f t="shared" si="29"/>
        <v>308</v>
      </c>
      <c r="E923" s="1" t="str">
        <f t="shared" si="28"/>
        <v>Suamox 115</v>
      </c>
    </row>
    <row r="924" spans="1:5">
      <c r="A924" s="1">
        <v>924</v>
      </c>
      <c r="D924" s="1">
        <f t="shared" si="29"/>
        <v>308</v>
      </c>
      <c r="E924" s="1" t="str">
        <f t="shared" si="28"/>
        <v>Suamox 115</v>
      </c>
    </row>
    <row r="925" spans="1:5">
      <c r="A925" s="1">
        <v>925</v>
      </c>
      <c r="D925" s="1">
        <f t="shared" si="29"/>
        <v>309</v>
      </c>
      <c r="E925" s="1" t="str">
        <f t="shared" si="28"/>
        <v>Termoyopal 115</v>
      </c>
    </row>
    <row r="926" spans="1:5">
      <c r="A926" s="1">
        <v>926</v>
      </c>
      <c r="D926" s="1">
        <f t="shared" si="29"/>
        <v>309</v>
      </c>
      <c r="E926" s="1" t="str">
        <f t="shared" si="28"/>
        <v>Termoyopal 115</v>
      </c>
    </row>
    <row r="927" spans="1:5">
      <c r="A927" s="1">
        <v>927</v>
      </c>
      <c r="D927" s="1">
        <f t="shared" si="29"/>
        <v>309</v>
      </c>
      <c r="E927" s="1" t="str">
        <f t="shared" si="28"/>
        <v>Termoyopal 115</v>
      </c>
    </row>
    <row r="928" spans="1:5">
      <c r="A928" s="1">
        <v>928</v>
      </c>
      <c r="D928" s="1">
        <f t="shared" si="29"/>
        <v>310</v>
      </c>
      <c r="E928" s="1" t="str">
        <f t="shared" si="28"/>
        <v>Toquilla 115</v>
      </c>
    </row>
    <row r="929" spans="1:5">
      <c r="A929" s="1">
        <v>929</v>
      </c>
      <c r="D929" s="1">
        <f t="shared" si="29"/>
        <v>310</v>
      </c>
      <c r="E929" s="1" t="str">
        <f t="shared" si="28"/>
        <v>Toquilla 115</v>
      </c>
    </row>
    <row r="930" spans="1:5">
      <c r="A930" s="1">
        <v>930</v>
      </c>
      <c r="D930" s="1">
        <f t="shared" si="29"/>
        <v>310</v>
      </c>
      <c r="E930" s="1" t="str">
        <f t="shared" si="28"/>
        <v>Toquilla 115</v>
      </c>
    </row>
    <row r="931" spans="1:5">
      <c r="A931" s="1">
        <v>931</v>
      </c>
      <c r="D931" s="1">
        <f t="shared" si="29"/>
        <v>311</v>
      </c>
      <c r="E931" s="1" t="str">
        <f t="shared" si="28"/>
        <v>Tunja 115</v>
      </c>
    </row>
    <row r="932" spans="1:5">
      <c r="A932" s="1">
        <v>932</v>
      </c>
      <c r="D932" s="1">
        <f t="shared" si="29"/>
        <v>311</v>
      </c>
      <c r="E932" s="1" t="str">
        <f t="shared" si="28"/>
        <v>Tunja 115</v>
      </c>
    </row>
    <row r="933" spans="1:5">
      <c r="A933" s="1">
        <v>933</v>
      </c>
      <c r="D933" s="1">
        <f t="shared" si="29"/>
        <v>311</v>
      </c>
      <c r="E933" s="1" t="str">
        <f t="shared" si="28"/>
        <v>Tunja 115</v>
      </c>
    </row>
    <row r="934" spans="1:5">
      <c r="A934" s="1">
        <v>934</v>
      </c>
      <c r="D934" s="1">
        <f t="shared" si="29"/>
        <v>312</v>
      </c>
      <c r="E934" s="1" t="str">
        <f t="shared" si="28"/>
        <v>Yopal 115</v>
      </c>
    </row>
    <row r="935" spans="1:5">
      <c r="A935" s="1">
        <v>935</v>
      </c>
      <c r="D935" s="1">
        <f t="shared" si="29"/>
        <v>312</v>
      </c>
      <c r="E935" s="1" t="str">
        <f t="shared" si="28"/>
        <v>Yopal 115</v>
      </c>
    </row>
    <row r="936" spans="1:5">
      <c r="A936" s="1">
        <v>936</v>
      </c>
      <c r="D936" s="1">
        <f t="shared" si="29"/>
        <v>312</v>
      </c>
      <c r="E936" s="1" t="str">
        <f t="shared" si="28"/>
        <v>Yopal 115</v>
      </c>
    </row>
    <row r="937" spans="1:5">
      <c r="A937" s="1">
        <v>937</v>
      </c>
      <c r="D937" s="1">
        <f t="shared" si="29"/>
        <v>313</v>
      </c>
      <c r="E937" s="1" t="str">
        <f t="shared" si="28"/>
        <v>Yopalosa 115</v>
      </c>
    </row>
    <row r="938" spans="1:5">
      <c r="A938" s="1">
        <v>938</v>
      </c>
      <c r="D938" s="1">
        <f t="shared" si="29"/>
        <v>313</v>
      </c>
      <c r="E938" s="1" t="str">
        <f t="shared" si="28"/>
        <v>Yopalosa 115</v>
      </c>
    </row>
    <row r="939" spans="1:5">
      <c r="A939" s="1">
        <v>939</v>
      </c>
      <c r="D939" s="1">
        <f t="shared" si="29"/>
        <v>313</v>
      </c>
      <c r="E939" s="1" t="str">
        <f t="shared" si="28"/>
        <v>Yopalosa 115</v>
      </c>
    </row>
    <row r="940" spans="1:5">
      <c r="A940" s="1">
        <v>940</v>
      </c>
      <c r="D940" s="1">
        <f t="shared" si="29"/>
        <v>314</v>
      </c>
      <c r="E940" s="1" t="str">
        <f t="shared" si="28"/>
        <v>Armenia 115</v>
      </c>
    </row>
    <row r="941" spans="1:5">
      <c r="A941" s="1">
        <v>941</v>
      </c>
      <c r="D941" s="1">
        <f t="shared" si="29"/>
        <v>314</v>
      </c>
      <c r="E941" s="1" t="str">
        <f t="shared" si="28"/>
        <v>Armenia 115</v>
      </c>
    </row>
    <row r="942" spans="1:5">
      <c r="A942" s="1">
        <v>942</v>
      </c>
      <c r="D942" s="1">
        <f t="shared" si="29"/>
        <v>314</v>
      </c>
      <c r="E942" s="1" t="str">
        <f t="shared" si="28"/>
        <v>Armenia 115</v>
      </c>
    </row>
    <row r="943" spans="1:5">
      <c r="A943" s="1">
        <v>943</v>
      </c>
      <c r="D943" s="1">
        <f t="shared" si="29"/>
        <v>315</v>
      </c>
      <c r="E943" s="1" t="str">
        <f t="shared" si="28"/>
        <v>Armenia 220</v>
      </c>
    </row>
    <row r="944" spans="1:5">
      <c r="A944" s="1">
        <v>944</v>
      </c>
      <c r="D944" s="1">
        <f t="shared" si="29"/>
        <v>315</v>
      </c>
      <c r="E944" s="1" t="str">
        <f t="shared" si="28"/>
        <v>Armenia 220</v>
      </c>
    </row>
    <row r="945" spans="1:5">
      <c r="A945" s="1">
        <v>945</v>
      </c>
      <c r="D945" s="1">
        <f t="shared" si="29"/>
        <v>315</v>
      </c>
      <c r="E945" s="1" t="str">
        <f t="shared" si="28"/>
        <v>Armenia 220</v>
      </c>
    </row>
    <row r="946" spans="1:5">
      <c r="A946" s="1">
        <v>946</v>
      </c>
      <c r="D946" s="1">
        <f t="shared" si="29"/>
        <v>316</v>
      </c>
      <c r="E946" s="1" t="str">
        <f t="shared" si="28"/>
        <v>Cuba 115</v>
      </c>
    </row>
    <row r="947" spans="1:5">
      <c r="A947" s="1">
        <v>947</v>
      </c>
      <c r="D947" s="1">
        <f t="shared" si="29"/>
        <v>316</v>
      </c>
      <c r="E947" s="1" t="str">
        <f t="shared" si="28"/>
        <v>Cuba 115</v>
      </c>
    </row>
    <row r="948" spans="1:5">
      <c r="A948" s="1">
        <v>948</v>
      </c>
      <c r="D948" s="1">
        <f t="shared" si="29"/>
        <v>316</v>
      </c>
      <c r="E948" s="1" t="str">
        <f t="shared" si="28"/>
        <v>Cuba 115</v>
      </c>
    </row>
    <row r="949" spans="1:5">
      <c r="A949" s="1">
        <v>949</v>
      </c>
      <c r="D949" s="1">
        <f t="shared" si="29"/>
        <v>317</v>
      </c>
      <c r="E949" s="1" t="str">
        <f t="shared" si="28"/>
        <v>Dorada 115</v>
      </c>
    </row>
    <row r="950" spans="1:5">
      <c r="A950" s="1">
        <v>950</v>
      </c>
      <c r="D950" s="1">
        <f t="shared" si="29"/>
        <v>317</v>
      </c>
      <c r="E950" s="1" t="str">
        <f t="shared" si="28"/>
        <v>Dorada 115</v>
      </c>
    </row>
    <row r="951" spans="1:5">
      <c r="A951" s="1">
        <v>951</v>
      </c>
      <c r="D951" s="1">
        <f t="shared" si="29"/>
        <v>317</v>
      </c>
      <c r="E951" s="1" t="str">
        <f t="shared" si="28"/>
        <v>Dorada 115</v>
      </c>
    </row>
    <row r="952" spans="1:5">
      <c r="A952" s="1">
        <v>952</v>
      </c>
      <c r="D952" s="1">
        <f t="shared" si="29"/>
        <v>318</v>
      </c>
      <c r="E952" s="1" t="str">
        <f t="shared" si="28"/>
        <v>Dosquebradas 115</v>
      </c>
    </row>
    <row r="953" spans="1:5">
      <c r="A953" s="1">
        <v>953</v>
      </c>
      <c r="D953" s="1">
        <f t="shared" si="29"/>
        <v>318</v>
      </c>
      <c r="E953" s="1" t="str">
        <f t="shared" si="28"/>
        <v>Dosquebradas 115</v>
      </c>
    </row>
    <row r="954" spans="1:5">
      <c r="A954" s="1">
        <v>954</v>
      </c>
      <c r="D954" s="1">
        <f t="shared" si="29"/>
        <v>318</v>
      </c>
      <c r="E954" s="1" t="str">
        <f t="shared" si="28"/>
        <v>Dosquebradas 115</v>
      </c>
    </row>
    <row r="955" spans="1:5">
      <c r="A955" s="1">
        <v>955</v>
      </c>
      <c r="D955" s="1">
        <f t="shared" si="29"/>
        <v>319</v>
      </c>
      <c r="E955" s="1" t="str">
        <f t="shared" si="28"/>
        <v>Enea 115</v>
      </c>
    </row>
    <row r="956" spans="1:5">
      <c r="A956" s="1">
        <v>956</v>
      </c>
      <c r="D956" s="1">
        <f t="shared" si="29"/>
        <v>319</v>
      </c>
      <c r="E956" s="1" t="str">
        <f t="shared" si="28"/>
        <v>Enea 115</v>
      </c>
    </row>
    <row r="957" spans="1:5">
      <c r="A957" s="1">
        <v>957</v>
      </c>
      <c r="D957" s="1">
        <f t="shared" si="29"/>
        <v>319</v>
      </c>
      <c r="E957" s="1" t="str">
        <f t="shared" si="28"/>
        <v>Enea 115</v>
      </c>
    </row>
    <row r="958" spans="1:5">
      <c r="A958" s="1">
        <v>958</v>
      </c>
      <c r="D958" s="1">
        <f t="shared" si="29"/>
        <v>320</v>
      </c>
      <c r="E958" s="1" t="str">
        <f t="shared" si="28"/>
        <v>Enea 220</v>
      </c>
    </row>
    <row r="959" spans="1:5">
      <c r="A959" s="1">
        <v>959</v>
      </c>
      <c r="D959" s="1">
        <f t="shared" si="29"/>
        <v>320</v>
      </c>
      <c r="E959" s="1" t="str">
        <f t="shared" si="28"/>
        <v>Enea 220</v>
      </c>
    </row>
    <row r="960" spans="1:5">
      <c r="A960" s="1">
        <v>960</v>
      </c>
      <c r="D960" s="1">
        <f t="shared" si="29"/>
        <v>320</v>
      </c>
      <c r="E960" s="1" t="str">
        <f t="shared" si="28"/>
        <v>Enea 220</v>
      </c>
    </row>
    <row r="961" spans="1:5">
      <c r="A961" s="1">
        <v>961</v>
      </c>
      <c r="D961" s="1">
        <f t="shared" si="29"/>
        <v>321</v>
      </c>
      <c r="E961" s="1" t="str">
        <f t="shared" ref="E961:E1024" si="30">+VLOOKUP(D961,$A$1:$B$1076,2,FALSE)</f>
        <v>Esmeralda 220</v>
      </c>
    </row>
    <row r="962" spans="1:5">
      <c r="A962" s="1">
        <v>962</v>
      </c>
      <c r="D962" s="1">
        <f t="shared" si="29"/>
        <v>321</v>
      </c>
      <c r="E962" s="1" t="str">
        <f t="shared" si="30"/>
        <v>Esmeralda 220</v>
      </c>
    </row>
    <row r="963" spans="1:5">
      <c r="A963" s="1">
        <v>963</v>
      </c>
      <c r="D963" s="1">
        <f t="shared" si="29"/>
        <v>321</v>
      </c>
      <c r="E963" s="1" t="str">
        <f t="shared" si="30"/>
        <v>Esmeralda 220</v>
      </c>
    </row>
    <row r="964" spans="1:5">
      <c r="A964" s="1">
        <v>964</v>
      </c>
      <c r="D964" s="1">
        <f t="shared" ref="D964:D1027" si="31">+D961+1</f>
        <v>322</v>
      </c>
      <c r="E964" s="1" t="str">
        <f t="shared" si="30"/>
        <v>Esmeralda CQR 115</v>
      </c>
    </row>
    <row r="965" spans="1:5">
      <c r="A965" s="1">
        <v>965</v>
      </c>
      <c r="D965" s="1">
        <f t="shared" si="31"/>
        <v>322</v>
      </c>
      <c r="E965" s="1" t="str">
        <f t="shared" si="30"/>
        <v>Esmeralda CQR 115</v>
      </c>
    </row>
    <row r="966" spans="1:5">
      <c r="A966" s="1">
        <v>966</v>
      </c>
      <c r="D966" s="1">
        <f t="shared" si="31"/>
        <v>322</v>
      </c>
      <c r="E966" s="1" t="str">
        <f t="shared" si="30"/>
        <v>Esmeralda CQR 115</v>
      </c>
    </row>
    <row r="967" spans="1:5">
      <c r="A967" s="1">
        <v>967</v>
      </c>
      <c r="D967" s="1">
        <f t="shared" si="31"/>
        <v>323</v>
      </c>
      <c r="E967" s="1" t="str">
        <f t="shared" si="30"/>
        <v>Hermosa 115</v>
      </c>
    </row>
    <row r="968" spans="1:5">
      <c r="A968" s="1">
        <v>968</v>
      </c>
      <c r="D968" s="1">
        <f t="shared" si="31"/>
        <v>323</v>
      </c>
      <c r="E968" s="1" t="str">
        <f t="shared" si="30"/>
        <v>Hermosa 115</v>
      </c>
    </row>
    <row r="969" spans="1:5">
      <c r="A969" s="1">
        <v>969</v>
      </c>
      <c r="D969" s="1">
        <f t="shared" si="31"/>
        <v>323</v>
      </c>
      <c r="E969" s="1" t="str">
        <f t="shared" si="30"/>
        <v>Hermosa 115</v>
      </c>
    </row>
    <row r="970" spans="1:5">
      <c r="A970" s="1">
        <v>970</v>
      </c>
      <c r="D970" s="1">
        <f t="shared" si="31"/>
        <v>324</v>
      </c>
      <c r="E970" s="1" t="str">
        <f t="shared" si="30"/>
        <v>Hermosa 220</v>
      </c>
    </row>
    <row r="971" spans="1:5">
      <c r="A971" s="1">
        <v>971</v>
      </c>
      <c r="D971" s="1">
        <f t="shared" si="31"/>
        <v>324</v>
      </c>
      <c r="E971" s="1" t="str">
        <f t="shared" si="30"/>
        <v>Hermosa 220</v>
      </c>
    </row>
    <row r="972" spans="1:5">
      <c r="A972" s="1">
        <v>972</v>
      </c>
      <c r="D972" s="1">
        <f t="shared" si="31"/>
        <v>324</v>
      </c>
      <c r="E972" s="1" t="str">
        <f t="shared" si="30"/>
        <v>Hermosa 220</v>
      </c>
    </row>
    <row r="973" spans="1:5">
      <c r="A973" s="1">
        <v>973</v>
      </c>
      <c r="D973" s="1">
        <f t="shared" si="31"/>
        <v>325</v>
      </c>
      <c r="E973" s="1" t="str">
        <f t="shared" si="30"/>
        <v>Insula CQR 115</v>
      </c>
    </row>
    <row r="974" spans="1:5">
      <c r="A974" s="1">
        <v>974</v>
      </c>
      <c r="D974" s="1">
        <f t="shared" si="31"/>
        <v>325</v>
      </c>
      <c r="E974" s="1" t="str">
        <f t="shared" si="30"/>
        <v>Insula CQR 115</v>
      </c>
    </row>
    <row r="975" spans="1:5">
      <c r="A975" s="1">
        <v>975</v>
      </c>
      <c r="D975" s="1">
        <f t="shared" si="31"/>
        <v>325</v>
      </c>
      <c r="E975" s="1" t="str">
        <f t="shared" si="30"/>
        <v>Insula CQR 115</v>
      </c>
    </row>
    <row r="976" spans="1:5">
      <c r="A976" s="1">
        <v>976</v>
      </c>
      <c r="D976" s="1">
        <f t="shared" si="31"/>
        <v>326</v>
      </c>
      <c r="E976" s="1" t="str">
        <f t="shared" si="30"/>
        <v>Irra 115</v>
      </c>
    </row>
    <row r="977" spans="1:5">
      <c r="A977" s="1">
        <v>977</v>
      </c>
      <c r="D977" s="1">
        <f t="shared" si="31"/>
        <v>326</v>
      </c>
      <c r="E977" s="1" t="str">
        <f t="shared" si="30"/>
        <v>Irra 115</v>
      </c>
    </row>
    <row r="978" spans="1:5">
      <c r="A978" s="1">
        <v>978</v>
      </c>
      <c r="D978" s="1">
        <f t="shared" si="31"/>
        <v>326</v>
      </c>
      <c r="E978" s="1" t="str">
        <f t="shared" si="30"/>
        <v>Irra 115</v>
      </c>
    </row>
    <row r="979" spans="1:5">
      <c r="A979" s="1">
        <v>979</v>
      </c>
      <c r="D979" s="1">
        <f t="shared" si="31"/>
        <v>327</v>
      </c>
      <c r="E979" s="1" t="str">
        <f t="shared" si="30"/>
        <v>La Miel 220</v>
      </c>
    </row>
    <row r="980" spans="1:5">
      <c r="A980" s="1">
        <v>980</v>
      </c>
      <c r="D980" s="1">
        <f t="shared" si="31"/>
        <v>327</v>
      </c>
      <c r="E980" s="1" t="str">
        <f t="shared" si="30"/>
        <v>La Miel 220</v>
      </c>
    </row>
    <row r="981" spans="1:5">
      <c r="A981" s="1">
        <v>981</v>
      </c>
      <c r="D981" s="1">
        <f t="shared" si="31"/>
        <v>327</v>
      </c>
      <c r="E981" s="1" t="str">
        <f t="shared" si="30"/>
        <v>La Miel 220</v>
      </c>
    </row>
    <row r="982" spans="1:5">
      <c r="A982" s="1">
        <v>982</v>
      </c>
      <c r="D982" s="1">
        <f t="shared" si="31"/>
        <v>328</v>
      </c>
      <c r="E982" s="1" t="str">
        <f t="shared" si="30"/>
        <v>La Rosa 115</v>
      </c>
    </row>
    <row r="983" spans="1:5">
      <c r="A983" s="1">
        <v>983</v>
      </c>
      <c r="D983" s="1">
        <f t="shared" si="31"/>
        <v>328</v>
      </c>
      <c r="E983" s="1" t="str">
        <f t="shared" si="30"/>
        <v>La Rosa 115</v>
      </c>
    </row>
    <row r="984" spans="1:5">
      <c r="A984" s="1">
        <v>984</v>
      </c>
      <c r="D984" s="1">
        <f t="shared" si="31"/>
        <v>328</v>
      </c>
      <c r="E984" s="1" t="str">
        <f t="shared" si="30"/>
        <v>La Rosa 115</v>
      </c>
    </row>
    <row r="985" spans="1:5">
      <c r="A985" s="1">
        <v>985</v>
      </c>
      <c r="D985" s="1">
        <f t="shared" si="31"/>
        <v>329</v>
      </c>
      <c r="E985" s="1" t="str">
        <f t="shared" si="30"/>
        <v>Manizales 115</v>
      </c>
    </row>
    <row r="986" spans="1:5">
      <c r="A986" s="1">
        <v>986</v>
      </c>
      <c r="D986" s="1">
        <f t="shared" si="31"/>
        <v>329</v>
      </c>
      <c r="E986" s="1" t="str">
        <f t="shared" si="30"/>
        <v>Manizales 115</v>
      </c>
    </row>
    <row r="987" spans="1:5">
      <c r="A987" s="1">
        <v>987</v>
      </c>
      <c r="D987" s="1">
        <f t="shared" si="31"/>
        <v>329</v>
      </c>
      <c r="E987" s="1" t="str">
        <f t="shared" si="30"/>
        <v>Manizales 115</v>
      </c>
    </row>
    <row r="988" spans="1:5">
      <c r="A988" s="1">
        <v>988</v>
      </c>
      <c r="D988" s="1">
        <f t="shared" si="31"/>
        <v>330</v>
      </c>
      <c r="E988" s="1" t="str">
        <f t="shared" si="30"/>
        <v>Manzanares 115</v>
      </c>
    </row>
    <row r="989" spans="1:5">
      <c r="A989" s="1">
        <v>989</v>
      </c>
      <c r="D989" s="1">
        <f t="shared" si="31"/>
        <v>330</v>
      </c>
      <c r="E989" s="1" t="str">
        <f t="shared" si="30"/>
        <v>Manzanares 115</v>
      </c>
    </row>
    <row r="990" spans="1:5">
      <c r="A990" s="1">
        <v>990</v>
      </c>
      <c r="D990" s="1">
        <f t="shared" si="31"/>
        <v>330</v>
      </c>
      <c r="E990" s="1" t="str">
        <f t="shared" si="30"/>
        <v>Manzanares 115</v>
      </c>
    </row>
    <row r="991" spans="1:5">
      <c r="A991" s="1">
        <v>991</v>
      </c>
      <c r="D991" s="1">
        <f t="shared" si="31"/>
        <v>331</v>
      </c>
      <c r="E991" s="1" t="str">
        <f t="shared" si="30"/>
        <v>Molinos 115</v>
      </c>
    </row>
    <row r="992" spans="1:5">
      <c r="A992" s="1">
        <v>992</v>
      </c>
      <c r="D992" s="1">
        <f t="shared" si="31"/>
        <v>331</v>
      </c>
      <c r="E992" s="1" t="str">
        <f t="shared" si="30"/>
        <v>Molinos 115</v>
      </c>
    </row>
    <row r="993" spans="1:5">
      <c r="A993" s="1">
        <v>993</v>
      </c>
      <c r="D993" s="1">
        <f t="shared" si="31"/>
        <v>331</v>
      </c>
      <c r="E993" s="1" t="str">
        <f t="shared" si="30"/>
        <v>Molinos 115</v>
      </c>
    </row>
    <row r="994" spans="1:5">
      <c r="A994" s="1">
        <v>994</v>
      </c>
      <c r="D994" s="1">
        <f t="shared" si="31"/>
        <v>332</v>
      </c>
      <c r="E994" s="1" t="str">
        <f t="shared" si="30"/>
        <v>Papeles 115</v>
      </c>
    </row>
    <row r="995" spans="1:5">
      <c r="A995" s="1">
        <v>995</v>
      </c>
      <c r="D995" s="1">
        <f t="shared" si="31"/>
        <v>332</v>
      </c>
      <c r="E995" s="1" t="str">
        <f t="shared" si="30"/>
        <v>Papeles 115</v>
      </c>
    </row>
    <row r="996" spans="1:5">
      <c r="A996" s="1">
        <v>996</v>
      </c>
      <c r="D996" s="1">
        <f t="shared" si="31"/>
        <v>332</v>
      </c>
      <c r="E996" s="1" t="str">
        <f t="shared" si="30"/>
        <v>Papeles 115</v>
      </c>
    </row>
    <row r="997" spans="1:5">
      <c r="A997" s="1">
        <v>997</v>
      </c>
      <c r="D997" s="1">
        <f t="shared" si="31"/>
        <v>333</v>
      </c>
      <c r="E997" s="1" t="str">
        <f t="shared" si="30"/>
        <v>Pavas 115</v>
      </c>
    </row>
    <row r="998" spans="1:5">
      <c r="A998" s="1">
        <v>998</v>
      </c>
      <c r="D998" s="1">
        <f t="shared" si="31"/>
        <v>333</v>
      </c>
      <c r="E998" s="1" t="str">
        <f t="shared" si="30"/>
        <v>Pavas 115</v>
      </c>
    </row>
    <row r="999" spans="1:5">
      <c r="A999" s="1">
        <v>999</v>
      </c>
      <c r="D999" s="1">
        <f t="shared" si="31"/>
        <v>333</v>
      </c>
      <c r="E999" s="1" t="str">
        <f t="shared" si="30"/>
        <v>Pavas 115</v>
      </c>
    </row>
    <row r="1000" spans="1:5">
      <c r="A1000" s="1">
        <v>1000</v>
      </c>
      <c r="D1000" s="1">
        <f t="shared" si="31"/>
        <v>334</v>
      </c>
      <c r="E1000" s="1" t="str">
        <f t="shared" si="30"/>
        <v>Peralonso 115</v>
      </c>
    </row>
    <row r="1001" spans="1:5">
      <c r="A1001" s="1">
        <v>1001</v>
      </c>
      <c r="D1001" s="1">
        <f t="shared" si="31"/>
        <v>334</v>
      </c>
      <c r="E1001" s="1" t="str">
        <f t="shared" si="30"/>
        <v>Peralonso 115</v>
      </c>
    </row>
    <row r="1002" spans="1:5">
      <c r="A1002" s="1">
        <v>1002</v>
      </c>
      <c r="D1002" s="1">
        <f t="shared" si="31"/>
        <v>334</v>
      </c>
      <c r="E1002" s="1" t="str">
        <f t="shared" si="30"/>
        <v>Peralonso 115</v>
      </c>
    </row>
    <row r="1003" spans="1:5">
      <c r="A1003" s="1">
        <v>1003</v>
      </c>
      <c r="D1003" s="1">
        <f t="shared" si="31"/>
        <v>335</v>
      </c>
      <c r="E1003" s="1" t="str">
        <f t="shared" si="30"/>
        <v>Purnio 115</v>
      </c>
    </row>
    <row r="1004" spans="1:5">
      <c r="A1004" s="1">
        <v>1004</v>
      </c>
      <c r="D1004" s="1">
        <f t="shared" si="31"/>
        <v>335</v>
      </c>
      <c r="E1004" s="1" t="str">
        <f t="shared" si="30"/>
        <v>Purnio 115</v>
      </c>
    </row>
    <row r="1005" spans="1:5">
      <c r="A1005" s="1">
        <v>1005</v>
      </c>
      <c r="D1005" s="1">
        <f t="shared" si="31"/>
        <v>335</v>
      </c>
      <c r="E1005" s="1" t="str">
        <f t="shared" si="30"/>
        <v>Purnio 115</v>
      </c>
    </row>
    <row r="1006" spans="1:5">
      <c r="A1006" s="1">
        <v>1006</v>
      </c>
      <c r="D1006" s="1">
        <f t="shared" si="31"/>
        <v>336</v>
      </c>
      <c r="E1006" s="1" t="str">
        <f t="shared" si="30"/>
        <v>Regivit 115</v>
      </c>
    </row>
    <row r="1007" spans="1:5">
      <c r="A1007" s="1">
        <v>1007</v>
      </c>
      <c r="D1007" s="1">
        <f t="shared" si="31"/>
        <v>336</v>
      </c>
      <c r="E1007" s="1" t="str">
        <f t="shared" si="30"/>
        <v>Regivit 115</v>
      </c>
    </row>
    <row r="1008" spans="1:5">
      <c r="A1008" s="1">
        <v>1008</v>
      </c>
      <c r="D1008" s="1">
        <f t="shared" si="31"/>
        <v>336</v>
      </c>
      <c r="E1008" s="1" t="str">
        <f t="shared" si="30"/>
        <v>Regivit 115</v>
      </c>
    </row>
    <row r="1009" spans="1:5">
      <c r="A1009" s="1">
        <v>1009</v>
      </c>
      <c r="D1009" s="1">
        <f t="shared" si="31"/>
        <v>337</v>
      </c>
      <c r="E1009" s="1" t="str">
        <f t="shared" si="30"/>
        <v>Rio Sucio 115</v>
      </c>
    </row>
    <row r="1010" spans="1:5">
      <c r="A1010" s="1">
        <v>1010</v>
      </c>
      <c r="D1010" s="1">
        <f t="shared" si="31"/>
        <v>337</v>
      </c>
      <c r="E1010" s="1" t="str">
        <f t="shared" si="30"/>
        <v>Rio Sucio 115</v>
      </c>
    </row>
    <row r="1011" spans="1:5">
      <c r="A1011" s="1">
        <v>1011</v>
      </c>
      <c r="D1011" s="1">
        <f t="shared" si="31"/>
        <v>337</v>
      </c>
      <c r="E1011" s="1" t="str">
        <f t="shared" si="30"/>
        <v>Rio Sucio 115</v>
      </c>
    </row>
    <row r="1012" spans="1:5">
      <c r="A1012" s="1">
        <v>1012</v>
      </c>
      <c r="D1012" s="1">
        <f t="shared" si="31"/>
        <v>338</v>
      </c>
      <c r="E1012" s="1" t="str">
        <f t="shared" si="30"/>
        <v>Salamina 115</v>
      </c>
    </row>
    <row r="1013" spans="1:5">
      <c r="A1013" s="1">
        <v>1013</v>
      </c>
      <c r="D1013" s="1">
        <f t="shared" si="31"/>
        <v>338</v>
      </c>
      <c r="E1013" s="1" t="str">
        <f t="shared" si="30"/>
        <v>Salamina 115</v>
      </c>
    </row>
    <row r="1014" spans="1:5">
      <c r="A1014" s="1">
        <v>1014</v>
      </c>
      <c r="D1014" s="1">
        <f t="shared" si="31"/>
        <v>338</v>
      </c>
      <c r="E1014" s="1" t="str">
        <f t="shared" si="30"/>
        <v>Salamina 115</v>
      </c>
    </row>
    <row r="1015" spans="1:5">
      <c r="A1015" s="1">
        <v>1015</v>
      </c>
      <c r="D1015" s="1">
        <f t="shared" si="31"/>
        <v>339</v>
      </c>
      <c r="E1015" s="1" t="str">
        <f t="shared" si="30"/>
        <v>Salamina 220</v>
      </c>
    </row>
    <row r="1016" spans="1:5">
      <c r="A1016" s="1">
        <v>1016</v>
      </c>
      <c r="D1016" s="1">
        <f t="shared" si="31"/>
        <v>339</v>
      </c>
      <c r="E1016" s="1" t="str">
        <f t="shared" si="30"/>
        <v>Salamina 220</v>
      </c>
    </row>
    <row r="1017" spans="1:5">
      <c r="A1017" s="1">
        <v>1017</v>
      </c>
      <c r="D1017" s="1">
        <f t="shared" si="31"/>
        <v>339</v>
      </c>
      <c r="E1017" s="1" t="str">
        <f t="shared" si="30"/>
        <v>Salamina 220</v>
      </c>
    </row>
    <row r="1018" spans="1:5">
      <c r="A1018" s="1">
        <v>1018</v>
      </c>
      <c r="D1018" s="1">
        <f t="shared" si="31"/>
        <v>340</v>
      </c>
      <c r="E1018" s="1" t="str">
        <f t="shared" si="30"/>
        <v>San Felipe 115</v>
      </c>
    </row>
    <row r="1019" spans="1:5">
      <c r="A1019" s="1">
        <v>1019</v>
      </c>
      <c r="D1019" s="1">
        <f t="shared" si="31"/>
        <v>340</v>
      </c>
      <c r="E1019" s="1" t="str">
        <f t="shared" si="30"/>
        <v>San Felipe 115</v>
      </c>
    </row>
    <row r="1020" spans="1:5">
      <c r="A1020" s="1">
        <v>1020</v>
      </c>
      <c r="D1020" s="1">
        <f t="shared" si="31"/>
        <v>340</v>
      </c>
      <c r="E1020" s="1" t="str">
        <f t="shared" si="30"/>
        <v>San Felipe 115</v>
      </c>
    </row>
    <row r="1021" spans="1:5">
      <c r="A1021" s="1">
        <v>1021</v>
      </c>
      <c r="D1021" s="1">
        <f t="shared" si="31"/>
        <v>341</v>
      </c>
      <c r="E1021" s="1" t="str">
        <f t="shared" si="30"/>
        <v>San Felipe 220</v>
      </c>
    </row>
    <row r="1022" spans="1:5">
      <c r="A1022" s="1">
        <v>1022</v>
      </c>
      <c r="D1022" s="1">
        <f t="shared" si="31"/>
        <v>341</v>
      </c>
      <c r="E1022" s="1" t="str">
        <f t="shared" si="30"/>
        <v>San Felipe 220</v>
      </c>
    </row>
    <row r="1023" spans="1:5">
      <c r="A1023" s="1">
        <v>1023</v>
      </c>
      <c r="D1023" s="1">
        <f t="shared" si="31"/>
        <v>341</v>
      </c>
      <c r="E1023" s="1" t="str">
        <f t="shared" si="30"/>
        <v>San Felipe 220</v>
      </c>
    </row>
    <row r="1024" spans="1:5">
      <c r="A1024" s="1">
        <v>1024</v>
      </c>
      <c r="D1024" s="1">
        <f t="shared" si="31"/>
        <v>342</v>
      </c>
      <c r="E1024" s="1" t="str">
        <f t="shared" si="30"/>
        <v>San Francisco 115</v>
      </c>
    </row>
    <row r="1025" spans="1:5">
      <c r="A1025" s="1">
        <v>1025</v>
      </c>
      <c r="D1025" s="1">
        <f t="shared" si="31"/>
        <v>342</v>
      </c>
      <c r="E1025" s="1" t="str">
        <f t="shared" ref="E1025:E1088" si="32">+VLOOKUP(D1025,$A$1:$B$1076,2,FALSE)</f>
        <v>San Francisco 115</v>
      </c>
    </row>
    <row r="1026" spans="1:5">
      <c r="A1026" s="1">
        <v>1026</v>
      </c>
      <c r="D1026" s="1">
        <f t="shared" si="31"/>
        <v>342</v>
      </c>
      <c r="E1026" s="1" t="str">
        <f t="shared" si="32"/>
        <v>San Francisco 115</v>
      </c>
    </row>
    <row r="1027" spans="1:5">
      <c r="A1027" s="1">
        <v>1027</v>
      </c>
      <c r="D1027" s="1">
        <f t="shared" si="31"/>
        <v>343</v>
      </c>
      <c r="E1027" s="1" t="str">
        <f t="shared" si="32"/>
        <v>San Lorenzo 220</v>
      </c>
    </row>
    <row r="1028" spans="1:5">
      <c r="A1028" s="1">
        <v>1028</v>
      </c>
      <c r="D1028" s="1">
        <f t="shared" ref="D1028:D1091" si="33">+D1025+1</f>
        <v>343</v>
      </c>
      <c r="E1028" s="1" t="str">
        <f t="shared" si="32"/>
        <v>San Lorenzo 220</v>
      </c>
    </row>
    <row r="1029" spans="1:5">
      <c r="A1029" s="1">
        <v>1029</v>
      </c>
      <c r="D1029" s="1">
        <f t="shared" si="33"/>
        <v>343</v>
      </c>
      <c r="E1029" s="1" t="str">
        <f t="shared" si="32"/>
        <v>San Lorenzo 220</v>
      </c>
    </row>
    <row r="1030" spans="1:5">
      <c r="A1030" s="1">
        <v>1030</v>
      </c>
      <c r="D1030" s="1">
        <f t="shared" si="33"/>
        <v>344</v>
      </c>
      <c r="E1030" s="1" t="str">
        <f t="shared" si="32"/>
        <v>Victoria COR 115</v>
      </c>
    </row>
    <row r="1031" spans="1:5">
      <c r="A1031" s="1">
        <v>1031</v>
      </c>
      <c r="D1031" s="1">
        <f t="shared" si="33"/>
        <v>344</v>
      </c>
      <c r="E1031" s="1" t="str">
        <f t="shared" si="32"/>
        <v>Victoria COR 115</v>
      </c>
    </row>
    <row r="1032" spans="1:5">
      <c r="A1032" s="1">
        <v>1032</v>
      </c>
      <c r="D1032" s="1">
        <f t="shared" si="33"/>
        <v>344</v>
      </c>
      <c r="E1032" s="1" t="str">
        <f t="shared" si="32"/>
        <v>Victoria COR 115</v>
      </c>
    </row>
    <row r="1033" spans="1:5">
      <c r="A1033" s="1">
        <v>1033</v>
      </c>
      <c r="D1033" s="1">
        <f t="shared" si="33"/>
        <v>345</v>
      </c>
      <c r="E1033" s="1" t="str">
        <f t="shared" si="32"/>
        <v>Virginia 220</v>
      </c>
    </row>
    <row r="1034" spans="1:5">
      <c r="A1034" s="1">
        <v>1034</v>
      </c>
      <c r="D1034" s="1">
        <f t="shared" si="33"/>
        <v>345</v>
      </c>
      <c r="E1034" s="1" t="str">
        <f t="shared" si="32"/>
        <v>Virginia 220</v>
      </c>
    </row>
    <row r="1035" spans="1:5">
      <c r="A1035" s="1">
        <v>1035</v>
      </c>
      <c r="D1035" s="1">
        <f t="shared" si="33"/>
        <v>345</v>
      </c>
      <c r="E1035" s="1" t="str">
        <f t="shared" si="32"/>
        <v>Virginia 220</v>
      </c>
    </row>
    <row r="1036" spans="1:5">
      <c r="A1036" s="1">
        <v>1036</v>
      </c>
      <c r="D1036" s="1">
        <f t="shared" si="33"/>
        <v>346</v>
      </c>
      <c r="E1036" s="1" t="str">
        <f t="shared" si="32"/>
        <v>Virginia 500</v>
      </c>
    </row>
    <row r="1037" spans="1:5">
      <c r="A1037" s="1">
        <v>1037</v>
      </c>
      <c r="D1037" s="1">
        <f t="shared" si="33"/>
        <v>346</v>
      </c>
      <c r="E1037" s="1" t="str">
        <f t="shared" si="32"/>
        <v>Virginia 500</v>
      </c>
    </row>
    <row r="1038" spans="1:5">
      <c r="A1038" s="1">
        <v>1038</v>
      </c>
      <c r="D1038" s="1">
        <f t="shared" si="33"/>
        <v>346</v>
      </c>
      <c r="E1038" s="1" t="str">
        <f t="shared" si="32"/>
        <v>Virginia 500</v>
      </c>
    </row>
    <row r="1039" spans="1:5">
      <c r="A1039" s="1">
        <v>1039</v>
      </c>
      <c r="D1039" s="1">
        <f t="shared" si="33"/>
        <v>347</v>
      </c>
      <c r="E1039" s="1" t="str">
        <f t="shared" si="32"/>
        <v>Viterbo 115</v>
      </c>
    </row>
    <row r="1040" spans="1:5">
      <c r="A1040" s="1">
        <v>1040</v>
      </c>
      <c r="D1040" s="1">
        <f t="shared" si="33"/>
        <v>347</v>
      </c>
      <c r="E1040" s="1" t="str">
        <f t="shared" si="32"/>
        <v>Viterbo 115</v>
      </c>
    </row>
    <row r="1041" spans="1:5">
      <c r="A1041" s="1">
        <v>1041</v>
      </c>
      <c r="D1041" s="1">
        <f t="shared" si="33"/>
        <v>347</v>
      </c>
      <c r="E1041" s="1" t="str">
        <f t="shared" si="32"/>
        <v>Viterbo 115</v>
      </c>
    </row>
    <row r="1042" spans="1:5">
      <c r="A1042" s="1">
        <v>1042</v>
      </c>
      <c r="D1042" s="1">
        <f t="shared" si="33"/>
        <v>348</v>
      </c>
      <c r="E1042" s="1" t="str">
        <f t="shared" si="32"/>
        <v>Altamira 115</v>
      </c>
    </row>
    <row r="1043" spans="1:5">
      <c r="A1043" s="1">
        <v>1043</v>
      </c>
      <c r="D1043" s="1">
        <f t="shared" si="33"/>
        <v>348</v>
      </c>
      <c r="E1043" s="1" t="str">
        <f t="shared" si="32"/>
        <v>Altamira 115</v>
      </c>
    </row>
    <row r="1044" spans="1:5">
      <c r="A1044" s="1">
        <v>1044</v>
      </c>
      <c r="D1044" s="1">
        <f t="shared" si="33"/>
        <v>348</v>
      </c>
      <c r="E1044" s="1" t="str">
        <f t="shared" si="32"/>
        <v>Altamira 115</v>
      </c>
    </row>
    <row r="1045" spans="1:5">
      <c r="A1045" s="1">
        <v>1045</v>
      </c>
      <c r="D1045" s="1">
        <f t="shared" si="33"/>
        <v>349</v>
      </c>
      <c r="E1045" s="1" t="str">
        <f t="shared" si="32"/>
        <v>Altamira 220</v>
      </c>
    </row>
    <row r="1046" spans="1:5">
      <c r="A1046" s="1">
        <v>1046</v>
      </c>
      <c r="D1046" s="1">
        <f t="shared" si="33"/>
        <v>349</v>
      </c>
      <c r="E1046" s="1" t="str">
        <f t="shared" si="32"/>
        <v>Altamira 220</v>
      </c>
    </row>
    <row r="1047" spans="1:5">
      <c r="A1047" s="1">
        <v>1047</v>
      </c>
      <c r="D1047" s="1">
        <f t="shared" si="33"/>
        <v>349</v>
      </c>
      <c r="E1047" s="1" t="str">
        <f t="shared" si="32"/>
        <v>Altamira 220</v>
      </c>
    </row>
    <row r="1048" spans="1:5">
      <c r="A1048" s="1">
        <v>1048</v>
      </c>
      <c r="D1048" s="1">
        <f t="shared" si="33"/>
        <v>350</v>
      </c>
      <c r="E1048" s="1" t="str">
        <f t="shared" si="32"/>
        <v>Doncello 115</v>
      </c>
    </row>
    <row r="1049" spans="1:5">
      <c r="A1049" s="1">
        <v>1049</v>
      </c>
      <c r="D1049" s="1">
        <f t="shared" si="33"/>
        <v>350</v>
      </c>
      <c r="E1049" s="1" t="str">
        <f t="shared" si="32"/>
        <v>Doncello 115</v>
      </c>
    </row>
    <row r="1050" spans="1:5">
      <c r="A1050" s="1">
        <v>1050</v>
      </c>
      <c r="D1050" s="1">
        <f t="shared" si="33"/>
        <v>350</v>
      </c>
      <c r="E1050" s="1" t="str">
        <f t="shared" si="32"/>
        <v>Doncello 115</v>
      </c>
    </row>
    <row r="1051" spans="1:5">
      <c r="A1051" s="1">
        <v>1051</v>
      </c>
      <c r="D1051" s="1">
        <f t="shared" si="33"/>
        <v>351</v>
      </c>
      <c r="E1051" s="1" t="str">
        <f t="shared" si="32"/>
        <v>Florencia 115</v>
      </c>
    </row>
    <row r="1052" spans="1:5">
      <c r="A1052" s="1">
        <v>1052</v>
      </c>
      <c r="D1052" s="1">
        <f t="shared" si="33"/>
        <v>351</v>
      </c>
      <c r="E1052" s="1" t="str">
        <f t="shared" si="32"/>
        <v>Florencia 115</v>
      </c>
    </row>
    <row r="1053" spans="1:5">
      <c r="A1053" s="1">
        <v>1053</v>
      </c>
      <c r="D1053" s="1">
        <f t="shared" si="33"/>
        <v>351</v>
      </c>
      <c r="E1053" s="1" t="str">
        <f t="shared" si="32"/>
        <v>Florencia 115</v>
      </c>
    </row>
    <row r="1054" spans="1:5">
      <c r="A1054" s="1">
        <v>1054</v>
      </c>
      <c r="D1054" s="1">
        <f t="shared" si="33"/>
        <v>352</v>
      </c>
      <c r="E1054" s="1" t="str">
        <f t="shared" si="32"/>
        <v>Hobo 115</v>
      </c>
    </row>
    <row r="1055" spans="1:5">
      <c r="A1055" s="1">
        <v>1055</v>
      </c>
      <c r="D1055" s="1">
        <f t="shared" si="33"/>
        <v>352</v>
      </c>
      <c r="E1055" s="1" t="str">
        <f t="shared" si="32"/>
        <v>Hobo 115</v>
      </c>
    </row>
    <row r="1056" spans="1:5">
      <c r="A1056" s="1">
        <v>1056</v>
      </c>
      <c r="D1056" s="1">
        <f t="shared" si="33"/>
        <v>352</v>
      </c>
      <c r="E1056" s="1" t="str">
        <f t="shared" si="32"/>
        <v>Hobo 115</v>
      </c>
    </row>
    <row r="1057" spans="1:5">
      <c r="A1057" s="1">
        <v>1057</v>
      </c>
      <c r="D1057" s="1">
        <f t="shared" si="33"/>
        <v>353</v>
      </c>
      <c r="E1057" s="1" t="str">
        <f t="shared" si="32"/>
        <v>Pitalito 115</v>
      </c>
    </row>
    <row r="1058" spans="1:5">
      <c r="A1058" s="1">
        <v>1058</v>
      </c>
      <c r="D1058" s="1">
        <f t="shared" si="33"/>
        <v>353</v>
      </c>
      <c r="E1058" s="1" t="str">
        <f t="shared" si="32"/>
        <v>Pitalito 115</v>
      </c>
    </row>
    <row r="1059" spans="1:5">
      <c r="A1059" s="1">
        <v>1059</v>
      </c>
      <c r="D1059" s="1">
        <f t="shared" si="33"/>
        <v>353</v>
      </c>
      <c r="E1059" s="1" t="str">
        <f t="shared" si="32"/>
        <v>Pitalito 115</v>
      </c>
    </row>
    <row r="1060" spans="1:5">
      <c r="A1060" s="1">
        <v>1060</v>
      </c>
      <c r="D1060" s="1">
        <f t="shared" si="33"/>
        <v>354</v>
      </c>
      <c r="E1060" s="1" t="str">
        <f t="shared" si="32"/>
        <v>Segovianas 115</v>
      </c>
    </row>
    <row r="1061" spans="1:5">
      <c r="A1061" s="1">
        <v>1061</v>
      </c>
      <c r="D1061" s="1">
        <f t="shared" si="33"/>
        <v>354</v>
      </c>
      <c r="E1061" s="1" t="str">
        <f t="shared" si="32"/>
        <v>Segovianas 115</v>
      </c>
    </row>
    <row r="1062" spans="1:5">
      <c r="A1062" s="1">
        <v>1062</v>
      </c>
      <c r="D1062" s="1">
        <f t="shared" si="33"/>
        <v>354</v>
      </c>
      <c r="E1062" s="1" t="str">
        <f t="shared" si="32"/>
        <v>Segovianas 115</v>
      </c>
    </row>
    <row r="1063" spans="1:5">
      <c r="A1063" s="1">
        <v>1063</v>
      </c>
      <c r="D1063" s="1">
        <f t="shared" si="33"/>
        <v>355</v>
      </c>
      <c r="E1063" s="1" t="str">
        <f t="shared" si="32"/>
        <v>Catambuco 115</v>
      </c>
    </row>
    <row r="1064" spans="1:5">
      <c r="A1064" s="1">
        <v>1064</v>
      </c>
      <c r="D1064" s="1">
        <f t="shared" si="33"/>
        <v>355</v>
      </c>
      <c r="E1064" s="1" t="str">
        <f t="shared" si="32"/>
        <v>Catambuco 115</v>
      </c>
    </row>
    <row r="1065" spans="1:5">
      <c r="A1065" s="1">
        <v>1065</v>
      </c>
      <c r="D1065" s="1">
        <f t="shared" si="33"/>
        <v>355</v>
      </c>
      <c r="E1065" s="1" t="str">
        <f t="shared" si="32"/>
        <v>Catambuco 115</v>
      </c>
    </row>
    <row r="1066" spans="1:5">
      <c r="A1066" s="1">
        <v>1066</v>
      </c>
      <c r="D1066" s="1">
        <f t="shared" si="33"/>
        <v>356</v>
      </c>
      <c r="E1066" s="1" t="str">
        <f t="shared" si="32"/>
        <v>El Zaque 115</v>
      </c>
    </row>
    <row r="1067" spans="1:5">
      <c r="A1067" s="1">
        <v>1067</v>
      </c>
      <c r="D1067" s="1">
        <f t="shared" si="33"/>
        <v>356</v>
      </c>
      <c r="E1067" s="1" t="str">
        <f t="shared" si="32"/>
        <v>El Zaque 115</v>
      </c>
    </row>
    <row r="1068" spans="1:5">
      <c r="A1068" s="1">
        <v>1068</v>
      </c>
      <c r="D1068" s="1">
        <f t="shared" si="33"/>
        <v>356</v>
      </c>
      <c r="E1068" s="1" t="str">
        <f t="shared" si="32"/>
        <v>El Zaque 115</v>
      </c>
    </row>
    <row r="1069" spans="1:5">
      <c r="A1069" s="1">
        <v>1069</v>
      </c>
      <c r="D1069" s="1">
        <f t="shared" si="33"/>
        <v>357</v>
      </c>
      <c r="E1069" s="1" t="str">
        <f t="shared" si="32"/>
        <v>Florida (Cauca) 115</v>
      </c>
    </row>
    <row r="1070" spans="1:5">
      <c r="A1070" s="1">
        <v>1070</v>
      </c>
      <c r="D1070" s="1">
        <f t="shared" si="33"/>
        <v>357</v>
      </c>
      <c r="E1070" s="1" t="str">
        <f t="shared" si="32"/>
        <v>Florida (Cauca) 115</v>
      </c>
    </row>
    <row r="1071" spans="1:5">
      <c r="A1071" s="1">
        <v>1071</v>
      </c>
      <c r="D1071" s="1">
        <f t="shared" si="33"/>
        <v>357</v>
      </c>
      <c r="E1071" s="1" t="str">
        <f t="shared" si="32"/>
        <v>Florida (Cauca) 115</v>
      </c>
    </row>
    <row r="1072" spans="1:5">
      <c r="A1072" s="1">
        <v>1072</v>
      </c>
      <c r="D1072" s="1">
        <f t="shared" si="33"/>
        <v>358</v>
      </c>
      <c r="E1072" s="1" t="str">
        <f t="shared" si="32"/>
        <v>Guapi 115</v>
      </c>
    </row>
    <row r="1073" spans="1:5">
      <c r="A1073" s="1">
        <v>1073</v>
      </c>
      <c r="D1073" s="1">
        <f t="shared" si="33"/>
        <v>358</v>
      </c>
      <c r="E1073" s="1" t="str">
        <f t="shared" si="32"/>
        <v>Guapi 115</v>
      </c>
    </row>
    <row r="1074" spans="1:5">
      <c r="A1074" s="1">
        <v>1074</v>
      </c>
      <c r="D1074" s="1">
        <f t="shared" si="33"/>
        <v>358</v>
      </c>
      <c r="E1074" s="1" t="str">
        <f t="shared" si="32"/>
        <v>Guapi 115</v>
      </c>
    </row>
    <row r="1075" spans="1:5">
      <c r="A1075" s="1">
        <v>1075</v>
      </c>
      <c r="D1075" s="1">
        <f t="shared" si="33"/>
        <v>359</v>
      </c>
      <c r="E1075" s="1" t="str">
        <f t="shared" si="32"/>
        <v>Jamondino 115</v>
      </c>
    </row>
    <row r="1076" spans="1:5">
      <c r="A1076" s="1">
        <v>1076</v>
      </c>
      <c r="D1076" s="1">
        <f t="shared" si="33"/>
        <v>359</v>
      </c>
      <c r="E1076" s="1" t="str">
        <f t="shared" si="32"/>
        <v>Jamondino 115</v>
      </c>
    </row>
    <row r="1077" spans="1:5">
      <c r="D1077" s="1">
        <f t="shared" si="33"/>
        <v>359</v>
      </c>
      <c r="E1077" s="1" t="str">
        <f t="shared" si="32"/>
        <v>Jamondino 115</v>
      </c>
    </row>
    <row r="1078" spans="1:5">
      <c r="D1078" s="1">
        <f t="shared" si="33"/>
        <v>360</v>
      </c>
      <c r="E1078" s="1" t="str">
        <f t="shared" si="32"/>
        <v>Jamondino 220</v>
      </c>
    </row>
    <row r="1079" spans="1:5">
      <c r="D1079" s="1">
        <f t="shared" si="33"/>
        <v>360</v>
      </c>
      <c r="E1079" s="1" t="str">
        <f t="shared" si="32"/>
        <v>Jamondino 220</v>
      </c>
    </row>
    <row r="1080" spans="1:5">
      <c r="D1080" s="1">
        <f t="shared" si="33"/>
        <v>360</v>
      </c>
      <c r="E1080" s="1" t="str">
        <f t="shared" si="32"/>
        <v>Jamondino 220</v>
      </c>
    </row>
    <row r="1081" spans="1:5">
      <c r="D1081" s="1">
        <f t="shared" si="33"/>
        <v>361</v>
      </c>
      <c r="E1081" s="1" t="str">
        <f t="shared" si="32"/>
        <v>Jamundi 115</v>
      </c>
    </row>
    <row r="1082" spans="1:5">
      <c r="D1082" s="1">
        <f t="shared" si="33"/>
        <v>361</v>
      </c>
      <c r="E1082" s="1" t="str">
        <f t="shared" si="32"/>
        <v>Jamundi 115</v>
      </c>
    </row>
    <row r="1083" spans="1:5">
      <c r="D1083" s="1">
        <f t="shared" si="33"/>
        <v>361</v>
      </c>
      <c r="E1083" s="1" t="str">
        <f t="shared" si="32"/>
        <v>Jamundi 115</v>
      </c>
    </row>
    <row r="1084" spans="1:5">
      <c r="D1084" s="1">
        <f t="shared" si="33"/>
        <v>362</v>
      </c>
      <c r="E1084" s="1" t="str">
        <f t="shared" si="32"/>
        <v>Jardinera 115</v>
      </c>
    </row>
    <row r="1085" spans="1:5">
      <c r="D1085" s="1">
        <f t="shared" si="33"/>
        <v>362</v>
      </c>
      <c r="E1085" s="1" t="str">
        <f t="shared" si="32"/>
        <v>Jardinera 115</v>
      </c>
    </row>
    <row r="1086" spans="1:5">
      <c r="D1086" s="1">
        <f t="shared" si="33"/>
        <v>362</v>
      </c>
      <c r="E1086" s="1" t="str">
        <f t="shared" si="32"/>
        <v>Jardinera 115</v>
      </c>
    </row>
    <row r="1087" spans="1:5">
      <c r="D1087" s="1">
        <f t="shared" si="33"/>
        <v>363</v>
      </c>
      <c r="E1087" s="1" t="str">
        <f t="shared" si="32"/>
        <v>Junin 115</v>
      </c>
    </row>
    <row r="1088" spans="1:5">
      <c r="D1088" s="1">
        <f t="shared" si="33"/>
        <v>363</v>
      </c>
      <c r="E1088" s="1" t="str">
        <f t="shared" si="32"/>
        <v>Junin 115</v>
      </c>
    </row>
    <row r="1089" spans="4:5">
      <c r="D1089" s="1">
        <f t="shared" si="33"/>
        <v>363</v>
      </c>
      <c r="E1089" s="1" t="str">
        <f t="shared" ref="E1089:E1152" si="34">+VLOOKUP(D1089,$A$1:$B$1076,2,FALSE)</f>
        <v>Junin 115</v>
      </c>
    </row>
    <row r="1090" spans="4:5">
      <c r="D1090" s="1">
        <f t="shared" si="33"/>
        <v>364</v>
      </c>
      <c r="E1090" s="1" t="str">
        <f t="shared" si="34"/>
        <v>Olaya 115</v>
      </c>
    </row>
    <row r="1091" spans="4:5">
      <c r="D1091" s="1">
        <f t="shared" si="33"/>
        <v>364</v>
      </c>
      <c r="E1091" s="1" t="str">
        <f t="shared" si="34"/>
        <v>Olaya 115</v>
      </c>
    </row>
    <row r="1092" spans="4:5">
      <c r="D1092" s="1">
        <f t="shared" ref="D1092:D1155" si="35">+D1089+1</f>
        <v>364</v>
      </c>
      <c r="E1092" s="1" t="str">
        <f t="shared" si="34"/>
        <v>Olaya 115</v>
      </c>
    </row>
    <row r="1093" spans="4:5">
      <c r="D1093" s="1">
        <f t="shared" si="35"/>
        <v>365</v>
      </c>
      <c r="E1093" s="1" t="str">
        <f t="shared" si="34"/>
        <v>Paez (Cabaña) 115</v>
      </c>
    </row>
    <row r="1094" spans="4:5">
      <c r="D1094" s="1">
        <f t="shared" si="35"/>
        <v>365</v>
      </c>
      <c r="E1094" s="1" t="str">
        <f t="shared" si="34"/>
        <v>Paez (Cabaña) 115</v>
      </c>
    </row>
    <row r="1095" spans="4:5">
      <c r="D1095" s="1">
        <f t="shared" si="35"/>
        <v>365</v>
      </c>
      <c r="E1095" s="1" t="str">
        <f t="shared" si="34"/>
        <v>Paez (Cabaña) 115</v>
      </c>
    </row>
    <row r="1096" spans="4:5">
      <c r="D1096" s="1">
        <f t="shared" si="35"/>
        <v>366</v>
      </c>
      <c r="E1096" s="1" t="str">
        <f t="shared" si="34"/>
        <v>Paez 220</v>
      </c>
    </row>
    <row r="1097" spans="4:5">
      <c r="D1097" s="1">
        <f t="shared" si="35"/>
        <v>366</v>
      </c>
      <c r="E1097" s="1" t="str">
        <f t="shared" si="34"/>
        <v>Paez 220</v>
      </c>
    </row>
    <row r="1098" spans="4:5">
      <c r="D1098" s="1">
        <f t="shared" si="35"/>
        <v>366</v>
      </c>
      <c r="E1098" s="1" t="str">
        <f t="shared" si="34"/>
        <v>Paez 220</v>
      </c>
    </row>
    <row r="1099" spans="4:5">
      <c r="D1099" s="1">
        <f t="shared" si="35"/>
        <v>367</v>
      </c>
      <c r="E1099" s="1" t="str">
        <f t="shared" si="34"/>
        <v>Panamericana 115</v>
      </c>
    </row>
    <row r="1100" spans="4:5">
      <c r="D1100" s="1">
        <f t="shared" si="35"/>
        <v>367</v>
      </c>
      <c r="E1100" s="1" t="str">
        <f t="shared" si="34"/>
        <v>Panamericana 115</v>
      </c>
    </row>
    <row r="1101" spans="4:5">
      <c r="D1101" s="1">
        <f t="shared" si="35"/>
        <v>367</v>
      </c>
      <c r="E1101" s="1" t="str">
        <f t="shared" si="34"/>
        <v>Panamericana 115</v>
      </c>
    </row>
    <row r="1102" spans="4:5">
      <c r="D1102" s="1">
        <f t="shared" si="35"/>
        <v>368</v>
      </c>
      <c r="E1102" s="1" t="str">
        <f t="shared" si="34"/>
        <v>Pasto 115</v>
      </c>
    </row>
    <row r="1103" spans="4:5">
      <c r="D1103" s="1">
        <f t="shared" si="35"/>
        <v>368</v>
      </c>
      <c r="E1103" s="1" t="str">
        <f t="shared" si="34"/>
        <v>Pasto 115</v>
      </c>
    </row>
    <row r="1104" spans="4:5">
      <c r="D1104" s="1">
        <f t="shared" si="35"/>
        <v>368</v>
      </c>
      <c r="E1104" s="1" t="str">
        <f t="shared" si="34"/>
        <v>Pasto 115</v>
      </c>
    </row>
    <row r="1105" spans="4:5">
      <c r="D1105" s="1">
        <f t="shared" si="35"/>
        <v>369</v>
      </c>
      <c r="E1105" s="1" t="str">
        <f t="shared" si="34"/>
        <v>Popayán 115</v>
      </c>
    </row>
    <row r="1106" spans="4:5">
      <c r="D1106" s="1">
        <f t="shared" si="35"/>
        <v>369</v>
      </c>
      <c r="E1106" s="1" t="str">
        <f t="shared" si="34"/>
        <v>Popayán 115</v>
      </c>
    </row>
    <row r="1107" spans="4:5">
      <c r="D1107" s="1">
        <f t="shared" si="35"/>
        <v>369</v>
      </c>
      <c r="E1107" s="1" t="str">
        <f t="shared" si="34"/>
        <v>Popayán 115</v>
      </c>
    </row>
    <row r="1108" spans="4:5">
      <c r="D1108" s="1">
        <f t="shared" si="35"/>
        <v>370</v>
      </c>
      <c r="E1108" s="1" t="str">
        <f t="shared" si="34"/>
        <v>Renacer 220</v>
      </c>
    </row>
    <row r="1109" spans="4:5">
      <c r="D1109" s="1">
        <f t="shared" si="35"/>
        <v>370</v>
      </c>
      <c r="E1109" s="1" t="str">
        <f t="shared" si="34"/>
        <v>Renacer 220</v>
      </c>
    </row>
    <row r="1110" spans="4:5">
      <c r="D1110" s="1">
        <f t="shared" si="35"/>
        <v>370</v>
      </c>
      <c r="E1110" s="1" t="str">
        <f t="shared" si="34"/>
        <v>Renacer 220</v>
      </c>
    </row>
    <row r="1111" spans="4:5">
      <c r="D1111" s="1">
        <f t="shared" si="35"/>
        <v>371</v>
      </c>
      <c r="E1111" s="1" t="str">
        <f t="shared" si="34"/>
        <v>Rio Mayo 115</v>
      </c>
    </row>
    <row r="1112" spans="4:5">
      <c r="D1112" s="1">
        <f t="shared" si="35"/>
        <v>371</v>
      </c>
      <c r="E1112" s="1" t="str">
        <f t="shared" si="34"/>
        <v>Rio Mayo 115</v>
      </c>
    </row>
    <row r="1113" spans="4:5">
      <c r="D1113" s="1">
        <f t="shared" si="35"/>
        <v>371</v>
      </c>
      <c r="E1113" s="1" t="str">
        <f t="shared" si="34"/>
        <v>Rio Mayo 115</v>
      </c>
    </row>
    <row r="1114" spans="4:5">
      <c r="D1114" s="1">
        <f t="shared" si="35"/>
        <v>372</v>
      </c>
      <c r="E1114" s="1" t="str">
        <f t="shared" si="34"/>
        <v>S Bernardino 220</v>
      </c>
    </row>
    <row r="1115" spans="4:5">
      <c r="D1115" s="1">
        <f t="shared" si="35"/>
        <v>372</v>
      </c>
      <c r="E1115" s="1" t="str">
        <f t="shared" si="34"/>
        <v>S Bernardino 220</v>
      </c>
    </row>
    <row r="1116" spans="4:5">
      <c r="D1116" s="1">
        <f t="shared" si="35"/>
        <v>372</v>
      </c>
      <c r="E1116" s="1" t="str">
        <f t="shared" si="34"/>
        <v>S Bernardino 220</v>
      </c>
    </row>
    <row r="1117" spans="4:5">
      <c r="D1117" s="1">
        <f t="shared" si="35"/>
        <v>373</v>
      </c>
      <c r="E1117" s="1" t="str">
        <f t="shared" si="34"/>
        <v>San Bernardino 115</v>
      </c>
    </row>
    <row r="1118" spans="4:5">
      <c r="D1118" s="1">
        <f t="shared" si="35"/>
        <v>373</v>
      </c>
      <c r="E1118" s="1" t="str">
        <f t="shared" si="34"/>
        <v>San Bernardino 115</v>
      </c>
    </row>
    <row r="1119" spans="4:5">
      <c r="D1119" s="1">
        <f t="shared" si="35"/>
        <v>373</v>
      </c>
      <c r="E1119" s="1" t="str">
        <f t="shared" si="34"/>
        <v>San Bernardino 115</v>
      </c>
    </row>
    <row r="1120" spans="4:5">
      <c r="D1120" s="1">
        <f t="shared" si="35"/>
        <v>374</v>
      </c>
      <c r="E1120" s="1" t="str">
        <f t="shared" si="34"/>
        <v>San Martín 115</v>
      </c>
    </row>
    <row r="1121" spans="4:5">
      <c r="D1121" s="1">
        <f t="shared" si="35"/>
        <v>374</v>
      </c>
      <c r="E1121" s="1" t="str">
        <f t="shared" si="34"/>
        <v>San Martín 115</v>
      </c>
    </row>
    <row r="1122" spans="4:5">
      <c r="D1122" s="1">
        <f t="shared" si="35"/>
        <v>374</v>
      </c>
      <c r="E1122" s="1" t="str">
        <f t="shared" si="34"/>
        <v>San Martín 115</v>
      </c>
    </row>
    <row r="1123" spans="4:5">
      <c r="D1123" s="1">
        <f t="shared" si="35"/>
        <v>375</v>
      </c>
      <c r="E1123" s="1" t="str">
        <f t="shared" si="34"/>
        <v>Santander 115</v>
      </c>
    </row>
    <row r="1124" spans="4:5">
      <c r="D1124" s="1">
        <f t="shared" si="35"/>
        <v>375</v>
      </c>
      <c r="E1124" s="1" t="str">
        <f t="shared" si="34"/>
        <v>Santander 115</v>
      </c>
    </row>
    <row r="1125" spans="4:5">
      <c r="D1125" s="1">
        <f t="shared" si="35"/>
        <v>375</v>
      </c>
      <c r="E1125" s="1" t="str">
        <f t="shared" si="34"/>
        <v>Santander 115</v>
      </c>
    </row>
    <row r="1126" spans="4:5">
      <c r="D1126" s="1">
        <f t="shared" si="35"/>
        <v>376</v>
      </c>
      <c r="E1126" s="1" t="str">
        <f t="shared" si="34"/>
        <v>Tesalia 220</v>
      </c>
    </row>
    <row r="1127" spans="4:5">
      <c r="D1127" s="1">
        <f t="shared" si="35"/>
        <v>376</v>
      </c>
      <c r="E1127" s="1" t="str">
        <f t="shared" si="34"/>
        <v>Tesalia 220</v>
      </c>
    </row>
    <row r="1128" spans="4:5">
      <c r="D1128" s="1">
        <f t="shared" si="35"/>
        <v>376</v>
      </c>
      <c r="E1128" s="1" t="str">
        <f t="shared" si="34"/>
        <v>Tesalia 220</v>
      </c>
    </row>
    <row r="1129" spans="4:5">
      <c r="D1129" s="1">
        <f t="shared" si="35"/>
        <v>377</v>
      </c>
      <c r="E1129" s="1" t="str">
        <f t="shared" si="34"/>
        <v>Tumaco 115</v>
      </c>
    </row>
    <row r="1130" spans="4:5">
      <c r="D1130" s="1">
        <f t="shared" si="35"/>
        <v>377</v>
      </c>
      <c r="E1130" s="1" t="str">
        <f t="shared" si="34"/>
        <v>Tumaco 115</v>
      </c>
    </row>
    <row r="1131" spans="4:5">
      <c r="D1131" s="1">
        <f t="shared" si="35"/>
        <v>377</v>
      </c>
      <c r="E1131" s="1" t="str">
        <f t="shared" si="34"/>
        <v>Tumaco 115</v>
      </c>
    </row>
    <row r="1132" spans="4:5">
      <c r="D1132" s="1">
        <f t="shared" si="35"/>
        <v>378</v>
      </c>
      <c r="E1132" s="1" t="str">
        <f t="shared" si="34"/>
        <v>Caucasia 110</v>
      </c>
    </row>
    <row r="1133" spans="4:5">
      <c r="D1133" s="1">
        <f t="shared" si="35"/>
        <v>378</v>
      </c>
      <c r="E1133" s="1" t="str">
        <f t="shared" si="34"/>
        <v>Caucasia 110</v>
      </c>
    </row>
    <row r="1134" spans="4:5">
      <c r="D1134" s="1">
        <f t="shared" si="35"/>
        <v>378</v>
      </c>
      <c r="E1134" s="1" t="str">
        <f t="shared" si="34"/>
        <v>Caucasia 110</v>
      </c>
    </row>
    <row r="1135" spans="4:5">
      <c r="D1135" s="1">
        <f t="shared" si="35"/>
        <v>379</v>
      </c>
      <c r="E1135" s="1" t="str">
        <f t="shared" si="34"/>
        <v>Cerromatoso 110</v>
      </c>
    </row>
    <row r="1136" spans="4:5">
      <c r="D1136" s="1">
        <f t="shared" si="35"/>
        <v>379</v>
      </c>
      <c r="E1136" s="1" t="str">
        <f t="shared" si="34"/>
        <v>Cerromatoso 110</v>
      </c>
    </row>
    <row r="1137" spans="4:5">
      <c r="D1137" s="1">
        <f t="shared" si="35"/>
        <v>379</v>
      </c>
      <c r="E1137" s="1" t="str">
        <f t="shared" si="34"/>
        <v>Cerromatoso 110</v>
      </c>
    </row>
    <row r="1138" spans="4:5">
      <c r="D1138" s="1">
        <f t="shared" si="35"/>
        <v>380</v>
      </c>
      <c r="E1138" s="1" t="str">
        <f t="shared" si="34"/>
        <v>Cerromatoso 500</v>
      </c>
    </row>
    <row r="1139" spans="4:5">
      <c r="D1139" s="1">
        <f t="shared" si="35"/>
        <v>380</v>
      </c>
      <c r="E1139" s="1" t="str">
        <f t="shared" si="34"/>
        <v>Cerromatoso 500</v>
      </c>
    </row>
    <row r="1140" spans="4:5">
      <c r="D1140" s="1">
        <f t="shared" si="35"/>
        <v>380</v>
      </c>
      <c r="E1140" s="1" t="str">
        <f t="shared" si="34"/>
        <v>Cerromatoso 500</v>
      </c>
    </row>
    <row r="1141" spans="4:5">
      <c r="D1141" s="1">
        <f t="shared" si="35"/>
        <v>381</v>
      </c>
      <c r="E1141" s="1" t="str">
        <f t="shared" si="34"/>
        <v>Gecelca 32 110</v>
      </c>
    </row>
    <row r="1142" spans="4:5">
      <c r="D1142" s="1">
        <f t="shared" si="35"/>
        <v>381</v>
      </c>
      <c r="E1142" s="1" t="str">
        <f t="shared" si="34"/>
        <v>Gecelca 32 110</v>
      </c>
    </row>
    <row r="1143" spans="4:5">
      <c r="D1143" s="1">
        <f t="shared" si="35"/>
        <v>381</v>
      </c>
      <c r="E1143" s="1" t="str">
        <f t="shared" si="34"/>
        <v>Gecelca 32 110</v>
      </c>
    </row>
    <row r="1144" spans="4:5">
      <c r="D1144" s="1">
        <f t="shared" si="35"/>
        <v>382</v>
      </c>
      <c r="E1144" s="1" t="str">
        <f t="shared" si="34"/>
        <v>Gecelca III 110</v>
      </c>
    </row>
    <row r="1145" spans="4:5">
      <c r="D1145" s="1">
        <f t="shared" si="35"/>
        <v>382</v>
      </c>
      <c r="E1145" s="1" t="str">
        <f t="shared" si="34"/>
        <v>Gecelca III 110</v>
      </c>
    </row>
    <row r="1146" spans="4:5">
      <c r="D1146" s="1">
        <f t="shared" si="35"/>
        <v>382</v>
      </c>
      <c r="E1146" s="1" t="str">
        <f t="shared" si="34"/>
        <v>Gecelca III 110</v>
      </c>
    </row>
    <row r="1147" spans="4:5">
      <c r="D1147" s="1">
        <f t="shared" si="35"/>
        <v>383</v>
      </c>
      <c r="E1147" s="1" t="str">
        <f t="shared" si="34"/>
        <v>Planeta 110</v>
      </c>
    </row>
    <row r="1148" spans="4:5">
      <c r="D1148" s="1">
        <f t="shared" si="35"/>
        <v>383</v>
      </c>
      <c r="E1148" s="1" t="str">
        <f t="shared" si="34"/>
        <v>Planeta 110</v>
      </c>
    </row>
    <row r="1149" spans="4:5">
      <c r="D1149" s="1">
        <f t="shared" si="35"/>
        <v>383</v>
      </c>
      <c r="E1149" s="1" t="str">
        <f t="shared" si="34"/>
        <v>Planeta 110</v>
      </c>
    </row>
    <row r="1150" spans="4:5">
      <c r="D1150" s="1">
        <f t="shared" si="35"/>
        <v>384</v>
      </c>
      <c r="E1150" s="1" t="str">
        <f t="shared" si="34"/>
        <v>Apartado 110</v>
      </c>
    </row>
    <row r="1151" spans="4:5">
      <c r="D1151" s="1">
        <f t="shared" si="35"/>
        <v>384</v>
      </c>
      <c r="E1151" s="1" t="str">
        <f t="shared" si="34"/>
        <v>Apartado 110</v>
      </c>
    </row>
    <row r="1152" spans="4:5">
      <c r="D1152" s="1">
        <f t="shared" si="35"/>
        <v>384</v>
      </c>
      <c r="E1152" s="1" t="str">
        <f t="shared" si="34"/>
        <v>Apartado 110</v>
      </c>
    </row>
    <row r="1153" spans="4:5">
      <c r="D1153" s="1">
        <f t="shared" si="35"/>
        <v>385</v>
      </c>
      <c r="E1153" s="1" t="str">
        <f t="shared" ref="E1153:E1216" si="36">+VLOOKUP(D1153,$A$1:$B$1076,2,FALSE)</f>
        <v>Boston 110</v>
      </c>
    </row>
    <row r="1154" spans="4:5">
      <c r="D1154" s="1">
        <f t="shared" si="35"/>
        <v>385</v>
      </c>
      <c r="E1154" s="1" t="str">
        <f t="shared" si="36"/>
        <v>Boston 110</v>
      </c>
    </row>
    <row r="1155" spans="4:5">
      <c r="D1155" s="1">
        <f t="shared" si="35"/>
        <v>385</v>
      </c>
      <c r="E1155" s="1" t="str">
        <f t="shared" si="36"/>
        <v>Boston 110</v>
      </c>
    </row>
    <row r="1156" spans="4:5">
      <c r="D1156" s="1">
        <f t="shared" ref="D1156:D1219" si="37">+D1153+1</f>
        <v>386</v>
      </c>
      <c r="E1156" s="1" t="str">
        <f t="shared" si="36"/>
        <v>Cerete 110</v>
      </c>
    </row>
    <row r="1157" spans="4:5">
      <c r="D1157" s="1">
        <f t="shared" si="37"/>
        <v>386</v>
      </c>
      <c r="E1157" s="1" t="str">
        <f t="shared" si="36"/>
        <v>Cerete 110</v>
      </c>
    </row>
    <row r="1158" spans="4:5">
      <c r="D1158" s="1">
        <f t="shared" si="37"/>
        <v>386</v>
      </c>
      <c r="E1158" s="1" t="str">
        <f t="shared" si="36"/>
        <v>Cerete 110</v>
      </c>
    </row>
    <row r="1159" spans="4:5">
      <c r="D1159" s="1">
        <f t="shared" si="37"/>
        <v>387</v>
      </c>
      <c r="E1159" s="1" t="str">
        <f t="shared" si="36"/>
        <v>Cerromatoso 220</v>
      </c>
    </row>
    <row r="1160" spans="4:5">
      <c r="D1160" s="1">
        <f t="shared" si="37"/>
        <v>387</v>
      </c>
      <c r="E1160" s="1" t="str">
        <f t="shared" si="36"/>
        <v>Cerromatoso 220</v>
      </c>
    </row>
    <row r="1161" spans="4:5">
      <c r="D1161" s="1">
        <f t="shared" si="37"/>
        <v>387</v>
      </c>
      <c r="E1161" s="1" t="str">
        <f t="shared" si="36"/>
        <v>Cerromatoso 220</v>
      </c>
    </row>
    <row r="1162" spans="4:5">
      <c r="D1162" s="1">
        <f t="shared" si="37"/>
        <v>388</v>
      </c>
      <c r="E1162" s="1" t="str">
        <f t="shared" si="36"/>
        <v>Chinu 110</v>
      </c>
    </row>
    <row r="1163" spans="4:5">
      <c r="D1163" s="1">
        <f t="shared" si="37"/>
        <v>388</v>
      </c>
      <c r="E1163" s="1" t="str">
        <f t="shared" si="36"/>
        <v>Chinu 110</v>
      </c>
    </row>
    <row r="1164" spans="4:5">
      <c r="D1164" s="1">
        <f t="shared" si="37"/>
        <v>388</v>
      </c>
      <c r="E1164" s="1" t="str">
        <f t="shared" si="36"/>
        <v>Chinu 110</v>
      </c>
    </row>
    <row r="1165" spans="4:5">
      <c r="D1165" s="1">
        <f t="shared" si="37"/>
        <v>389</v>
      </c>
      <c r="E1165" s="1" t="str">
        <f t="shared" si="36"/>
        <v>Chinu 220</v>
      </c>
    </row>
    <row r="1166" spans="4:5">
      <c r="D1166" s="1">
        <f t="shared" si="37"/>
        <v>389</v>
      </c>
      <c r="E1166" s="1" t="str">
        <f t="shared" si="36"/>
        <v>Chinu 220</v>
      </c>
    </row>
    <row r="1167" spans="4:5">
      <c r="D1167" s="1">
        <f t="shared" si="37"/>
        <v>389</v>
      </c>
      <c r="E1167" s="1" t="str">
        <f t="shared" si="36"/>
        <v>Chinu 220</v>
      </c>
    </row>
    <row r="1168" spans="4:5">
      <c r="D1168" s="1">
        <f t="shared" si="37"/>
        <v>390</v>
      </c>
      <c r="E1168" s="1" t="str">
        <f t="shared" si="36"/>
        <v>Chinu 500</v>
      </c>
    </row>
    <row r="1169" spans="4:5">
      <c r="D1169" s="1">
        <f t="shared" si="37"/>
        <v>390</v>
      </c>
      <c r="E1169" s="1" t="str">
        <f t="shared" si="36"/>
        <v>Chinu 500</v>
      </c>
    </row>
    <row r="1170" spans="4:5">
      <c r="D1170" s="1">
        <f t="shared" si="37"/>
        <v>390</v>
      </c>
      <c r="E1170" s="1" t="str">
        <f t="shared" si="36"/>
        <v>Chinu 500</v>
      </c>
    </row>
    <row r="1171" spans="4:5">
      <c r="D1171" s="1">
        <f t="shared" si="37"/>
        <v>391</v>
      </c>
      <c r="E1171" s="1" t="str">
        <f t="shared" si="36"/>
        <v>Chinu Planta 110</v>
      </c>
    </row>
    <row r="1172" spans="4:5">
      <c r="D1172" s="1">
        <f t="shared" si="37"/>
        <v>391</v>
      </c>
      <c r="E1172" s="1" t="str">
        <f t="shared" si="36"/>
        <v>Chinu Planta 110</v>
      </c>
    </row>
    <row r="1173" spans="4:5">
      <c r="D1173" s="1">
        <f t="shared" si="37"/>
        <v>391</v>
      </c>
      <c r="E1173" s="1" t="str">
        <f t="shared" si="36"/>
        <v>Chinu Planta 110</v>
      </c>
    </row>
    <row r="1174" spans="4:5">
      <c r="D1174" s="1">
        <f t="shared" si="37"/>
        <v>392</v>
      </c>
      <c r="E1174" s="1" t="str">
        <f t="shared" si="36"/>
        <v>Coveñas 110</v>
      </c>
    </row>
    <row r="1175" spans="4:5">
      <c r="D1175" s="1">
        <f t="shared" si="37"/>
        <v>392</v>
      </c>
      <c r="E1175" s="1" t="str">
        <f t="shared" si="36"/>
        <v>Coveñas 110</v>
      </c>
    </row>
    <row r="1176" spans="4:5">
      <c r="D1176" s="1">
        <f t="shared" si="37"/>
        <v>392</v>
      </c>
      <c r="E1176" s="1" t="str">
        <f t="shared" si="36"/>
        <v>Coveñas 110</v>
      </c>
    </row>
    <row r="1177" spans="4:5">
      <c r="D1177" s="1">
        <f t="shared" si="37"/>
        <v>393</v>
      </c>
      <c r="E1177" s="1" t="str">
        <f t="shared" si="36"/>
        <v>La Mojana 110</v>
      </c>
    </row>
    <row r="1178" spans="4:5">
      <c r="D1178" s="1">
        <f t="shared" si="37"/>
        <v>393</v>
      </c>
      <c r="E1178" s="1" t="str">
        <f t="shared" si="36"/>
        <v>La Mojana 110</v>
      </c>
    </row>
    <row r="1179" spans="4:5">
      <c r="D1179" s="1">
        <f t="shared" si="37"/>
        <v>393</v>
      </c>
      <c r="E1179" s="1" t="str">
        <f t="shared" si="36"/>
        <v>La Mojana 110</v>
      </c>
    </row>
    <row r="1180" spans="4:5">
      <c r="D1180" s="1">
        <f t="shared" si="37"/>
        <v>394</v>
      </c>
      <c r="E1180" s="1" t="str">
        <f t="shared" si="36"/>
        <v>Magangué 110</v>
      </c>
    </row>
    <row r="1181" spans="4:5">
      <c r="D1181" s="1">
        <f t="shared" si="37"/>
        <v>394</v>
      </c>
      <c r="E1181" s="1" t="str">
        <f t="shared" si="36"/>
        <v>Magangué 110</v>
      </c>
    </row>
    <row r="1182" spans="4:5">
      <c r="D1182" s="1">
        <f t="shared" si="37"/>
        <v>394</v>
      </c>
      <c r="E1182" s="1" t="str">
        <f t="shared" si="36"/>
        <v>Magangué 110</v>
      </c>
    </row>
    <row r="1183" spans="4:5">
      <c r="D1183" s="1">
        <f t="shared" si="37"/>
        <v>395</v>
      </c>
      <c r="E1183" s="1" t="str">
        <f t="shared" si="36"/>
        <v>Magangué 500</v>
      </c>
    </row>
    <row r="1184" spans="4:5">
      <c r="D1184" s="1">
        <f t="shared" si="37"/>
        <v>395</v>
      </c>
      <c r="E1184" s="1" t="str">
        <f t="shared" si="36"/>
        <v>Magangué 500</v>
      </c>
    </row>
    <row r="1185" spans="4:5">
      <c r="D1185" s="1">
        <f t="shared" si="37"/>
        <v>395</v>
      </c>
      <c r="E1185" s="1" t="str">
        <f t="shared" si="36"/>
        <v>Magangué 500</v>
      </c>
    </row>
    <row r="1186" spans="4:5">
      <c r="D1186" s="1">
        <f t="shared" si="37"/>
        <v>396</v>
      </c>
      <c r="E1186" s="1" t="str">
        <f t="shared" si="36"/>
        <v>Mompox 110</v>
      </c>
    </row>
    <row r="1187" spans="4:5">
      <c r="D1187" s="1">
        <f t="shared" si="37"/>
        <v>396</v>
      </c>
      <c r="E1187" s="1" t="str">
        <f t="shared" si="36"/>
        <v>Mompox 110</v>
      </c>
    </row>
    <row r="1188" spans="4:5">
      <c r="D1188" s="1">
        <f t="shared" si="37"/>
        <v>396</v>
      </c>
      <c r="E1188" s="1" t="str">
        <f t="shared" si="36"/>
        <v>Mompox 110</v>
      </c>
    </row>
    <row r="1189" spans="4:5">
      <c r="D1189" s="1">
        <f t="shared" si="37"/>
        <v>397</v>
      </c>
      <c r="E1189" s="1" t="str">
        <f t="shared" si="36"/>
        <v>Montería 110</v>
      </c>
    </row>
    <row r="1190" spans="4:5">
      <c r="D1190" s="1">
        <f t="shared" si="37"/>
        <v>397</v>
      </c>
      <c r="E1190" s="1" t="str">
        <f t="shared" si="36"/>
        <v>Montería 110</v>
      </c>
    </row>
    <row r="1191" spans="4:5">
      <c r="D1191" s="1">
        <f t="shared" si="37"/>
        <v>397</v>
      </c>
      <c r="E1191" s="1" t="str">
        <f t="shared" si="36"/>
        <v>Montería 110</v>
      </c>
    </row>
    <row r="1192" spans="4:5">
      <c r="D1192" s="1">
        <f t="shared" si="37"/>
        <v>398</v>
      </c>
      <c r="E1192" s="1" t="str">
        <f t="shared" si="36"/>
        <v>Montería 220</v>
      </c>
    </row>
    <row r="1193" spans="4:5">
      <c r="D1193" s="1">
        <f t="shared" si="37"/>
        <v>398</v>
      </c>
      <c r="E1193" s="1" t="str">
        <f t="shared" si="36"/>
        <v>Montería 220</v>
      </c>
    </row>
    <row r="1194" spans="4:5">
      <c r="D1194" s="1">
        <f t="shared" si="37"/>
        <v>398</v>
      </c>
      <c r="E1194" s="1" t="str">
        <f t="shared" si="36"/>
        <v>Montería 220</v>
      </c>
    </row>
    <row r="1195" spans="4:5">
      <c r="D1195" s="1">
        <f t="shared" si="37"/>
        <v>399</v>
      </c>
      <c r="E1195" s="1" t="str">
        <f t="shared" si="36"/>
        <v>Nueva Lorica 110</v>
      </c>
    </row>
    <row r="1196" spans="4:5">
      <c r="D1196" s="1">
        <f t="shared" si="37"/>
        <v>399</v>
      </c>
      <c r="E1196" s="1" t="str">
        <f t="shared" si="36"/>
        <v>Nueva Lorica 110</v>
      </c>
    </row>
    <row r="1197" spans="4:5">
      <c r="D1197" s="1">
        <f t="shared" si="37"/>
        <v>399</v>
      </c>
      <c r="E1197" s="1" t="str">
        <f t="shared" si="36"/>
        <v>Nueva Lorica 110</v>
      </c>
    </row>
    <row r="1198" spans="4:5">
      <c r="D1198" s="1">
        <f t="shared" si="37"/>
        <v>400</v>
      </c>
      <c r="E1198" s="1" t="str">
        <f t="shared" si="36"/>
        <v>Nva Colonia 110</v>
      </c>
    </row>
    <row r="1199" spans="4:5">
      <c r="D1199" s="1">
        <f t="shared" si="37"/>
        <v>400</v>
      </c>
      <c r="E1199" s="1" t="str">
        <f t="shared" si="36"/>
        <v>Nva Colonia 110</v>
      </c>
    </row>
    <row r="1200" spans="4:5">
      <c r="D1200" s="1">
        <f t="shared" si="37"/>
        <v>400</v>
      </c>
      <c r="E1200" s="1" t="str">
        <f t="shared" si="36"/>
        <v>Nva Colonia 110</v>
      </c>
    </row>
    <row r="1201" spans="4:5">
      <c r="D1201" s="1">
        <f t="shared" si="37"/>
        <v>401</v>
      </c>
      <c r="E1201" s="1" t="str">
        <f t="shared" si="36"/>
        <v>Nva Montería 110</v>
      </c>
    </row>
    <row r="1202" spans="4:5">
      <c r="D1202" s="1">
        <f t="shared" si="37"/>
        <v>401</v>
      </c>
      <c r="E1202" s="1" t="str">
        <f t="shared" si="36"/>
        <v>Nva Montería 110</v>
      </c>
    </row>
    <row r="1203" spans="4:5">
      <c r="D1203" s="1">
        <f t="shared" si="37"/>
        <v>401</v>
      </c>
      <c r="E1203" s="1" t="str">
        <f t="shared" si="36"/>
        <v>Nva Montería 110</v>
      </c>
    </row>
    <row r="1204" spans="4:5">
      <c r="D1204" s="1">
        <f t="shared" si="37"/>
        <v>402</v>
      </c>
      <c r="E1204" s="1" t="str">
        <f t="shared" si="36"/>
        <v>Nva Toluviejo 110</v>
      </c>
    </row>
    <row r="1205" spans="4:5">
      <c r="D1205" s="1">
        <f t="shared" si="37"/>
        <v>402</v>
      </c>
      <c r="E1205" s="1" t="str">
        <f t="shared" si="36"/>
        <v>Nva Toluviejo 110</v>
      </c>
    </row>
    <row r="1206" spans="4:5">
      <c r="D1206" s="1">
        <f t="shared" si="37"/>
        <v>402</v>
      </c>
      <c r="E1206" s="1" t="str">
        <f t="shared" si="36"/>
        <v>Nva Toluviejo 110</v>
      </c>
    </row>
    <row r="1207" spans="4:5">
      <c r="D1207" s="1">
        <f t="shared" si="37"/>
        <v>403</v>
      </c>
      <c r="E1207" s="1" t="str">
        <f t="shared" si="36"/>
        <v>Rio Sinú 110</v>
      </c>
    </row>
    <row r="1208" spans="4:5">
      <c r="D1208" s="1">
        <f t="shared" si="37"/>
        <v>403</v>
      </c>
      <c r="E1208" s="1" t="str">
        <f t="shared" si="36"/>
        <v>Rio Sinú 110</v>
      </c>
    </row>
    <row r="1209" spans="4:5">
      <c r="D1209" s="1">
        <f t="shared" si="37"/>
        <v>403</v>
      </c>
      <c r="E1209" s="1" t="str">
        <f t="shared" si="36"/>
        <v>Rio Sinú 110</v>
      </c>
    </row>
    <row r="1210" spans="4:5">
      <c r="D1210" s="1">
        <f t="shared" si="37"/>
        <v>404</v>
      </c>
      <c r="E1210" s="1" t="str">
        <f t="shared" si="36"/>
        <v>Sahagún 500</v>
      </c>
    </row>
    <row r="1211" spans="4:5">
      <c r="D1211" s="1">
        <f t="shared" si="37"/>
        <v>404</v>
      </c>
      <c r="E1211" s="1" t="str">
        <f t="shared" si="36"/>
        <v>Sahagún 500</v>
      </c>
    </row>
    <row r="1212" spans="4:5">
      <c r="D1212" s="1">
        <f t="shared" si="37"/>
        <v>404</v>
      </c>
      <c r="E1212" s="1" t="str">
        <f t="shared" si="36"/>
        <v>Sahagún 500</v>
      </c>
    </row>
    <row r="1213" spans="4:5">
      <c r="D1213" s="1">
        <f t="shared" si="37"/>
        <v>405</v>
      </c>
      <c r="E1213" s="1" t="str">
        <f t="shared" si="36"/>
        <v>San Marcos 110</v>
      </c>
    </row>
    <row r="1214" spans="4:5">
      <c r="D1214" s="1">
        <f t="shared" si="37"/>
        <v>405</v>
      </c>
      <c r="E1214" s="1" t="str">
        <f t="shared" si="36"/>
        <v>San Marcos 110</v>
      </c>
    </row>
    <row r="1215" spans="4:5">
      <c r="D1215" s="1">
        <f t="shared" si="37"/>
        <v>405</v>
      </c>
      <c r="E1215" s="1" t="str">
        <f t="shared" si="36"/>
        <v>San Marcos 110</v>
      </c>
    </row>
    <row r="1216" spans="4:5">
      <c r="D1216" s="1">
        <f t="shared" si="37"/>
        <v>406</v>
      </c>
      <c r="E1216" s="1" t="str">
        <f t="shared" si="36"/>
        <v>Sierra Flor 110</v>
      </c>
    </row>
    <row r="1217" spans="4:5">
      <c r="D1217" s="1">
        <f t="shared" si="37"/>
        <v>406</v>
      </c>
      <c r="E1217" s="1" t="str">
        <f t="shared" ref="E1217:E1280" si="38">+VLOOKUP(D1217,$A$1:$B$1076,2,FALSE)</f>
        <v>Sierra Flor 110</v>
      </c>
    </row>
    <row r="1218" spans="4:5">
      <c r="D1218" s="1">
        <f t="shared" si="37"/>
        <v>406</v>
      </c>
      <c r="E1218" s="1" t="str">
        <f t="shared" si="38"/>
        <v>Sierra Flor 110</v>
      </c>
    </row>
    <row r="1219" spans="4:5">
      <c r="D1219" s="1">
        <f t="shared" si="37"/>
        <v>407</v>
      </c>
      <c r="E1219" s="1" t="str">
        <f t="shared" si="38"/>
        <v>Since 110</v>
      </c>
    </row>
    <row r="1220" spans="4:5">
      <c r="D1220" s="1">
        <f t="shared" ref="D1220:D1283" si="39">+D1217+1</f>
        <v>407</v>
      </c>
      <c r="E1220" s="1" t="str">
        <f t="shared" si="38"/>
        <v>Since 110</v>
      </c>
    </row>
    <row r="1221" spans="4:5">
      <c r="D1221" s="1">
        <f t="shared" si="39"/>
        <v>407</v>
      </c>
      <c r="E1221" s="1" t="str">
        <f t="shared" si="38"/>
        <v>Since 110</v>
      </c>
    </row>
    <row r="1222" spans="4:5">
      <c r="D1222" s="1">
        <f t="shared" si="39"/>
        <v>408</v>
      </c>
      <c r="E1222" s="1" t="str">
        <f t="shared" si="38"/>
        <v>Tierra1ta 110</v>
      </c>
    </row>
    <row r="1223" spans="4:5">
      <c r="D1223" s="1">
        <f t="shared" si="39"/>
        <v>408</v>
      </c>
      <c r="E1223" s="1" t="str">
        <f t="shared" si="38"/>
        <v>Tierra1ta 110</v>
      </c>
    </row>
    <row r="1224" spans="4:5">
      <c r="D1224" s="1">
        <f t="shared" si="39"/>
        <v>408</v>
      </c>
      <c r="E1224" s="1" t="str">
        <f t="shared" si="38"/>
        <v>Tierra1ta 110</v>
      </c>
    </row>
    <row r="1225" spans="4:5">
      <c r="D1225" s="1">
        <f t="shared" si="39"/>
        <v>409</v>
      </c>
      <c r="E1225" s="1" t="str">
        <f t="shared" si="38"/>
        <v>Toluviejo 110</v>
      </c>
    </row>
    <row r="1226" spans="4:5">
      <c r="D1226" s="1">
        <f t="shared" si="39"/>
        <v>409</v>
      </c>
      <c r="E1226" s="1" t="str">
        <f t="shared" si="38"/>
        <v>Toluviejo 110</v>
      </c>
    </row>
    <row r="1227" spans="4:5">
      <c r="D1227" s="1">
        <f t="shared" si="39"/>
        <v>409</v>
      </c>
      <c r="E1227" s="1" t="str">
        <f t="shared" si="38"/>
        <v>Toluviejo 110</v>
      </c>
    </row>
    <row r="1228" spans="4:5">
      <c r="D1228" s="1">
        <f t="shared" si="39"/>
        <v>410</v>
      </c>
      <c r="E1228" s="1" t="str">
        <f t="shared" si="38"/>
        <v>Toluviejo 220</v>
      </c>
    </row>
    <row r="1229" spans="4:5">
      <c r="D1229" s="1">
        <f t="shared" si="39"/>
        <v>410</v>
      </c>
      <c r="E1229" s="1" t="str">
        <f t="shared" si="38"/>
        <v>Toluviejo 220</v>
      </c>
    </row>
    <row r="1230" spans="4:5">
      <c r="D1230" s="1">
        <f t="shared" si="39"/>
        <v>410</v>
      </c>
      <c r="E1230" s="1" t="str">
        <f t="shared" si="38"/>
        <v>Toluviejo 220</v>
      </c>
    </row>
    <row r="1231" spans="4:5">
      <c r="D1231" s="1">
        <f t="shared" si="39"/>
        <v>411</v>
      </c>
      <c r="E1231" s="1" t="str">
        <f t="shared" si="38"/>
        <v>Urabá 110</v>
      </c>
    </row>
    <row r="1232" spans="4:5">
      <c r="D1232" s="1">
        <f t="shared" si="39"/>
        <v>411</v>
      </c>
      <c r="E1232" s="1" t="str">
        <f t="shared" si="38"/>
        <v>Urabá 110</v>
      </c>
    </row>
    <row r="1233" spans="4:5">
      <c r="D1233" s="1">
        <f t="shared" si="39"/>
        <v>411</v>
      </c>
      <c r="E1233" s="1" t="str">
        <f t="shared" si="38"/>
        <v>Urabá 110</v>
      </c>
    </row>
    <row r="1234" spans="4:5">
      <c r="D1234" s="1">
        <f t="shared" si="39"/>
        <v>412</v>
      </c>
      <c r="E1234" s="1" t="str">
        <f t="shared" si="38"/>
        <v>Urabá 220</v>
      </c>
    </row>
    <row r="1235" spans="4:5">
      <c r="D1235" s="1">
        <f t="shared" si="39"/>
        <v>412</v>
      </c>
      <c r="E1235" s="1" t="str">
        <f t="shared" si="38"/>
        <v>Urabá 220</v>
      </c>
    </row>
    <row r="1236" spans="4:5">
      <c r="D1236" s="1">
        <f t="shared" si="39"/>
        <v>412</v>
      </c>
      <c r="E1236" s="1" t="str">
        <f t="shared" si="38"/>
        <v>Urabá 220</v>
      </c>
    </row>
    <row r="1237" spans="4:5">
      <c r="D1237" s="1">
        <f t="shared" si="39"/>
        <v>413</v>
      </c>
      <c r="E1237" s="1" t="str">
        <f t="shared" si="38"/>
        <v>Urra 110</v>
      </c>
    </row>
    <row r="1238" spans="4:5">
      <c r="D1238" s="1">
        <f t="shared" si="39"/>
        <v>413</v>
      </c>
      <c r="E1238" s="1" t="str">
        <f t="shared" si="38"/>
        <v>Urra 110</v>
      </c>
    </row>
    <row r="1239" spans="4:5">
      <c r="D1239" s="1">
        <f t="shared" si="39"/>
        <v>413</v>
      </c>
      <c r="E1239" s="1" t="str">
        <f t="shared" si="38"/>
        <v>Urra 110</v>
      </c>
    </row>
    <row r="1240" spans="4:5">
      <c r="D1240" s="1">
        <f t="shared" si="39"/>
        <v>414</v>
      </c>
      <c r="E1240" s="1" t="str">
        <f t="shared" si="38"/>
        <v>Urra 220</v>
      </c>
    </row>
    <row r="1241" spans="4:5">
      <c r="D1241" s="1">
        <f t="shared" si="39"/>
        <v>414</v>
      </c>
      <c r="E1241" s="1" t="str">
        <f t="shared" si="38"/>
        <v>Urra 220</v>
      </c>
    </row>
    <row r="1242" spans="4:5">
      <c r="D1242" s="1">
        <f t="shared" si="39"/>
        <v>414</v>
      </c>
      <c r="E1242" s="1" t="str">
        <f t="shared" si="38"/>
        <v>Urra 220</v>
      </c>
    </row>
    <row r="1243" spans="4:5">
      <c r="D1243" s="1">
        <f t="shared" si="39"/>
        <v>415</v>
      </c>
      <c r="E1243" s="1" t="str">
        <f t="shared" si="38"/>
        <v>Bureche 110</v>
      </c>
    </row>
    <row r="1244" spans="4:5">
      <c r="D1244" s="1">
        <f t="shared" si="39"/>
        <v>415</v>
      </c>
      <c r="E1244" s="1" t="str">
        <f t="shared" si="38"/>
        <v>Bureche 110</v>
      </c>
    </row>
    <row r="1245" spans="4:5">
      <c r="D1245" s="1">
        <f t="shared" si="39"/>
        <v>415</v>
      </c>
      <c r="E1245" s="1" t="str">
        <f t="shared" si="38"/>
        <v>Bureche 110</v>
      </c>
    </row>
    <row r="1246" spans="4:5">
      <c r="D1246" s="1">
        <f t="shared" si="39"/>
        <v>416</v>
      </c>
      <c r="E1246" s="1" t="str">
        <f t="shared" si="38"/>
        <v>Ciénaga 110</v>
      </c>
    </row>
    <row r="1247" spans="4:5">
      <c r="D1247" s="1">
        <f t="shared" si="39"/>
        <v>416</v>
      </c>
      <c r="E1247" s="1" t="str">
        <f t="shared" si="38"/>
        <v>Ciénaga 110</v>
      </c>
    </row>
    <row r="1248" spans="4:5">
      <c r="D1248" s="1">
        <f t="shared" si="39"/>
        <v>416</v>
      </c>
      <c r="E1248" s="1" t="str">
        <f t="shared" si="38"/>
        <v>Ciénaga 110</v>
      </c>
    </row>
    <row r="1249" spans="4:5">
      <c r="D1249" s="1">
        <f t="shared" si="39"/>
        <v>417</v>
      </c>
      <c r="E1249" s="1" t="str">
        <f t="shared" si="38"/>
        <v>Codazzi GCM 110</v>
      </c>
    </row>
    <row r="1250" spans="4:5">
      <c r="D1250" s="1">
        <f t="shared" si="39"/>
        <v>417</v>
      </c>
      <c r="E1250" s="1" t="str">
        <f t="shared" si="38"/>
        <v>Codazzi GCM 110</v>
      </c>
    </row>
    <row r="1251" spans="4:5">
      <c r="D1251" s="1">
        <f t="shared" si="39"/>
        <v>417</v>
      </c>
      <c r="E1251" s="1" t="str">
        <f t="shared" si="38"/>
        <v>Codazzi GCM 110</v>
      </c>
    </row>
    <row r="1252" spans="4:5">
      <c r="D1252" s="1">
        <f t="shared" si="39"/>
        <v>418</v>
      </c>
      <c r="E1252" s="1" t="str">
        <f t="shared" si="38"/>
        <v>Colectora 1 Eólica 500</v>
      </c>
    </row>
    <row r="1253" spans="4:5">
      <c r="D1253" s="1">
        <f t="shared" si="39"/>
        <v>418</v>
      </c>
      <c r="E1253" s="1" t="str">
        <f t="shared" si="38"/>
        <v>Colectora 1 Eólica 500</v>
      </c>
    </row>
    <row r="1254" spans="4:5">
      <c r="D1254" s="1">
        <f t="shared" si="39"/>
        <v>418</v>
      </c>
      <c r="E1254" s="1" t="str">
        <f t="shared" si="38"/>
        <v>Colectora 1 Eólica 500</v>
      </c>
    </row>
    <row r="1255" spans="4:5">
      <c r="D1255" s="1">
        <f t="shared" si="39"/>
        <v>419</v>
      </c>
      <c r="E1255" s="1" t="str">
        <f t="shared" si="38"/>
        <v>Copey 110</v>
      </c>
    </row>
    <row r="1256" spans="4:5">
      <c r="D1256" s="1">
        <f t="shared" si="39"/>
        <v>419</v>
      </c>
      <c r="E1256" s="1" t="str">
        <f t="shared" si="38"/>
        <v>Copey 110</v>
      </c>
    </row>
    <row r="1257" spans="4:5">
      <c r="D1257" s="1">
        <f t="shared" si="39"/>
        <v>419</v>
      </c>
      <c r="E1257" s="1" t="str">
        <f t="shared" si="38"/>
        <v>Copey 110</v>
      </c>
    </row>
    <row r="1258" spans="4:5">
      <c r="D1258" s="1">
        <f t="shared" si="39"/>
        <v>420</v>
      </c>
      <c r="E1258" s="1" t="str">
        <f t="shared" si="38"/>
        <v>Copey 220</v>
      </c>
    </row>
    <row r="1259" spans="4:5">
      <c r="D1259" s="1">
        <f t="shared" si="39"/>
        <v>420</v>
      </c>
      <c r="E1259" s="1" t="str">
        <f t="shared" si="38"/>
        <v>Copey 220</v>
      </c>
    </row>
    <row r="1260" spans="4:5">
      <c r="D1260" s="1">
        <f t="shared" si="39"/>
        <v>420</v>
      </c>
      <c r="E1260" s="1" t="str">
        <f t="shared" si="38"/>
        <v>Copey 220</v>
      </c>
    </row>
    <row r="1261" spans="4:5">
      <c r="D1261" s="1">
        <f t="shared" si="39"/>
        <v>421</v>
      </c>
      <c r="E1261" s="1" t="str">
        <f t="shared" si="38"/>
        <v>Cuestecita 220</v>
      </c>
    </row>
    <row r="1262" spans="4:5">
      <c r="D1262" s="1">
        <f t="shared" si="39"/>
        <v>421</v>
      </c>
      <c r="E1262" s="1" t="str">
        <f t="shared" si="38"/>
        <v>Cuestecita 220</v>
      </c>
    </row>
    <row r="1263" spans="4:5">
      <c r="D1263" s="1">
        <f t="shared" si="39"/>
        <v>421</v>
      </c>
      <c r="E1263" s="1" t="str">
        <f t="shared" si="38"/>
        <v>Cuestecita 220</v>
      </c>
    </row>
    <row r="1264" spans="4:5">
      <c r="D1264" s="1">
        <f t="shared" si="39"/>
        <v>422</v>
      </c>
      <c r="E1264" s="1" t="str">
        <f t="shared" si="38"/>
        <v>Cuestecita II 220</v>
      </c>
    </row>
    <row r="1265" spans="4:5">
      <c r="D1265" s="1">
        <f t="shared" si="39"/>
        <v>422</v>
      </c>
      <c r="E1265" s="1" t="str">
        <f t="shared" si="38"/>
        <v>Cuestecita II 220</v>
      </c>
    </row>
    <row r="1266" spans="4:5">
      <c r="D1266" s="1">
        <f t="shared" si="39"/>
        <v>422</v>
      </c>
      <c r="E1266" s="1" t="str">
        <f t="shared" si="38"/>
        <v>Cuestecita II 220</v>
      </c>
    </row>
    <row r="1267" spans="4:5">
      <c r="D1267" s="1">
        <f t="shared" si="39"/>
        <v>423</v>
      </c>
      <c r="E1267" s="1" t="str">
        <f t="shared" si="38"/>
        <v>Cuestecitas 110</v>
      </c>
    </row>
    <row r="1268" spans="4:5">
      <c r="D1268" s="1">
        <f t="shared" si="39"/>
        <v>423</v>
      </c>
      <c r="E1268" s="1" t="str">
        <f t="shared" si="38"/>
        <v>Cuestecitas 110</v>
      </c>
    </row>
    <row r="1269" spans="4:5">
      <c r="D1269" s="1">
        <f t="shared" si="39"/>
        <v>423</v>
      </c>
      <c r="E1269" s="1" t="str">
        <f t="shared" si="38"/>
        <v>Cuestecitas 110</v>
      </c>
    </row>
    <row r="1270" spans="4:5">
      <c r="D1270" s="1">
        <f t="shared" si="39"/>
        <v>424</v>
      </c>
      <c r="E1270" s="1" t="str">
        <f t="shared" si="38"/>
        <v>Cuestecitas 500(231)</v>
      </c>
    </row>
    <row r="1271" spans="4:5">
      <c r="D1271" s="1">
        <f t="shared" si="39"/>
        <v>424</v>
      </c>
      <c r="E1271" s="1" t="str">
        <f t="shared" si="38"/>
        <v>Cuestecitas 500(231)</v>
      </c>
    </row>
    <row r="1272" spans="4:5">
      <c r="D1272" s="1">
        <f t="shared" si="39"/>
        <v>424</v>
      </c>
      <c r="E1272" s="1" t="str">
        <f t="shared" si="38"/>
        <v>Cuestecitas 500(231)</v>
      </c>
    </row>
    <row r="1273" spans="4:5">
      <c r="D1273" s="1">
        <f t="shared" si="39"/>
        <v>425</v>
      </c>
      <c r="E1273" s="1" t="str">
        <f t="shared" si="38"/>
        <v>El Banco 110</v>
      </c>
    </row>
    <row r="1274" spans="4:5">
      <c r="D1274" s="1">
        <f t="shared" si="39"/>
        <v>425</v>
      </c>
      <c r="E1274" s="1" t="str">
        <f t="shared" si="38"/>
        <v>El Banco 110</v>
      </c>
    </row>
    <row r="1275" spans="4:5">
      <c r="D1275" s="1">
        <f t="shared" si="39"/>
        <v>425</v>
      </c>
      <c r="E1275" s="1" t="str">
        <f t="shared" si="38"/>
        <v>El Banco 110</v>
      </c>
    </row>
    <row r="1276" spans="4:5">
      <c r="D1276" s="1">
        <f t="shared" si="39"/>
        <v>426</v>
      </c>
      <c r="E1276" s="1" t="str">
        <f t="shared" si="38"/>
        <v>El Copey 500</v>
      </c>
    </row>
    <row r="1277" spans="4:5">
      <c r="D1277" s="1">
        <f t="shared" si="39"/>
        <v>426</v>
      </c>
      <c r="E1277" s="1" t="str">
        <f t="shared" si="38"/>
        <v>El Copey 500</v>
      </c>
    </row>
    <row r="1278" spans="4:5">
      <c r="D1278" s="1">
        <f t="shared" si="39"/>
        <v>426</v>
      </c>
      <c r="E1278" s="1" t="str">
        <f t="shared" si="38"/>
        <v>El Copey 500</v>
      </c>
    </row>
    <row r="1279" spans="4:5">
      <c r="D1279" s="1">
        <f t="shared" si="39"/>
        <v>427</v>
      </c>
      <c r="E1279" s="1" t="str">
        <f t="shared" si="38"/>
        <v>El Paso 110</v>
      </c>
    </row>
    <row r="1280" spans="4:5">
      <c r="D1280" s="1">
        <f t="shared" si="39"/>
        <v>427</v>
      </c>
      <c r="E1280" s="1" t="str">
        <f t="shared" si="38"/>
        <v>El Paso 110</v>
      </c>
    </row>
    <row r="1281" spans="4:5">
      <c r="D1281" s="1">
        <f t="shared" si="39"/>
        <v>427</v>
      </c>
      <c r="E1281" s="1" t="str">
        <f t="shared" ref="E1281:E1344" si="40">+VLOOKUP(D1281,$A$1:$B$1076,2,FALSE)</f>
        <v>El Paso 110</v>
      </c>
    </row>
    <row r="1282" spans="4:5">
      <c r="D1282" s="1">
        <f t="shared" si="39"/>
        <v>428</v>
      </c>
      <c r="E1282" s="1" t="str">
        <f t="shared" si="40"/>
        <v>Fundación 110</v>
      </c>
    </row>
    <row r="1283" spans="4:5">
      <c r="D1283" s="1">
        <f t="shared" si="39"/>
        <v>428</v>
      </c>
      <c r="E1283" s="1" t="str">
        <f t="shared" si="40"/>
        <v>Fundación 110</v>
      </c>
    </row>
    <row r="1284" spans="4:5">
      <c r="D1284" s="1">
        <f t="shared" ref="D1284:D1347" si="41">+D1281+1</f>
        <v>428</v>
      </c>
      <c r="E1284" s="1" t="str">
        <f t="shared" si="40"/>
        <v>Fundación 110</v>
      </c>
    </row>
    <row r="1285" spans="4:5">
      <c r="D1285" s="1">
        <f t="shared" si="41"/>
        <v>429</v>
      </c>
      <c r="E1285" s="1" t="str">
        <f t="shared" si="40"/>
        <v>Fundación 220</v>
      </c>
    </row>
    <row r="1286" spans="4:5">
      <c r="D1286" s="1">
        <f t="shared" si="41"/>
        <v>429</v>
      </c>
      <c r="E1286" s="1" t="str">
        <f t="shared" si="40"/>
        <v>Fundación 220</v>
      </c>
    </row>
    <row r="1287" spans="4:5">
      <c r="D1287" s="1">
        <f t="shared" si="41"/>
        <v>429</v>
      </c>
      <c r="E1287" s="1" t="str">
        <f t="shared" si="40"/>
        <v>Fundación 220</v>
      </c>
    </row>
    <row r="1288" spans="4:5">
      <c r="D1288" s="1">
        <f t="shared" si="41"/>
        <v>430</v>
      </c>
      <c r="E1288" s="1" t="str">
        <f t="shared" si="40"/>
        <v>Gaira 110</v>
      </c>
    </row>
    <row r="1289" spans="4:5">
      <c r="D1289" s="1">
        <f t="shared" si="41"/>
        <v>430</v>
      </c>
      <c r="E1289" s="1" t="str">
        <f t="shared" si="40"/>
        <v>Gaira 110</v>
      </c>
    </row>
    <row r="1290" spans="4:5">
      <c r="D1290" s="1">
        <f t="shared" si="41"/>
        <v>430</v>
      </c>
      <c r="E1290" s="1" t="str">
        <f t="shared" si="40"/>
        <v>Gaira 110</v>
      </c>
    </row>
    <row r="1291" spans="4:5">
      <c r="D1291" s="1">
        <f t="shared" si="41"/>
        <v>431</v>
      </c>
      <c r="E1291" s="1" t="str">
        <f t="shared" si="40"/>
        <v>Guacamayal 110</v>
      </c>
    </row>
    <row r="1292" spans="4:5">
      <c r="D1292" s="1">
        <f t="shared" si="41"/>
        <v>431</v>
      </c>
      <c r="E1292" s="1" t="str">
        <f t="shared" si="40"/>
        <v>Guacamayal 110</v>
      </c>
    </row>
    <row r="1293" spans="4:5">
      <c r="D1293" s="1">
        <f t="shared" si="41"/>
        <v>431</v>
      </c>
      <c r="E1293" s="1" t="str">
        <f t="shared" si="40"/>
        <v>Guacamayal 110</v>
      </c>
    </row>
    <row r="1294" spans="4:5">
      <c r="D1294" s="1">
        <f t="shared" si="41"/>
        <v>432</v>
      </c>
      <c r="E1294" s="1" t="str">
        <f t="shared" si="40"/>
        <v>Guajira 220</v>
      </c>
    </row>
    <row r="1295" spans="4:5">
      <c r="D1295" s="1">
        <f t="shared" si="41"/>
        <v>432</v>
      </c>
      <c r="E1295" s="1" t="str">
        <f t="shared" si="40"/>
        <v>Guajira 220</v>
      </c>
    </row>
    <row r="1296" spans="4:5">
      <c r="D1296" s="1">
        <f t="shared" si="41"/>
        <v>432</v>
      </c>
      <c r="E1296" s="1" t="str">
        <f t="shared" si="40"/>
        <v>Guajira 220</v>
      </c>
    </row>
    <row r="1297" spans="4:5">
      <c r="D1297" s="1">
        <f t="shared" si="41"/>
        <v>433</v>
      </c>
      <c r="E1297" s="1" t="str">
        <f t="shared" si="40"/>
        <v>Guatapurí 110</v>
      </c>
    </row>
    <row r="1298" spans="4:5">
      <c r="D1298" s="1">
        <f t="shared" si="41"/>
        <v>433</v>
      </c>
      <c r="E1298" s="1" t="str">
        <f t="shared" si="40"/>
        <v>Guatapurí 110</v>
      </c>
    </row>
    <row r="1299" spans="4:5">
      <c r="D1299" s="1">
        <f t="shared" si="41"/>
        <v>433</v>
      </c>
      <c r="E1299" s="1" t="str">
        <f t="shared" si="40"/>
        <v>Guatapurí 110</v>
      </c>
    </row>
    <row r="1300" spans="4:5">
      <c r="D1300" s="1">
        <f t="shared" si="41"/>
        <v>434</v>
      </c>
      <c r="E1300" s="1" t="str">
        <f t="shared" si="40"/>
        <v>La Jagua 110</v>
      </c>
    </row>
    <row r="1301" spans="4:5">
      <c r="D1301" s="1">
        <f t="shared" si="41"/>
        <v>434</v>
      </c>
      <c r="E1301" s="1" t="str">
        <f t="shared" si="40"/>
        <v>La Jagua 110</v>
      </c>
    </row>
    <row r="1302" spans="4:5">
      <c r="D1302" s="1">
        <f t="shared" si="41"/>
        <v>434</v>
      </c>
      <c r="E1302" s="1" t="str">
        <f t="shared" si="40"/>
        <v>La Jagua 110</v>
      </c>
    </row>
    <row r="1303" spans="4:5">
      <c r="D1303" s="1">
        <f t="shared" si="41"/>
        <v>435</v>
      </c>
      <c r="E1303" s="1" t="str">
        <f t="shared" si="40"/>
        <v>La Loma 110</v>
      </c>
    </row>
    <row r="1304" spans="4:5">
      <c r="D1304" s="1">
        <f t="shared" si="41"/>
        <v>435</v>
      </c>
      <c r="E1304" s="1" t="str">
        <f t="shared" si="40"/>
        <v>La Loma 110</v>
      </c>
    </row>
    <row r="1305" spans="4:5">
      <c r="D1305" s="1">
        <f t="shared" si="41"/>
        <v>435</v>
      </c>
      <c r="E1305" s="1" t="str">
        <f t="shared" si="40"/>
        <v>La Loma 110</v>
      </c>
    </row>
    <row r="1306" spans="4:5">
      <c r="D1306" s="1">
        <f t="shared" si="41"/>
        <v>436</v>
      </c>
      <c r="E1306" s="1" t="str">
        <f t="shared" si="40"/>
        <v>La Loma 500</v>
      </c>
    </row>
    <row r="1307" spans="4:5">
      <c r="D1307" s="1">
        <f t="shared" si="41"/>
        <v>436</v>
      </c>
      <c r="E1307" s="1" t="str">
        <f t="shared" si="40"/>
        <v>La Loma 500</v>
      </c>
    </row>
    <row r="1308" spans="4:5">
      <c r="D1308" s="1">
        <f t="shared" si="41"/>
        <v>436</v>
      </c>
      <c r="E1308" s="1" t="str">
        <f t="shared" si="40"/>
        <v>La Loma 500</v>
      </c>
    </row>
    <row r="1309" spans="4:5">
      <c r="D1309" s="1">
        <f t="shared" si="41"/>
        <v>437</v>
      </c>
      <c r="E1309" s="1" t="str">
        <f t="shared" si="40"/>
        <v>Libertad 110</v>
      </c>
    </row>
    <row r="1310" spans="4:5">
      <c r="D1310" s="1">
        <f t="shared" si="41"/>
        <v>437</v>
      </c>
      <c r="E1310" s="1" t="str">
        <f t="shared" si="40"/>
        <v>Libertad 110</v>
      </c>
    </row>
    <row r="1311" spans="4:5">
      <c r="D1311" s="1">
        <f t="shared" si="41"/>
        <v>437</v>
      </c>
      <c r="E1311" s="1" t="str">
        <f t="shared" si="40"/>
        <v>Libertad 110</v>
      </c>
    </row>
    <row r="1312" spans="4:5">
      <c r="D1312" s="1">
        <f t="shared" si="41"/>
        <v>438</v>
      </c>
      <c r="E1312" s="1" t="str">
        <f t="shared" si="40"/>
        <v>Maicao 110</v>
      </c>
    </row>
    <row r="1313" spans="4:5">
      <c r="D1313" s="1">
        <f t="shared" si="41"/>
        <v>438</v>
      </c>
      <c r="E1313" s="1" t="str">
        <f t="shared" si="40"/>
        <v>Maicao 110</v>
      </c>
    </row>
    <row r="1314" spans="4:5">
      <c r="D1314" s="1">
        <f t="shared" si="41"/>
        <v>438</v>
      </c>
      <c r="E1314" s="1" t="str">
        <f t="shared" si="40"/>
        <v>Maicao 110</v>
      </c>
    </row>
    <row r="1315" spans="4:5">
      <c r="D1315" s="1">
        <f t="shared" si="41"/>
        <v>439</v>
      </c>
      <c r="E1315" s="1" t="str">
        <f t="shared" si="40"/>
        <v>Manzanares 110</v>
      </c>
    </row>
    <row r="1316" spans="4:5">
      <c r="D1316" s="1">
        <f t="shared" si="41"/>
        <v>439</v>
      </c>
      <c r="E1316" s="1" t="str">
        <f t="shared" si="40"/>
        <v>Manzanares 110</v>
      </c>
    </row>
    <row r="1317" spans="4:5">
      <c r="D1317" s="1">
        <f t="shared" si="41"/>
        <v>439</v>
      </c>
      <c r="E1317" s="1" t="str">
        <f t="shared" si="40"/>
        <v>Manzanares 110</v>
      </c>
    </row>
    <row r="1318" spans="4:5">
      <c r="D1318" s="1">
        <f t="shared" si="41"/>
        <v>440</v>
      </c>
      <c r="E1318" s="1" t="str">
        <f t="shared" si="40"/>
        <v>Nya San Juan 110</v>
      </c>
    </row>
    <row r="1319" spans="4:5">
      <c r="D1319" s="1">
        <f t="shared" si="41"/>
        <v>440</v>
      </c>
      <c r="E1319" s="1" t="str">
        <f t="shared" si="40"/>
        <v>Nya San Juan 110</v>
      </c>
    </row>
    <row r="1320" spans="4:5">
      <c r="D1320" s="1">
        <f t="shared" si="41"/>
        <v>440</v>
      </c>
      <c r="E1320" s="1" t="str">
        <f t="shared" si="40"/>
        <v>Nya San Juan 110</v>
      </c>
    </row>
    <row r="1321" spans="4:5">
      <c r="D1321" s="1">
        <f t="shared" si="41"/>
        <v>441</v>
      </c>
      <c r="E1321" s="1" t="str">
        <f t="shared" si="40"/>
        <v>Puerto Nuevo</v>
      </c>
    </row>
    <row r="1322" spans="4:5">
      <c r="D1322" s="1">
        <f t="shared" si="41"/>
        <v>441</v>
      </c>
      <c r="E1322" s="1" t="str">
        <f t="shared" si="40"/>
        <v>Puerto Nuevo</v>
      </c>
    </row>
    <row r="1323" spans="4:5">
      <c r="D1323" s="1">
        <f t="shared" si="41"/>
        <v>441</v>
      </c>
      <c r="E1323" s="1" t="str">
        <f t="shared" si="40"/>
        <v>Puerto Nuevo</v>
      </c>
    </row>
    <row r="1324" spans="4:5">
      <c r="D1324" s="1">
        <f t="shared" si="41"/>
        <v>442</v>
      </c>
      <c r="E1324" s="1" t="str">
        <f t="shared" si="40"/>
        <v>R Córdoba 220</v>
      </c>
    </row>
    <row r="1325" spans="4:5">
      <c r="D1325" s="1">
        <f t="shared" si="41"/>
        <v>442</v>
      </c>
      <c r="E1325" s="1" t="str">
        <f t="shared" si="40"/>
        <v>R Córdoba 220</v>
      </c>
    </row>
    <row r="1326" spans="4:5">
      <c r="D1326" s="1">
        <f t="shared" si="41"/>
        <v>442</v>
      </c>
      <c r="E1326" s="1" t="str">
        <f t="shared" si="40"/>
        <v>R Córdoba 220</v>
      </c>
    </row>
    <row r="1327" spans="4:5">
      <c r="D1327" s="1">
        <f t="shared" si="41"/>
        <v>443</v>
      </c>
      <c r="E1327" s="1" t="str">
        <f t="shared" si="40"/>
        <v>Rio Córdoba 110</v>
      </c>
    </row>
    <row r="1328" spans="4:5">
      <c r="D1328" s="1">
        <f t="shared" si="41"/>
        <v>443</v>
      </c>
      <c r="E1328" s="1" t="str">
        <f t="shared" si="40"/>
        <v>Rio Córdoba 110</v>
      </c>
    </row>
    <row r="1329" spans="4:5">
      <c r="D1329" s="1">
        <f t="shared" si="41"/>
        <v>443</v>
      </c>
      <c r="E1329" s="1" t="str">
        <f t="shared" si="40"/>
        <v>Rio Córdoba 110</v>
      </c>
    </row>
    <row r="1330" spans="4:5">
      <c r="D1330" s="1">
        <f t="shared" si="41"/>
        <v>444</v>
      </c>
      <c r="E1330" s="1" t="str">
        <f t="shared" si="40"/>
        <v>Riohacha 110</v>
      </c>
    </row>
    <row r="1331" spans="4:5">
      <c r="D1331" s="1">
        <f t="shared" si="41"/>
        <v>444</v>
      </c>
      <c r="E1331" s="1" t="str">
        <f t="shared" si="40"/>
        <v>Riohacha 110</v>
      </c>
    </row>
    <row r="1332" spans="4:5">
      <c r="D1332" s="1">
        <f t="shared" si="41"/>
        <v>444</v>
      </c>
      <c r="E1332" s="1" t="str">
        <f t="shared" si="40"/>
        <v>Riohacha 110</v>
      </c>
    </row>
    <row r="1333" spans="4:5">
      <c r="D1333" s="1">
        <f t="shared" si="41"/>
        <v>445</v>
      </c>
      <c r="E1333" s="1" t="str">
        <f t="shared" si="40"/>
        <v>San Juan 110</v>
      </c>
    </row>
    <row r="1334" spans="4:5">
      <c r="D1334" s="1">
        <f t="shared" si="41"/>
        <v>445</v>
      </c>
      <c r="E1334" s="1" t="str">
        <f t="shared" si="40"/>
        <v>San Juan 110</v>
      </c>
    </row>
    <row r="1335" spans="4:5">
      <c r="D1335" s="1">
        <f t="shared" si="41"/>
        <v>445</v>
      </c>
      <c r="E1335" s="1" t="str">
        <f t="shared" si="40"/>
        <v>San Juan 110</v>
      </c>
    </row>
    <row r="1336" spans="4:5">
      <c r="D1336" s="1">
        <f t="shared" si="41"/>
        <v>446</v>
      </c>
      <c r="E1336" s="1" t="str">
        <f t="shared" si="40"/>
        <v>San Juan 220</v>
      </c>
    </row>
    <row r="1337" spans="4:5">
      <c r="D1337" s="1">
        <f t="shared" si="41"/>
        <v>446</v>
      </c>
      <c r="E1337" s="1" t="str">
        <f t="shared" si="40"/>
        <v>San Juan 220</v>
      </c>
    </row>
    <row r="1338" spans="4:5">
      <c r="D1338" s="1">
        <f t="shared" si="41"/>
        <v>446</v>
      </c>
      <c r="E1338" s="1" t="str">
        <f t="shared" si="40"/>
        <v>San Juan 220</v>
      </c>
    </row>
    <row r="1339" spans="4:5">
      <c r="D1339" s="1">
        <f t="shared" si="41"/>
        <v>447</v>
      </c>
      <c r="E1339" s="1" t="str">
        <f t="shared" si="40"/>
        <v>Santa Marta 110</v>
      </c>
    </row>
    <row r="1340" spans="4:5">
      <c r="D1340" s="1">
        <f t="shared" si="41"/>
        <v>447</v>
      </c>
      <c r="E1340" s="1" t="str">
        <f t="shared" si="40"/>
        <v>Santa Marta 110</v>
      </c>
    </row>
    <row r="1341" spans="4:5">
      <c r="D1341" s="1">
        <f t="shared" si="41"/>
        <v>447</v>
      </c>
      <c r="E1341" s="1" t="str">
        <f t="shared" si="40"/>
        <v>Santa Marta 110</v>
      </c>
    </row>
    <row r="1342" spans="4:5">
      <c r="D1342" s="1">
        <f t="shared" si="41"/>
        <v>448</v>
      </c>
      <c r="E1342" s="1" t="str">
        <f t="shared" si="40"/>
        <v>Santa Marta 220</v>
      </c>
    </row>
    <row r="1343" spans="4:5">
      <c r="D1343" s="1">
        <f t="shared" si="41"/>
        <v>448</v>
      </c>
      <c r="E1343" s="1" t="str">
        <f t="shared" si="40"/>
        <v>Santa Marta 220</v>
      </c>
    </row>
    <row r="1344" spans="4:5">
      <c r="D1344" s="1">
        <f t="shared" si="41"/>
        <v>448</v>
      </c>
      <c r="E1344" s="1" t="str">
        <f t="shared" si="40"/>
        <v>Santa Marta 220</v>
      </c>
    </row>
    <row r="1345" spans="4:5">
      <c r="D1345" s="1">
        <f t="shared" si="41"/>
        <v>449</v>
      </c>
      <c r="E1345" s="1" t="str">
        <f t="shared" ref="E1345:E1408" si="42">+VLOOKUP(D1345,$A$1:$B$1076,2,FALSE)</f>
        <v>Termocol 220</v>
      </c>
    </row>
    <row r="1346" spans="4:5">
      <c r="D1346" s="1">
        <f t="shared" si="41"/>
        <v>449</v>
      </c>
      <c r="E1346" s="1" t="str">
        <f t="shared" si="42"/>
        <v>Termocol 220</v>
      </c>
    </row>
    <row r="1347" spans="4:5">
      <c r="D1347" s="1">
        <f t="shared" si="41"/>
        <v>449</v>
      </c>
      <c r="E1347" s="1" t="str">
        <f t="shared" si="42"/>
        <v>Termocol 220</v>
      </c>
    </row>
    <row r="1348" spans="4:5">
      <c r="D1348" s="1">
        <f t="shared" ref="D1348:D1411" si="43">+D1345+1</f>
        <v>450</v>
      </c>
      <c r="E1348" s="1" t="str">
        <f t="shared" si="42"/>
        <v>Valledupar 110</v>
      </c>
    </row>
    <row r="1349" spans="4:5">
      <c r="D1349" s="1">
        <f t="shared" si="43"/>
        <v>450</v>
      </c>
      <c r="E1349" s="1" t="str">
        <f t="shared" si="42"/>
        <v>Valledupar 110</v>
      </c>
    </row>
    <row r="1350" spans="4:5">
      <c r="D1350" s="1">
        <f t="shared" si="43"/>
        <v>450</v>
      </c>
      <c r="E1350" s="1" t="str">
        <f t="shared" si="42"/>
        <v>Valledupar 110</v>
      </c>
    </row>
    <row r="1351" spans="4:5">
      <c r="D1351" s="1">
        <f t="shared" si="43"/>
        <v>451</v>
      </c>
      <c r="E1351" s="1" t="str">
        <f t="shared" si="42"/>
        <v>Valledupar 220</v>
      </c>
    </row>
    <row r="1352" spans="4:5">
      <c r="D1352" s="1">
        <f t="shared" si="43"/>
        <v>451</v>
      </c>
      <c r="E1352" s="1" t="str">
        <f t="shared" si="42"/>
        <v>Valledupar 220</v>
      </c>
    </row>
    <row r="1353" spans="4:5">
      <c r="D1353" s="1">
        <f t="shared" si="43"/>
        <v>451</v>
      </c>
      <c r="E1353" s="1" t="str">
        <f t="shared" si="42"/>
        <v>Valledupar 220</v>
      </c>
    </row>
    <row r="1354" spans="4:5">
      <c r="D1354" s="1">
        <f t="shared" si="43"/>
        <v>452</v>
      </c>
      <c r="E1354" s="1" t="str">
        <f t="shared" si="42"/>
        <v>Amoya 115</v>
      </c>
    </row>
    <row r="1355" spans="4:5">
      <c r="D1355" s="1">
        <f t="shared" si="43"/>
        <v>452</v>
      </c>
      <c r="E1355" s="1" t="str">
        <f t="shared" si="42"/>
        <v>Amoya 115</v>
      </c>
    </row>
    <row r="1356" spans="4:5">
      <c r="D1356" s="1">
        <f t="shared" si="43"/>
        <v>452</v>
      </c>
      <c r="E1356" s="1" t="str">
        <f t="shared" si="42"/>
        <v>Amoya 115</v>
      </c>
    </row>
    <row r="1357" spans="4:5">
      <c r="D1357" s="1">
        <f t="shared" si="43"/>
        <v>453</v>
      </c>
      <c r="E1357" s="1" t="str">
        <f t="shared" si="42"/>
        <v>Betania 115</v>
      </c>
    </row>
    <row r="1358" spans="4:5">
      <c r="D1358" s="1">
        <f t="shared" si="43"/>
        <v>453</v>
      </c>
      <c r="E1358" s="1" t="str">
        <f t="shared" si="42"/>
        <v>Betania 115</v>
      </c>
    </row>
    <row r="1359" spans="4:5">
      <c r="D1359" s="1">
        <f t="shared" si="43"/>
        <v>453</v>
      </c>
      <c r="E1359" s="1" t="str">
        <f t="shared" si="42"/>
        <v>Betania 115</v>
      </c>
    </row>
    <row r="1360" spans="4:5">
      <c r="D1360" s="1">
        <f t="shared" si="43"/>
        <v>454</v>
      </c>
      <c r="E1360" s="1" t="str">
        <f t="shared" si="42"/>
        <v>Betania 220</v>
      </c>
    </row>
    <row r="1361" spans="4:5">
      <c r="D1361" s="1">
        <f t="shared" si="43"/>
        <v>454</v>
      </c>
      <c r="E1361" s="1" t="str">
        <f t="shared" si="42"/>
        <v>Betania 220</v>
      </c>
    </row>
    <row r="1362" spans="4:5">
      <c r="D1362" s="1">
        <f t="shared" si="43"/>
        <v>454</v>
      </c>
      <c r="E1362" s="1" t="str">
        <f t="shared" si="42"/>
        <v>Betania 220</v>
      </c>
    </row>
    <row r="1363" spans="4:5">
      <c r="D1363" s="1">
        <f t="shared" si="43"/>
        <v>455</v>
      </c>
      <c r="E1363" s="1" t="str">
        <f t="shared" si="42"/>
        <v>Brisas 115</v>
      </c>
    </row>
    <row r="1364" spans="4:5">
      <c r="D1364" s="1">
        <f t="shared" si="43"/>
        <v>455</v>
      </c>
      <c r="E1364" s="1" t="str">
        <f t="shared" si="42"/>
        <v>Brisas 115</v>
      </c>
    </row>
    <row r="1365" spans="4:5">
      <c r="D1365" s="1">
        <f t="shared" si="43"/>
        <v>455</v>
      </c>
      <c r="E1365" s="1" t="str">
        <f t="shared" si="42"/>
        <v>Brisas 115</v>
      </c>
    </row>
    <row r="1366" spans="4:5">
      <c r="D1366" s="1">
        <f t="shared" si="43"/>
        <v>456</v>
      </c>
      <c r="E1366" s="1" t="str">
        <f t="shared" si="42"/>
        <v>Cucuana 115</v>
      </c>
    </row>
    <row r="1367" spans="4:5">
      <c r="D1367" s="1">
        <f t="shared" si="43"/>
        <v>456</v>
      </c>
      <c r="E1367" s="1" t="str">
        <f t="shared" si="42"/>
        <v>Cucuana 115</v>
      </c>
    </row>
    <row r="1368" spans="4:5">
      <c r="D1368" s="1">
        <f t="shared" si="43"/>
        <v>456</v>
      </c>
      <c r="E1368" s="1" t="str">
        <f t="shared" si="42"/>
        <v>Cucuana 115</v>
      </c>
    </row>
    <row r="1369" spans="4:5">
      <c r="D1369" s="1">
        <f t="shared" si="43"/>
        <v>457</v>
      </c>
      <c r="E1369" s="1" t="str">
        <f t="shared" si="42"/>
        <v>Diamante 115</v>
      </c>
    </row>
    <row r="1370" spans="4:5">
      <c r="D1370" s="1">
        <f t="shared" si="43"/>
        <v>457</v>
      </c>
      <c r="E1370" s="1" t="str">
        <f t="shared" si="42"/>
        <v>Diamante 115</v>
      </c>
    </row>
    <row r="1371" spans="4:5">
      <c r="D1371" s="1">
        <f t="shared" si="43"/>
        <v>457</v>
      </c>
      <c r="E1371" s="1" t="str">
        <f t="shared" si="42"/>
        <v>Diamante 115</v>
      </c>
    </row>
    <row r="1372" spans="4:5">
      <c r="D1372" s="1">
        <f t="shared" si="43"/>
        <v>458</v>
      </c>
      <c r="E1372" s="1" t="str">
        <f t="shared" si="42"/>
        <v>El Bote 115</v>
      </c>
    </row>
    <row r="1373" spans="4:5">
      <c r="D1373" s="1">
        <f t="shared" si="43"/>
        <v>458</v>
      </c>
      <c r="E1373" s="1" t="str">
        <f t="shared" si="42"/>
        <v>El Bote 115</v>
      </c>
    </row>
    <row r="1374" spans="4:5">
      <c r="D1374" s="1">
        <f t="shared" si="43"/>
        <v>458</v>
      </c>
      <c r="E1374" s="1" t="str">
        <f t="shared" si="42"/>
        <v>El Bote 115</v>
      </c>
    </row>
    <row r="1375" spans="4:5">
      <c r="D1375" s="1">
        <f t="shared" si="43"/>
        <v>459</v>
      </c>
      <c r="E1375" s="1" t="str">
        <f t="shared" si="42"/>
        <v>Flandes 115</v>
      </c>
    </row>
    <row r="1376" spans="4:5">
      <c r="D1376" s="1">
        <f t="shared" si="43"/>
        <v>459</v>
      </c>
      <c r="E1376" s="1" t="str">
        <f t="shared" si="42"/>
        <v>Flandes 115</v>
      </c>
    </row>
    <row r="1377" spans="4:5">
      <c r="D1377" s="1">
        <f t="shared" si="43"/>
        <v>459</v>
      </c>
      <c r="E1377" s="1" t="str">
        <f t="shared" si="42"/>
        <v>Flandes 115</v>
      </c>
    </row>
    <row r="1378" spans="4:5">
      <c r="D1378" s="1">
        <f t="shared" si="43"/>
        <v>460</v>
      </c>
      <c r="E1378" s="1" t="str">
        <f t="shared" si="42"/>
        <v>Gualanday 115</v>
      </c>
    </row>
    <row r="1379" spans="4:5">
      <c r="D1379" s="1">
        <f t="shared" si="43"/>
        <v>460</v>
      </c>
      <c r="E1379" s="1" t="str">
        <f t="shared" si="42"/>
        <v>Gualanday 115</v>
      </c>
    </row>
    <row r="1380" spans="4:5">
      <c r="D1380" s="1">
        <f t="shared" si="43"/>
        <v>460</v>
      </c>
      <c r="E1380" s="1" t="str">
        <f t="shared" si="42"/>
        <v>Gualanday 115</v>
      </c>
    </row>
    <row r="1381" spans="4:5">
      <c r="D1381" s="1">
        <f t="shared" si="43"/>
        <v>461</v>
      </c>
      <c r="E1381" s="1" t="str">
        <f t="shared" si="42"/>
        <v>Huila 115</v>
      </c>
    </row>
    <row r="1382" spans="4:5">
      <c r="D1382" s="1">
        <f t="shared" si="43"/>
        <v>461</v>
      </c>
      <c r="E1382" s="1" t="str">
        <f t="shared" si="42"/>
        <v>Huila 115</v>
      </c>
    </row>
    <row r="1383" spans="4:5">
      <c r="D1383" s="1">
        <f t="shared" si="43"/>
        <v>461</v>
      </c>
      <c r="E1383" s="1" t="str">
        <f t="shared" si="42"/>
        <v>Huila 115</v>
      </c>
    </row>
    <row r="1384" spans="4:5">
      <c r="D1384" s="1">
        <f t="shared" si="43"/>
        <v>462</v>
      </c>
      <c r="E1384" s="1" t="str">
        <f t="shared" si="42"/>
        <v>Huila 230</v>
      </c>
    </row>
    <row r="1385" spans="4:5">
      <c r="D1385" s="1">
        <f t="shared" si="43"/>
        <v>462</v>
      </c>
      <c r="E1385" s="1" t="str">
        <f t="shared" si="42"/>
        <v>Huila 230</v>
      </c>
    </row>
    <row r="1386" spans="4:5">
      <c r="D1386" s="1">
        <f t="shared" si="43"/>
        <v>462</v>
      </c>
      <c r="E1386" s="1" t="str">
        <f t="shared" si="42"/>
        <v>Huila 230</v>
      </c>
    </row>
    <row r="1387" spans="4:5">
      <c r="D1387" s="1">
        <f t="shared" si="43"/>
        <v>463</v>
      </c>
      <c r="E1387" s="1" t="str">
        <f t="shared" si="42"/>
        <v>Lanceros 115</v>
      </c>
    </row>
    <row r="1388" spans="4:5">
      <c r="D1388" s="1">
        <f t="shared" si="43"/>
        <v>463</v>
      </c>
      <c r="E1388" s="1" t="str">
        <f t="shared" si="42"/>
        <v>Lanceros 115</v>
      </c>
    </row>
    <row r="1389" spans="4:5">
      <c r="D1389" s="1">
        <f t="shared" si="43"/>
        <v>463</v>
      </c>
      <c r="E1389" s="1" t="str">
        <f t="shared" si="42"/>
        <v>Lanceros 115</v>
      </c>
    </row>
    <row r="1390" spans="4:5">
      <c r="D1390" s="1">
        <f t="shared" si="43"/>
        <v>464</v>
      </c>
      <c r="E1390" s="1" t="str">
        <f t="shared" si="42"/>
        <v>Mariquita 115</v>
      </c>
    </row>
    <row r="1391" spans="4:5">
      <c r="D1391" s="1">
        <f t="shared" si="43"/>
        <v>464</v>
      </c>
      <c r="E1391" s="1" t="str">
        <f t="shared" si="42"/>
        <v>Mariquita 115</v>
      </c>
    </row>
    <row r="1392" spans="4:5">
      <c r="D1392" s="1">
        <f t="shared" si="43"/>
        <v>464</v>
      </c>
      <c r="E1392" s="1" t="str">
        <f t="shared" si="42"/>
        <v>Mariquita 115</v>
      </c>
    </row>
    <row r="1393" spans="4:5">
      <c r="D1393" s="1">
        <f t="shared" si="43"/>
        <v>465</v>
      </c>
      <c r="E1393" s="1" t="str">
        <f t="shared" si="42"/>
        <v>Mirolindo 115</v>
      </c>
    </row>
    <row r="1394" spans="4:5">
      <c r="D1394" s="1">
        <f t="shared" si="43"/>
        <v>465</v>
      </c>
      <c r="E1394" s="1" t="str">
        <f t="shared" si="42"/>
        <v>Mirolindo 115</v>
      </c>
    </row>
    <row r="1395" spans="4:5">
      <c r="D1395" s="1">
        <f t="shared" si="43"/>
        <v>465</v>
      </c>
      <c r="E1395" s="1" t="str">
        <f t="shared" si="42"/>
        <v>Mirolindo 115</v>
      </c>
    </row>
    <row r="1396" spans="4:5">
      <c r="D1396" s="1">
        <f t="shared" si="43"/>
        <v>466</v>
      </c>
      <c r="E1396" s="1" t="str">
        <f t="shared" si="42"/>
        <v>Mirolindo 220</v>
      </c>
    </row>
    <row r="1397" spans="4:5">
      <c r="D1397" s="1">
        <f t="shared" si="43"/>
        <v>466</v>
      </c>
      <c r="E1397" s="1" t="str">
        <f t="shared" si="42"/>
        <v>Mirolindo 220</v>
      </c>
    </row>
    <row r="1398" spans="4:5">
      <c r="D1398" s="1">
        <f t="shared" si="43"/>
        <v>466</v>
      </c>
      <c r="E1398" s="1" t="str">
        <f t="shared" si="42"/>
        <v>Mirolindo 220</v>
      </c>
    </row>
    <row r="1399" spans="4:5">
      <c r="D1399" s="1">
        <f t="shared" si="43"/>
        <v>467</v>
      </c>
      <c r="E1399" s="1" t="str">
        <f t="shared" si="42"/>
        <v>Natagaima 115</v>
      </c>
    </row>
    <row r="1400" spans="4:5">
      <c r="D1400" s="1">
        <f t="shared" si="43"/>
        <v>467</v>
      </c>
      <c r="E1400" s="1" t="str">
        <f t="shared" si="42"/>
        <v>Natagaima 115</v>
      </c>
    </row>
    <row r="1401" spans="4:5">
      <c r="D1401" s="1">
        <f t="shared" si="43"/>
        <v>467</v>
      </c>
      <c r="E1401" s="1" t="str">
        <f t="shared" si="42"/>
        <v>Natagaima 115</v>
      </c>
    </row>
    <row r="1402" spans="4:5">
      <c r="D1402" s="1">
        <f t="shared" si="43"/>
        <v>468</v>
      </c>
      <c r="E1402" s="1" t="str">
        <f t="shared" si="42"/>
        <v>Nva Cajamarca 115</v>
      </c>
    </row>
    <row r="1403" spans="4:5">
      <c r="D1403" s="1">
        <f t="shared" si="43"/>
        <v>468</v>
      </c>
      <c r="E1403" s="1" t="str">
        <f t="shared" si="42"/>
        <v>Nva Cajamarca 115</v>
      </c>
    </row>
    <row r="1404" spans="4:5">
      <c r="D1404" s="1">
        <f t="shared" si="43"/>
        <v>468</v>
      </c>
      <c r="E1404" s="1" t="str">
        <f t="shared" si="42"/>
        <v>Nva Cajamarca 115</v>
      </c>
    </row>
    <row r="1405" spans="4:5">
      <c r="D1405" s="1">
        <f t="shared" si="43"/>
        <v>469</v>
      </c>
      <c r="E1405" s="1" t="str">
        <f t="shared" si="42"/>
        <v>Nva Espinal 115</v>
      </c>
    </row>
    <row r="1406" spans="4:5">
      <c r="D1406" s="1">
        <f t="shared" si="43"/>
        <v>469</v>
      </c>
      <c r="E1406" s="1" t="str">
        <f t="shared" si="42"/>
        <v>Nva Espinal 115</v>
      </c>
    </row>
    <row r="1407" spans="4:5">
      <c r="D1407" s="1">
        <f t="shared" si="43"/>
        <v>469</v>
      </c>
      <c r="E1407" s="1" t="str">
        <f t="shared" si="42"/>
        <v>Nva Espinal 115</v>
      </c>
    </row>
    <row r="1408" spans="4:5">
      <c r="D1408" s="1">
        <f t="shared" si="43"/>
        <v>470</v>
      </c>
      <c r="E1408" s="1" t="str">
        <f t="shared" si="42"/>
        <v>Oriente 115</v>
      </c>
    </row>
    <row r="1409" spans="4:5">
      <c r="D1409" s="1">
        <f t="shared" si="43"/>
        <v>470</v>
      </c>
      <c r="E1409" s="1" t="str">
        <f t="shared" ref="E1409:E1472" si="44">+VLOOKUP(D1409,$A$1:$B$1076,2,FALSE)</f>
        <v>Oriente 115</v>
      </c>
    </row>
    <row r="1410" spans="4:5">
      <c r="D1410" s="1">
        <f t="shared" si="43"/>
        <v>470</v>
      </c>
      <c r="E1410" s="1" t="str">
        <f t="shared" si="44"/>
        <v>Oriente 115</v>
      </c>
    </row>
    <row r="1411" spans="4:5">
      <c r="D1411" s="1">
        <f t="shared" si="43"/>
        <v>471</v>
      </c>
      <c r="E1411" s="1" t="str">
        <f t="shared" si="44"/>
        <v>Papayo 115</v>
      </c>
    </row>
    <row r="1412" spans="4:5">
      <c r="D1412" s="1">
        <f t="shared" ref="D1412:D1475" si="45">+D1409+1</f>
        <v>471</v>
      </c>
      <c r="E1412" s="1" t="str">
        <f t="shared" si="44"/>
        <v>Papayo 115</v>
      </c>
    </row>
    <row r="1413" spans="4:5">
      <c r="D1413" s="1">
        <f t="shared" si="45"/>
        <v>471</v>
      </c>
      <c r="E1413" s="1" t="str">
        <f t="shared" si="44"/>
        <v>Papayo 115</v>
      </c>
    </row>
    <row r="1414" spans="4:5">
      <c r="D1414" s="1">
        <f t="shared" si="45"/>
        <v>472</v>
      </c>
      <c r="E1414" s="1" t="str">
        <f t="shared" si="44"/>
        <v>Picaleña (Escobal) 115</v>
      </c>
    </row>
    <row r="1415" spans="4:5">
      <c r="D1415" s="1">
        <f t="shared" si="45"/>
        <v>472</v>
      </c>
      <c r="E1415" s="1" t="str">
        <f t="shared" si="44"/>
        <v>Picaleña (Escobal) 115</v>
      </c>
    </row>
    <row r="1416" spans="4:5">
      <c r="D1416" s="1">
        <f t="shared" si="45"/>
        <v>472</v>
      </c>
      <c r="E1416" s="1" t="str">
        <f t="shared" si="44"/>
        <v>Picaleña (Escobal) 115</v>
      </c>
    </row>
    <row r="1417" spans="4:5">
      <c r="D1417" s="1">
        <f t="shared" si="45"/>
        <v>473</v>
      </c>
      <c r="E1417" s="1" t="str">
        <f t="shared" si="44"/>
        <v>Prado 115</v>
      </c>
    </row>
    <row r="1418" spans="4:5">
      <c r="D1418" s="1">
        <f t="shared" si="45"/>
        <v>473</v>
      </c>
      <c r="E1418" s="1" t="str">
        <f t="shared" si="44"/>
        <v>Prado 115</v>
      </c>
    </row>
    <row r="1419" spans="4:5">
      <c r="D1419" s="1">
        <f t="shared" si="45"/>
        <v>473</v>
      </c>
      <c r="E1419" s="1" t="str">
        <f t="shared" si="44"/>
        <v>Prado 115</v>
      </c>
    </row>
    <row r="1420" spans="4:5">
      <c r="D1420" s="1">
        <f t="shared" si="45"/>
        <v>474</v>
      </c>
      <c r="E1420" s="1" t="str">
        <f t="shared" si="44"/>
        <v>Seboruco 115</v>
      </c>
    </row>
    <row r="1421" spans="4:5">
      <c r="D1421" s="1">
        <f t="shared" si="45"/>
        <v>474</v>
      </c>
      <c r="E1421" s="1" t="str">
        <f t="shared" si="44"/>
        <v>Seboruco 115</v>
      </c>
    </row>
    <row r="1422" spans="4:5">
      <c r="D1422" s="1">
        <f t="shared" si="45"/>
        <v>474</v>
      </c>
      <c r="E1422" s="1" t="str">
        <f t="shared" si="44"/>
        <v>Seboruco 115</v>
      </c>
    </row>
    <row r="1423" spans="4:5">
      <c r="D1423" s="1">
        <f t="shared" si="45"/>
        <v>475</v>
      </c>
      <c r="E1423" s="1" t="str">
        <f t="shared" si="44"/>
        <v>Sur 115</v>
      </c>
    </row>
    <row r="1424" spans="4:5">
      <c r="D1424" s="1">
        <f t="shared" si="45"/>
        <v>475</v>
      </c>
      <c r="E1424" s="1" t="str">
        <f t="shared" si="44"/>
        <v>Sur 115</v>
      </c>
    </row>
    <row r="1425" spans="4:5">
      <c r="D1425" s="1">
        <f t="shared" si="45"/>
        <v>475</v>
      </c>
      <c r="E1425" s="1" t="str">
        <f t="shared" si="44"/>
        <v>Sur 115</v>
      </c>
    </row>
    <row r="1426" spans="4:5">
      <c r="D1426" s="1">
        <f t="shared" si="45"/>
        <v>476</v>
      </c>
      <c r="E1426" s="1" t="str">
        <f t="shared" si="44"/>
        <v>Tenay 115</v>
      </c>
    </row>
    <row r="1427" spans="4:5">
      <c r="D1427" s="1">
        <f t="shared" si="45"/>
        <v>476</v>
      </c>
      <c r="E1427" s="1" t="str">
        <f t="shared" si="44"/>
        <v>Tenay 115</v>
      </c>
    </row>
    <row r="1428" spans="4:5">
      <c r="D1428" s="1">
        <f t="shared" si="45"/>
        <v>476</v>
      </c>
      <c r="E1428" s="1" t="str">
        <f t="shared" si="44"/>
        <v>Tenay 115</v>
      </c>
    </row>
    <row r="1429" spans="4:5">
      <c r="D1429" s="1">
        <f t="shared" si="45"/>
        <v>477</v>
      </c>
      <c r="E1429" s="1" t="str">
        <f t="shared" si="44"/>
        <v>Tuluní 115</v>
      </c>
    </row>
    <row r="1430" spans="4:5">
      <c r="D1430" s="1">
        <f t="shared" si="45"/>
        <v>477</v>
      </c>
      <c r="E1430" s="1" t="str">
        <f t="shared" si="44"/>
        <v>Tuluní 115</v>
      </c>
    </row>
    <row r="1431" spans="4:5">
      <c r="D1431" s="1">
        <f t="shared" si="45"/>
        <v>477</v>
      </c>
      <c r="E1431" s="1" t="str">
        <f t="shared" si="44"/>
        <v>Tuluní 115</v>
      </c>
    </row>
    <row r="1432" spans="4:5">
      <c r="D1432" s="1">
        <f t="shared" si="45"/>
        <v>478</v>
      </c>
      <c r="E1432" s="1" t="str">
        <f t="shared" si="44"/>
        <v>Tuluní 220</v>
      </c>
    </row>
    <row r="1433" spans="4:5">
      <c r="D1433" s="1">
        <f t="shared" si="45"/>
        <v>478</v>
      </c>
      <c r="E1433" s="1" t="str">
        <f t="shared" si="44"/>
        <v>Tuluní 220</v>
      </c>
    </row>
    <row r="1434" spans="4:5">
      <c r="D1434" s="1">
        <f t="shared" si="45"/>
        <v>478</v>
      </c>
      <c r="E1434" s="1" t="str">
        <f t="shared" si="44"/>
        <v>Tuluní 220</v>
      </c>
    </row>
    <row r="1435" spans="4:5">
      <c r="D1435" s="1">
        <f t="shared" si="45"/>
        <v>479</v>
      </c>
      <c r="E1435" s="1" t="str">
        <f t="shared" si="44"/>
        <v>Barzal 115</v>
      </c>
    </row>
    <row r="1436" spans="4:5">
      <c r="D1436" s="1">
        <f t="shared" si="45"/>
        <v>479</v>
      </c>
      <c r="E1436" s="1" t="str">
        <f t="shared" si="44"/>
        <v>Barzal 115</v>
      </c>
    </row>
    <row r="1437" spans="4:5">
      <c r="D1437" s="1">
        <f t="shared" si="45"/>
        <v>479</v>
      </c>
      <c r="E1437" s="1" t="str">
        <f t="shared" si="44"/>
        <v>Barzal 115</v>
      </c>
    </row>
    <row r="1438" spans="4:5">
      <c r="D1438" s="1">
        <f t="shared" si="45"/>
        <v>480</v>
      </c>
      <c r="E1438" s="1" t="str">
        <f t="shared" si="44"/>
        <v>Campobonito 115</v>
      </c>
    </row>
    <row r="1439" spans="4:5">
      <c r="D1439" s="1">
        <f t="shared" si="45"/>
        <v>480</v>
      </c>
      <c r="E1439" s="1" t="str">
        <f t="shared" si="44"/>
        <v>Campobonito 115</v>
      </c>
    </row>
    <row r="1440" spans="4:5">
      <c r="D1440" s="1">
        <f t="shared" si="45"/>
        <v>480</v>
      </c>
      <c r="E1440" s="1" t="str">
        <f t="shared" si="44"/>
        <v>Campobonito 115</v>
      </c>
    </row>
    <row r="1441" spans="4:5">
      <c r="D1441" s="1">
        <f t="shared" si="45"/>
        <v>481</v>
      </c>
      <c r="E1441" s="1" t="str">
        <f t="shared" si="44"/>
        <v>Catama 115</v>
      </c>
    </row>
    <row r="1442" spans="4:5">
      <c r="D1442" s="1">
        <f t="shared" si="45"/>
        <v>481</v>
      </c>
      <c r="E1442" s="1" t="str">
        <f t="shared" si="44"/>
        <v>Catama 115</v>
      </c>
    </row>
    <row r="1443" spans="4:5">
      <c r="D1443" s="1">
        <f t="shared" si="45"/>
        <v>481</v>
      </c>
      <c r="E1443" s="1" t="str">
        <f t="shared" si="44"/>
        <v>Catama 115</v>
      </c>
    </row>
    <row r="1444" spans="4:5">
      <c r="D1444" s="1">
        <f t="shared" si="45"/>
        <v>482</v>
      </c>
      <c r="E1444" s="1" t="str">
        <f t="shared" si="44"/>
        <v>Granada 115</v>
      </c>
    </row>
    <row r="1445" spans="4:5">
      <c r="D1445" s="1">
        <f t="shared" si="45"/>
        <v>482</v>
      </c>
      <c r="E1445" s="1" t="str">
        <f t="shared" si="44"/>
        <v>Granada 115</v>
      </c>
    </row>
    <row r="1446" spans="4:5">
      <c r="D1446" s="1">
        <f t="shared" si="45"/>
        <v>482</v>
      </c>
      <c r="E1446" s="1" t="str">
        <f t="shared" si="44"/>
        <v>Granada 115</v>
      </c>
    </row>
    <row r="1447" spans="4:5">
      <c r="D1447" s="1">
        <f t="shared" si="45"/>
        <v>483</v>
      </c>
      <c r="E1447" s="1" t="str">
        <f t="shared" si="44"/>
        <v>Guamal 115</v>
      </c>
    </row>
    <row r="1448" spans="4:5">
      <c r="D1448" s="1">
        <f t="shared" si="45"/>
        <v>483</v>
      </c>
      <c r="E1448" s="1" t="str">
        <f t="shared" si="44"/>
        <v>Guamal 115</v>
      </c>
    </row>
    <row r="1449" spans="4:5">
      <c r="D1449" s="1">
        <f t="shared" si="45"/>
        <v>483</v>
      </c>
      <c r="E1449" s="1" t="str">
        <f t="shared" si="44"/>
        <v>Guamal 115</v>
      </c>
    </row>
    <row r="1450" spans="4:5">
      <c r="D1450" s="1">
        <f t="shared" si="45"/>
        <v>484</v>
      </c>
      <c r="E1450" s="1" t="str">
        <f t="shared" si="44"/>
        <v>Ocoa 115</v>
      </c>
    </row>
    <row r="1451" spans="4:5">
      <c r="D1451" s="1">
        <f t="shared" si="45"/>
        <v>484</v>
      </c>
      <c r="E1451" s="1" t="str">
        <f t="shared" si="44"/>
        <v>Ocoa 115</v>
      </c>
    </row>
    <row r="1452" spans="4:5">
      <c r="D1452" s="1">
        <f t="shared" si="45"/>
        <v>484</v>
      </c>
      <c r="E1452" s="1" t="str">
        <f t="shared" si="44"/>
        <v>Ocoa 115</v>
      </c>
    </row>
    <row r="1453" spans="4:5">
      <c r="D1453" s="1">
        <f t="shared" si="45"/>
        <v>485</v>
      </c>
      <c r="E1453" s="1" t="str">
        <f t="shared" si="44"/>
        <v>Puerto Gaitán 115</v>
      </c>
    </row>
    <row r="1454" spans="4:5">
      <c r="D1454" s="1">
        <f t="shared" si="45"/>
        <v>485</v>
      </c>
      <c r="E1454" s="1" t="str">
        <f t="shared" si="44"/>
        <v>Puerto Gaitán 115</v>
      </c>
    </row>
    <row r="1455" spans="4:5">
      <c r="D1455" s="1">
        <f t="shared" si="45"/>
        <v>485</v>
      </c>
      <c r="E1455" s="1" t="str">
        <f t="shared" si="44"/>
        <v>Puerto Gaitán 115</v>
      </c>
    </row>
    <row r="1456" spans="4:5">
      <c r="D1456" s="1">
        <f t="shared" si="45"/>
        <v>486</v>
      </c>
      <c r="E1456" s="1" t="str">
        <f t="shared" si="44"/>
        <v>Puerto López 115</v>
      </c>
    </row>
    <row r="1457" spans="4:5">
      <c r="D1457" s="1">
        <f t="shared" si="45"/>
        <v>486</v>
      </c>
      <c r="E1457" s="1" t="str">
        <f t="shared" si="44"/>
        <v>Puerto López 115</v>
      </c>
    </row>
    <row r="1458" spans="4:5">
      <c r="D1458" s="1">
        <f t="shared" si="45"/>
        <v>486</v>
      </c>
      <c r="E1458" s="1" t="str">
        <f t="shared" si="44"/>
        <v>Puerto López 115</v>
      </c>
    </row>
    <row r="1459" spans="4:5">
      <c r="D1459" s="1">
        <f t="shared" si="45"/>
        <v>487</v>
      </c>
      <c r="E1459" s="1" t="str">
        <f t="shared" si="44"/>
        <v>Reforma 115</v>
      </c>
    </row>
    <row r="1460" spans="4:5">
      <c r="D1460" s="1">
        <f t="shared" si="45"/>
        <v>487</v>
      </c>
      <c r="E1460" s="1" t="str">
        <f t="shared" si="44"/>
        <v>Reforma 115</v>
      </c>
    </row>
    <row r="1461" spans="4:5">
      <c r="D1461" s="1">
        <f t="shared" si="45"/>
        <v>487</v>
      </c>
      <c r="E1461" s="1" t="str">
        <f t="shared" si="44"/>
        <v>Reforma 115</v>
      </c>
    </row>
    <row r="1462" spans="4:5">
      <c r="D1462" s="1">
        <f t="shared" si="45"/>
        <v>488</v>
      </c>
      <c r="E1462" s="1" t="str">
        <f t="shared" si="44"/>
        <v>Reforma 220</v>
      </c>
    </row>
    <row r="1463" spans="4:5">
      <c r="D1463" s="1">
        <f t="shared" si="45"/>
        <v>488</v>
      </c>
      <c r="E1463" s="1" t="str">
        <f t="shared" si="44"/>
        <v>Reforma 220</v>
      </c>
    </row>
    <row r="1464" spans="4:5">
      <c r="D1464" s="1">
        <f t="shared" si="45"/>
        <v>488</v>
      </c>
      <c r="E1464" s="1" t="str">
        <f t="shared" si="44"/>
        <v>Reforma 220</v>
      </c>
    </row>
    <row r="1465" spans="4:5">
      <c r="D1465" s="1">
        <f t="shared" si="45"/>
        <v>489</v>
      </c>
      <c r="E1465" s="1" t="str">
        <f t="shared" si="44"/>
        <v>Santa Helena 115</v>
      </c>
    </row>
    <row r="1466" spans="4:5">
      <c r="D1466" s="1">
        <f t="shared" si="45"/>
        <v>489</v>
      </c>
      <c r="E1466" s="1" t="str">
        <f t="shared" si="44"/>
        <v>Santa Helena 115</v>
      </c>
    </row>
    <row r="1467" spans="4:5">
      <c r="D1467" s="1">
        <f t="shared" si="45"/>
        <v>489</v>
      </c>
      <c r="E1467" s="1" t="str">
        <f t="shared" si="44"/>
        <v>Santa Helena 115</v>
      </c>
    </row>
    <row r="1468" spans="4:5">
      <c r="D1468" s="1">
        <f t="shared" si="45"/>
        <v>490</v>
      </c>
      <c r="E1468" s="1" t="str">
        <f t="shared" si="44"/>
        <v>Sn José del Guaviare 115</v>
      </c>
    </row>
    <row r="1469" spans="4:5">
      <c r="D1469" s="1">
        <f t="shared" si="45"/>
        <v>490</v>
      </c>
      <c r="E1469" s="1" t="str">
        <f t="shared" si="44"/>
        <v>Sn José del Guaviare 115</v>
      </c>
    </row>
    <row r="1470" spans="4:5">
      <c r="D1470" s="1">
        <f t="shared" si="45"/>
        <v>490</v>
      </c>
      <c r="E1470" s="1" t="str">
        <f t="shared" si="44"/>
        <v>Sn José del Guaviare 115</v>
      </c>
    </row>
    <row r="1471" spans="4:5">
      <c r="D1471" s="1">
        <f t="shared" si="45"/>
        <v>491</v>
      </c>
      <c r="E1471" s="1" t="str">
        <f t="shared" si="44"/>
        <v>Suria (DelSur) 220</v>
      </c>
    </row>
    <row r="1472" spans="4:5">
      <c r="D1472" s="1">
        <f t="shared" si="45"/>
        <v>491</v>
      </c>
      <c r="E1472" s="1" t="str">
        <f t="shared" si="44"/>
        <v>Suria (DelSur) 220</v>
      </c>
    </row>
    <row r="1473" spans="4:5">
      <c r="D1473" s="1">
        <f t="shared" si="45"/>
        <v>491</v>
      </c>
      <c r="E1473" s="1" t="str">
        <f t="shared" ref="E1473:E1536" si="46">+VLOOKUP(D1473,$A$1:$B$1076,2,FALSE)</f>
        <v>Suria (DelSur) 220</v>
      </c>
    </row>
    <row r="1474" spans="4:5">
      <c r="D1474" s="1">
        <f t="shared" si="45"/>
        <v>492</v>
      </c>
      <c r="E1474" s="1" t="str">
        <f t="shared" si="46"/>
        <v>Suria 115</v>
      </c>
    </row>
    <row r="1475" spans="4:5">
      <c r="D1475" s="1">
        <f t="shared" si="45"/>
        <v>492</v>
      </c>
      <c r="E1475" s="1" t="str">
        <f t="shared" si="46"/>
        <v>Suria 115</v>
      </c>
    </row>
    <row r="1476" spans="4:5">
      <c r="D1476" s="1">
        <f t="shared" ref="D1476:D1539" si="47">+D1473+1</f>
        <v>492</v>
      </c>
      <c r="E1476" s="1" t="str">
        <f t="shared" si="46"/>
        <v>Suria 115</v>
      </c>
    </row>
    <row r="1477" spans="4:5">
      <c r="D1477" s="1">
        <f t="shared" si="47"/>
        <v>493</v>
      </c>
      <c r="E1477" s="1" t="str">
        <f t="shared" si="46"/>
        <v>Ayacucho 115</v>
      </c>
    </row>
    <row r="1478" spans="4:5">
      <c r="D1478" s="1">
        <f t="shared" si="47"/>
        <v>493</v>
      </c>
      <c r="E1478" s="1" t="str">
        <f t="shared" si="46"/>
        <v>Ayacucho 115</v>
      </c>
    </row>
    <row r="1479" spans="4:5">
      <c r="D1479" s="1">
        <f t="shared" si="47"/>
        <v>493</v>
      </c>
      <c r="E1479" s="1" t="str">
        <f t="shared" si="46"/>
        <v>Ayacucho 115</v>
      </c>
    </row>
    <row r="1480" spans="4:5">
      <c r="D1480" s="1">
        <f t="shared" si="47"/>
        <v>494</v>
      </c>
      <c r="E1480" s="1" t="str">
        <f t="shared" si="46"/>
        <v>Belén 115</v>
      </c>
    </row>
    <row r="1481" spans="4:5">
      <c r="D1481" s="1">
        <f t="shared" si="47"/>
        <v>494</v>
      </c>
      <c r="E1481" s="1" t="str">
        <f t="shared" si="46"/>
        <v>Belén 115</v>
      </c>
    </row>
    <row r="1482" spans="4:5">
      <c r="D1482" s="1">
        <f t="shared" si="47"/>
        <v>494</v>
      </c>
      <c r="E1482" s="1" t="str">
        <f t="shared" si="46"/>
        <v>Belén 115</v>
      </c>
    </row>
    <row r="1483" spans="4:5">
      <c r="D1483" s="1">
        <f t="shared" si="47"/>
        <v>495</v>
      </c>
      <c r="E1483" s="1" t="str">
        <f t="shared" si="46"/>
        <v>Buturama 115</v>
      </c>
    </row>
    <row r="1484" spans="4:5">
      <c r="D1484" s="1">
        <f t="shared" si="47"/>
        <v>495</v>
      </c>
      <c r="E1484" s="1" t="str">
        <f t="shared" si="46"/>
        <v>Buturama 115</v>
      </c>
    </row>
    <row r="1485" spans="4:5">
      <c r="D1485" s="1">
        <f t="shared" si="47"/>
        <v>495</v>
      </c>
      <c r="E1485" s="1" t="str">
        <f t="shared" si="46"/>
        <v>Buturama 115</v>
      </c>
    </row>
    <row r="1486" spans="4:5">
      <c r="D1486" s="1">
        <f t="shared" si="47"/>
        <v>496</v>
      </c>
      <c r="E1486" s="1" t="str">
        <f t="shared" si="46"/>
        <v>Convención 115</v>
      </c>
    </row>
    <row r="1487" spans="4:5">
      <c r="D1487" s="1">
        <f t="shared" si="47"/>
        <v>496</v>
      </c>
      <c r="E1487" s="1" t="str">
        <f t="shared" si="46"/>
        <v>Convención 115</v>
      </c>
    </row>
    <row r="1488" spans="4:5">
      <c r="D1488" s="1">
        <f t="shared" si="47"/>
        <v>496</v>
      </c>
      <c r="E1488" s="1" t="str">
        <f t="shared" si="46"/>
        <v>Convención 115</v>
      </c>
    </row>
    <row r="1489" spans="4:5">
      <c r="D1489" s="1">
        <f t="shared" si="47"/>
        <v>497</v>
      </c>
      <c r="E1489" s="1" t="str">
        <f t="shared" si="46"/>
        <v>Cúcuta 220</v>
      </c>
    </row>
    <row r="1490" spans="4:5">
      <c r="D1490" s="1">
        <f t="shared" si="47"/>
        <v>497</v>
      </c>
      <c r="E1490" s="1" t="str">
        <f t="shared" si="46"/>
        <v>Cúcuta 220</v>
      </c>
    </row>
    <row r="1491" spans="4:5">
      <c r="D1491" s="1">
        <f t="shared" si="47"/>
        <v>497</v>
      </c>
      <c r="E1491" s="1" t="str">
        <f t="shared" si="46"/>
        <v>Cúcuta 220</v>
      </c>
    </row>
    <row r="1492" spans="4:5">
      <c r="D1492" s="1">
        <f t="shared" si="47"/>
        <v>498</v>
      </c>
      <c r="E1492" s="1" t="str">
        <f t="shared" si="46"/>
        <v>Don Juana 115</v>
      </c>
    </row>
    <row r="1493" spans="4:5">
      <c r="D1493" s="1">
        <f t="shared" si="47"/>
        <v>498</v>
      </c>
      <c r="E1493" s="1" t="str">
        <f t="shared" si="46"/>
        <v>Don Juana 115</v>
      </c>
    </row>
    <row r="1494" spans="4:5">
      <c r="D1494" s="1">
        <f t="shared" si="47"/>
        <v>498</v>
      </c>
      <c r="E1494" s="1" t="str">
        <f t="shared" si="46"/>
        <v>Don Juana 115</v>
      </c>
    </row>
    <row r="1495" spans="4:5">
      <c r="D1495" s="1">
        <f t="shared" si="47"/>
        <v>499</v>
      </c>
      <c r="E1495" s="1" t="str">
        <f t="shared" si="46"/>
        <v>Insula 115</v>
      </c>
    </row>
    <row r="1496" spans="4:5">
      <c r="D1496" s="1">
        <f t="shared" si="47"/>
        <v>499</v>
      </c>
      <c r="E1496" s="1" t="str">
        <f t="shared" si="46"/>
        <v>Insula 115</v>
      </c>
    </row>
    <row r="1497" spans="4:5">
      <c r="D1497" s="1">
        <f t="shared" si="47"/>
        <v>499</v>
      </c>
      <c r="E1497" s="1" t="str">
        <f t="shared" si="46"/>
        <v>Insula 115</v>
      </c>
    </row>
    <row r="1498" spans="4:5">
      <c r="D1498" s="1">
        <f t="shared" si="47"/>
        <v>500</v>
      </c>
      <c r="E1498" s="1" t="str">
        <f t="shared" si="46"/>
        <v>Ocaña 115</v>
      </c>
    </row>
    <row r="1499" spans="4:5">
      <c r="D1499" s="1">
        <f t="shared" si="47"/>
        <v>500</v>
      </c>
      <c r="E1499" s="1" t="str">
        <f t="shared" si="46"/>
        <v>Ocaña 115</v>
      </c>
    </row>
    <row r="1500" spans="4:5">
      <c r="D1500" s="1">
        <f t="shared" si="47"/>
        <v>500</v>
      </c>
      <c r="E1500" s="1" t="str">
        <f t="shared" si="46"/>
        <v>Ocaña 115</v>
      </c>
    </row>
    <row r="1501" spans="4:5">
      <c r="D1501" s="1">
        <f t="shared" si="47"/>
        <v>501</v>
      </c>
      <c r="E1501" s="1" t="str">
        <f t="shared" si="46"/>
        <v>Ocaña 220</v>
      </c>
    </row>
    <row r="1502" spans="4:5">
      <c r="D1502" s="1">
        <f t="shared" si="47"/>
        <v>501</v>
      </c>
      <c r="E1502" s="1" t="str">
        <f t="shared" si="46"/>
        <v>Ocaña 220</v>
      </c>
    </row>
    <row r="1503" spans="4:5">
      <c r="D1503" s="1">
        <f t="shared" si="47"/>
        <v>501</v>
      </c>
      <c r="E1503" s="1" t="str">
        <f t="shared" si="46"/>
        <v>Ocaña 220</v>
      </c>
    </row>
    <row r="1504" spans="4:5">
      <c r="D1504" s="1">
        <f t="shared" si="47"/>
        <v>502</v>
      </c>
      <c r="E1504" s="1" t="str">
        <f t="shared" si="46"/>
        <v>Ocaña 500</v>
      </c>
    </row>
    <row r="1505" spans="4:5">
      <c r="D1505" s="1">
        <f t="shared" si="47"/>
        <v>502</v>
      </c>
      <c r="E1505" s="1" t="str">
        <f t="shared" si="46"/>
        <v>Ocaña 500</v>
      </c>
    </row>
    <row r="1506" spans="4:5">
      <c r="D1506" s="1">
        <f t="shared" si="47"/>
        <v>502</v>
      </c>
      <c r="E1506" s="1" t="str">
        <f t="shared" si="46"/>
        <v>Ocaña 500</v>
      </c>
    </row>
    <row r="1507" spans="4:5">
      <c r="D1507" s="1">
        <f t="shared" si="47"/>
        <v>503</v>
      </c>
      <c r="E1507" s="1" t="str">
        <f t="shared" si="46"/>
        <v>San Mateo 115</v>
      </c>
    </row>
    <row r="1508" spans="4:5">
      <c r="D1508" s="1">
        <f t="shared" si="47"/>
        <v>503</v>
      </c>
      <c r="E1508" s="1" t="str">
        <f t="shared" si="46"/>
        <v>San Mateo 115</v>
      </c>
    </row>
    <row r="1509" spans="4:5">
      <c r="D1509" s="1">
        <f t="shared" si="47"/>
        <v>503</v>
      </c>
      <c r="E1509" s="1" t="str">
        <f t="shared" si="46"/>
        <v>San Mateo 115</v>
      </c>
    </row>
    <row r="1510" spans="4:5">
      <c r="D1510" s="1">
        <f t="shared" si="47"/>
        <v>504</v>
      </c>
      <c r="E1510" s="1" t="str">
        <f t="shared" si="46"/>
        <v>San Mateo 220</v>
      </c>
    </row>
    <row r="1511" spans="4:5">
      <c r="D1511" s="1">
        <f t="shared" si="47"/>
        <v>504</v>
      </c>
      <c r="E1511" s="1" t="str">
        <f t="shared" si="46"/>
        <v>San Mateo 220</v>
      </c>
    </row>
    <row r="1512" spans="4:5">
      <c r="D1512" s="1">
        <f t="shared" si="47"/>
        <v>504</v>
      </c>
      <c r="E1512" s="1" t="str">
        <f t="shared" si="46"/>
        <v>San Mateo 220</v>
      </c>
    </row>
    <row r="1513" spans="4:5">
      <c r="D1513" s="1">
        <f t="shared" si="47"/>
        <v>505</v>
      </c>
      <c r="E1513" s="1" t="str">
        <f t="shared" si="46"/>
        <v>Sevilla 115</v>
      </c>
    </row>
    <row r="1514" spans="4:5">
      <c r="D1514" s="1">
        <f t="shared" si="47"/>
        <v>505</v>
      </c>
      <c r="E1514" s="1" t="str">
        <f t="shared" si="46"/>
        <v>Sevilla 115</v>
      </c>
    </row>
    <row r="1515" spans="4:5">
      <c r="D1515" s="1">
        <f t="shared" si="47"/>
        <v>505</v>
      </c>
      <c r="E1515" s="1" t="str">
        <f t="shared" si="46"/>
        <v>Sevilla 115</v>
      </c>
    </row>
    <row r="1516" spans="4:5">
      <c r="D1516" s="1">
        <f t="shared" si="47"/>
        <v>506</v>
      </c>
      <c r="E1516" s="1" t="str">
        <f t="shared" si="46"/>
        <v>Tasajero 220</v>
      </c>
    </row>
    <row r="1517" spans="4:5">
      <c r="D1517" s="1">
        <f t="shared" si="47"/>
        <v>506</v>
      </c>
      <c r="E1517" s="1" t="str">
        <f t="shared" si="46"/>
        <v>Tasajero 220</v>
      </c>
    </row>
    <row r="1518" spans="4:5">
      <c r="D1518" s="1">
        <f t="shared" si="47"/>
        <v>506</v>
      </c>
      <c r="E1518" s="1" t="str">
        <f t="shared" si="46"/>
        <v>Tasajero 220</v>
      </c>
    </row>
    <row r="1519" spans="4:5">
      <c r="D1519" s="1">
        <f t="shared" si="47"/>
        <v>507</v>
      </c>
      <c r="E1519" s="1" t="str">
        <f t="shared" si="46"/>
        <v>Tibú 115</v>
      </c>
    </row>
    <row r="1520" spans="4:5">
      <c r="D1520" s="1">
        <f t="shared" si="47"/>
        <v>507</v>
      </c>
      <c r="E1520" s="1" t="str">
        <f t="shared" si="46"/>
        <v>Tibú 115</v>
      </c>
    </row>
    <row r="1521" spans="4:5">
      <c r="D1521" s="1">
        <f t="shared" si="47"/>
        <v>507</v>
      </c>
      <c r="E1521" s="1" t="str">
        <f t="shared" si="46"/>
        <v>Tibú 115</v>
      </c>
    </row>
    <row r="1522" spans="4:5">
      <c r="D1522" s="1">
        <f t="shared" si="47"/>
        <v>508</v>
      </c>
      <c r="E1522" s="1" t="str">
        <f t="shared" si="46"/>
        <v>Tonchalá 115</v>
      </c>
    </row>
    <row r="1523" spans="4:5">
      <c r="D1523" s="1">
        <f t="shared" si="47"/>
        <v>508</v>
      </c>
      <c r="E1523" s="1" t="str">
        <f t="shared" si="46"/>
        <v>Tonchalá 115</v>
      </c>
    </row>
    <row r="1524" spans="4:5">
      <c r="D1524" s="1">
        <f t="shared" si="47"/>
        <v>508</v>
      </c>
      <c r="E1524" s="1" t="str">
        <f t="shared" si="46"/>
        <v>Tonchalá 115</v>
      </c>
    </row>
    <row r="1525" spans="4:5">
      <c r="D1525" s="1">
        <f t="shared" si="47"/>
        <v>509</v>
      </c>
      <c r="E1525" s="1" t="str">
        <f t="shared" si="46"/>
        <v>Zulia 115</v>
      </c>
    </row>
    <row r="1526" spans="4:5">
      <c r="D1526" s="1">
        <f t="shared" si="47"/>
        <v>509</v>
      </c>
      <c r="E1526" s="1" t="str">
        <f t="shared" si="46"/>
        <v>Zulia 115</v>
      </c>
    </row>
    <row r="1527" spans="4:5">
      <c r="D1527" s="1">
        <f t="shared" si="47"/>
        <v>509</v>
      </c>
      <c r="E1527" s="1" t="str">
        <f t="shared" si="46"/>
        <v>Zulia 115</v>
      </c>
    </row>
    <row r="1528" spans="4:5">
      <c r="D1528" s="1">
        <f t="shared" si="47"/>
        <v>510</v>
      </c>
      <c r="E1528" s="1" t="str">
        <f t="shared" si="46"/>
        <v>Pto Caicedo 115</v>
      </c>
    </row>
    <row r="1529" spans="4:5">
      <c r="D1529" s="1">
        <f t="shared" si="47"/>
        <v>510</v>
      </c>
      <c r="E1529" s="1" t="str">
        <f t="shared" si="46"/>
        <v>Pto Caicedo 115</v>
      </c>
    </row>
    <row r="1530" spans="4:5">
      <c r="D1530" s="1">
        <f t="shared" si="47"/>
        <v>510</v>
      </c>
      <c r="E1530" s="1" t="str">
        <f t="shared" si="46"/>
        <v>Pto Caicedo 115</v>
      </c>
    </row>
    <row r="1531" spans="4:5">
      <c r="D1531" s="1">
        <f t="shared" si="47"/>
        <v>511</v>
      </c>
      <c r="E1531" s="1" t="str">
        <f t="shared" si="46"/>
        <v>Varumo 115</v>
      </c>
    </row>
    <row r="1532" spans="4:5">
      <c r="D1532" s="1">
        <f t="shared" si="47"/>
        <v>511</v>
      </c>
      <c r="E1532" s="1" t="str">
        <f t="shared" si="46"/>
        <v>Varumo 115</v>
      </c>
    </row>
    <row r="1533" spans="4:5">
      <c r="D1533" s="1">
        <f t="shared" si="47"/>
        <v>511</v>
      </c>
      <c r="E1533" s="1" t="str">
        <f t="shared" si="46"/>
        <v>Varumo 115</v>
      </c>
    </row>
    <row r="1534" spans="4:5">
      <c r="D1534" s="1">
        <f t="shared" si="47"/>
        <v>512</v>
      </c>
      <c r="E1534" s="1" t="str">
        <f t="shared" si="46"/>
        <v>Barranca 115</v>
      </c>
    </row>
    <row r="1535" spans="4:5">
      <c r="D1535" s="1">
        <f t="shared" si="47"/>
        <v>512</v>
      </c>
      <c r="E1535" s="1" t="str">
        <f t="shared" si="46"/>
        <v>Barranca 115</v>
      </c>
    </row>
    <row r="1536" spans="4:5">
      <c r="D1536" s="1">
        <f t="shared" si="47"/>
        <v>512</v>
      </c>
      <c r="E1536" s="1" t="str">
        <f t="shared" si="46"/>
        <v>Barranca 115</v>
      </c>
    </row>
    <row r="1537" spans="4:5">
      <c r="D1537" s="1">
        <f t="shared" si="47"/>
        <v>513</v>
      </c>
      <c r="E1537" s="1" t="str">
        <f t="shared" ref="E1537:E1600" si="48">+VLOOKUP(D1537,$A$1:$B$1076,2,FALSE)</f>
        <v>Barranca 220</v>
      </c>
    </row>
    <row r="1538" spans="4:5">
      <c r="D1538" s="1">
        <f t="shared" si="47"/>
        <v>513</v>
      </c>
      <c r="E1538" s="1" t="str">
        <f t="shared" si="48"/>
        <v>Barranca 220</v>
      </c>
    </row>
    <row r="1539" spans="4:5">
      <c r="D1539" s="1">
        <f t="shared" si="47"/>
        <v>513</v>
      </c>
      <c r="E1539" s="1" t="str">
        <f t="shared" si="48"/>
        <v>Barranca 220</v>
      </c>
    </row>
    <row r="1540" spans="4:5">
      <c r="D1540" s="1">
        <f t="shared" ref="D1540:D1603" si="49">+D1537+1</f>
        <v>514</v>
      </c>
      <c r="E1540" s="1" t="str">
        <f t="shared" si="48"/>
        <v>Bmanga 115</v>
      </c>
    </row>
    <row r="1541" spans="4:5">
      <c r="D1541" s="1">
        <f t="shared" si="49"/>
        <v>514</v>
      </c>
      <c r="E1541" s="1" t="str">
        <f t="shared" si="48"/>
        <v>Bmanga 115</v>
      </c>
    </row>
    <row r="1542" spans="4:5">
      <c r="D1542" s="1">
        <f t="shared" si="49"/>
        <v>514</v>
      </c>
      <c r="E1542" s="1" t="str">
        <f t="shared" si="48"/>
        <v>Bmanga 115</v>
      </c>
    </row>
    <row r="1543" spans="4:5">
      <c r="D1543" s="1">
        <f t="shared" si="49"/>
        <v>515</v>
      </c>
      <c r="E1543" s="1" t="str">
        <f t="shared" si="48"/>
        <v>Bmanga 220</v>
      </c>
    </row>
    <row r="1544" spans="4:5">
      <c r="D1544" s="1">
        <f t="shared" si="49"/>
        <v>515</v>
      </c>
      <c r="E1544" s="1" t="str">
        <f t="shared" si="48"/>
        <v>Bmanga 220</v>
      </c>
    </row>
    <row r="1545" spans="4:5">
      <c r="D1545" s="1">
        <f t="shared" si="49"/>
        <v>515</v>
      </c>
      <c r="E1545" s="1" t="str">
        <f t="shared" si="48"/>
        <v>Bmanga 220</v>
      </c>
    </row>
    <row r="1546" spans="4:5">
      <c r="D1546" s="1">
        <f t="shared" si="49"/>
        <v>516</v>
      </c>
      <c r="E1546" s="1" t="str">
        <f t="shared" si="48"/>
        <v>Bosconia 115</v>
      </c>
    </row>
    <row r="1547" spans="4:5">
      <c r="D1547" s="1">
        <f t="shared" si="49"/>
        <v>516</v>
      </c>
      <c r="E1547" s="1" t="str">
        <f t="shared" si="48"/>
        <v>Bosconia 115</v>
      </c>
    </row>
    <row r="1548" spans="4:5">
      <c r="D1548" s="1">
        <f t="shared" si="49"/>
        <v>516</v>
      </c>
      <c r="E1548" s="1" t="str">
        <f t="shared" si="48"/>
        <v>Bosconia 115</v>
      </c>
    </row>
    <row r="1549" spans="4:5">
      <c r="D1549" s="1">
        <f t="shared" si="49"/>
        <v>517</v>
      </c>
      <c r="E1549" s="1" t="str">
        <f t="shared" si="48"/>
        <v>Buena Vista 115</v>
      </c>
    </row>
    <row r="1550" spans="4:5">
      <c r="D1550" s="1">
        <f t="shared" si="49"/>
        <v>517</v>
      </c>
      <c r="E1550" s="1" t="str">
        <f t="shared" si="48"/>
        <v>Buena Vista 115</v>
      </c>
    </row>
    <row r="1551" spans="4:5">
      <c r="D1551" s="1">
        <f t="shared" si="49"/>
        <v>517</v>
      </c>
      <c r="E1551" s="1" t="str">
        <f t="shared" si="48"/>
        <v>Buena Vista 115</v>
      </c>
    </row>
    <row r="1552" spans="4:5">
      <c r="D1552" s="1">
        <f t="shared" si="49"/>
        <v>518</v>
      </c>
      <c r="E1552" s="1" t="str">
        <f t="shared" si="48"/>
        <v>Ciralnfanta 220</v>
      </c>
    </row>
    <row r="1553" spans="4:5">
      <c r="D1553" s="1">
        <f t="shared" si="49"/>
        <v>518</v>
      </c>
      <c r="E1553" s="1" t="str">
        <f t="shared" si="48"/>
        <v>Ciralnfanta 220</v>
      </c>
    </row>
    <row r="1554" spans="4:5">
      <c r="D1554" s="1">
        <f t="shared" si="49"/>
        <v>518</v>
      </c>
      <c r="E1554" s="1" t="str">
        <f t="shared" si="48"/>
        <v>Ciralnfanta 220</v>
      </c>
    </row>
    <row r="1555" spans="4:5">
      <c r="D1555" s="1">
        <f t="shared" si="49"/>
        <v>519</v>
      </c>
      <c r="E1555" s="1" t="str">
        <f t="shared" si="48"/>
        <v>Comuneros 220</v>
      </c>
    </row>
    <row r="1556" spans="4:5">
      <c r="D1556" s="1">
        <f t="shared" si="49"/>
        <v>519</v>
      </c>
      <c r="E1556" s="1" t="str">
        <f t="shared" si="48"/>
        <v>Comuneros 220</v>
      </c>
    </row>
    <row r="1557" spans="4:5">
      <c r="D1557" s="1">
        <f t="shared" si="49"/>
        <v>519</v>
      </c>
      <c r="E1557" s="1" t="str">
        <f t="shared" si="48"/>
        <v>Comuneros 220</v>
      </c>
    </row>
    <row r="1558" spans="4:5">
      <c r="D1558" s="1">
        <f t="shared" si="49"/>
        <v>520</v>
      </c>
      <c r="E1558" s="1" t="str">
        <f t="shared" si="48"/>
        <v>Conuco 115</v>
      </c>
    </row>
    <row r="1559" spans="4:5">
      <c r="D1559" s="1">
        <f t="shared" si="49"/>
        <v>520</v>
      </c>
      <c r="E1559" s="1" t="str">
        <f t="shared" si="48"/>
        <v>Conuco 115</v>
      </c>
    </row>
    <row r="1560" spans="4:5">
      <c r="D1560" s="1">
        <f t="shared" si="49"/>
        <v>520</v>
      </c>
      <c r="E1560" s="1" t="str">
        <f t="shared" si="48"/>
        <v>Conuco 115</v>
      </c>
    </row>
    <row r="1561" spans="4:5">
      <c r="D1561" s="1">
        <f t="shared" si="49"/>
        <v>521</v>
      </c>
      <c r="E1561" s="1" t="str">
        <f t="shared" si="48"/>
        <v>Florida ESSA 115</v>
      </c>
    </row>
    <row r="1562" spans="4:5">
      <c r="D1562" s="1">
        <f t="shared" si="49"/>
        <v>521</v>
      </c>
      <c r="E1562" s="1" t="str">
        <f t="shared" si="48"/>
        <v>Florida ESSA 115</v>
      </c>
    </row>
    <row r="1563" spans="4:5">
      <c r="D1563" s="1">
        <f t="shared" si="49"/>
        <v>521</v>
      </c>
      <c r="E1563" s="1" t="str">
        <f t="shared" si="48"/>
        <v>Florida ESSA 115</v>
      </c>
    </row>
    <row r="1564" spans="4:5">
      <c r="D1564" s="1">
        <f t="shared" si="49"/>
        <v>522</v>
      </c>
      <c r="E1564" s="1" t="str">
        <f t="shared" si="48"/>
        <v>Guatiguará 220</v>
      </c>
    </row>
    <row r="1565" spans="4:5">
      <c r="D1565" s="1">
        <f t="shared" si="49"/>
        <v>522</v>
      </c>
      <c r="E1565" s="1" t="str">
        <f t="shared" si="48"/>
        <v>Guatiguará 220</v>
      </c>
    </row>
    <row r="1566" spans="4:5">
      <c r="D1566" s="1">
        <f t="shared" si="49"/>
        <v>522</v>
      </c>
      <c r="E1566" s="1" t="str">
        <f t="shared" si="48"/>
        <v>Guatiguará 220</v>
      </c>
    </row>
    <row r="1567" spans="4:5">
      <c r="D1567" s="1">
        <f t="shared" si="49"/>
        <v>523</v>
      </c>
      <c r="E1567" s="1" t="str">
        <f t="shared" si="48"/>
        <v>Lizama 115</v>
      </c>
    </row>
    <row r="1568" spans="4:5">
      <c r="D1568" s="1">
        <f t="shared" si="49"/>
        <v>523</v>
      </c>
      <c r="E1568" s="1" t="str">
        <f t="shared" si="48"/>
        <v>Lizama 115</v>
      </c>
    </row>
    <row r="1569" spans="4:5">
      <c r="D1569" s="1">
        <f t="shared" si="49"/>
        <v>523</v>
      </c>
      <c r="E1569" s="1" t="str">
        <f t="shared" si="48"/>
        <v>Lizama 115</v>
      </c>
    </row>
    <row r="1570" spans="4:5">
      <c r="D1570" s="1">
        <f t="shared" si="49"/>
        <v>524</v>
      </c>
      <c r="E1570" s="1" t="str">
        <f t="shared" si="48"/>
        <v>Mesa del Sol 115</v>
      </c>
    </row>
    <row r="1571" spans="4:5">
      <c r="D1571" s="1">
        <f t="shared" si="49"/>
        <v>524</v>
      </c>
      <c r="E1571" s="1" t="str">
        <f t="shared" si="48"/>
        <v>Mesa del Sol 115</v>
      </c>
    </row>
    <row r="1572" spans="4:5">
      <c r="D1572" s="1">
        <f t="shared" si="49"/>
        <v>524</v>
      </c>
      <c r="E1572" s="1" t="str">
        <f t="shared" si="48"/>
        <v>Mesa del Sol 115</v>
      </c>
    </row>
    <row r="1573" spans="4:5">
      <c r="D1573" s="1">
        <f t="shared" si="49"/>
        <v>525</v>
      </c>
      <c r="E1573" s="1" t="str">
        <f t="shared" si="48"/>
        <v>Palenque 115</v>
      </c>
    </row>
    <row r="1574" spans="4:5">
      <c r="D1574" s="1">
        <f t="shared" si="49"/>
        <v>525</v>
      </c>
      <c r="E1574" s="1" t="str">
        <f t="shared" si="48"/>
        <v>Palenque 115</v>
      </c>
    </row>
    <row r="1575" spans="4:5">
      <c r="D1575" s="1">
        <f t="shared" si="49"/>
        <v>525</v>
      </c>
      <c r="E1575" s="1" t="str">
        <f t="shared" si="48"/>
        <v>Palenque 115</v>
      </c>
    </row>
    <row r="1576" spans="4:5">
      <c r="D1576" s="1">
        <f t="shared" si="49"/>
        <v>526</v>
      </c>
      <c r="E1576" s="1" t="str">
        <f t="shared" si="48"/>
        <v>Palenque 220</v>
      </c>
    </row>
    <row r="1577" spans="4:5">
      <c r="D1577" s="1">
        <f t="shared" si="49"/>
        <v>526</v>
      </c>
      <c r="E1577" s="1" t="str">
        <f t="shared" si="48"/>
        <v>Palenque 220</v>
      </c>
    </row>
    <row r="1578" spans="4:5">
      <c r="D1578" s="1">
        <f t="shared" si="49"/>
        <v>526</v>
      </c>
      <c r="E1578" s="1" t="str">
        <f t="shared" si="48"/>
        <v>Palenque 220</v>
      </c>
    </row>
    <row r="1579" spans="4:5">
      <c r="D1579" s="1">
        <f t="shared" si="49"/>
        <v>527</v>
      </c>
      <c r="E1579" s="1" t="str">
        <f t="shared" si="48"/>
        <v>Palos 115</v>
      </c>
    </row>
    <row r="1580" spans="4:5">
      <c r="D1580" s="1">
        <f t="shared" si="49"/>
        <v>527</v>
      </c>
      <c r="E1580" s="1" t="str">
        <f t="shared" si="48"/>
        <v>Palos 115</v>
      </c>
    </row>
    <row r="1581" spans="4:5">
      <c r="D1581" s="1">
        <f t="shared" si="49"/>
        <v>527</v>
      </c>
      <c r="E1581" s="1" t="str">
        <f t="shared" si="48"/>
        <v>Palos 115</v>
      </c>
    </row>
    <row r="1582" spans="4:5">
      <c r="D1582" s="1">
        <f t="shared" si="49"/>
        <v>528</v>
      </c>
      <c r="E1582" s="1" t="str">
        <f t="shared" si="48"/>
        <v>Palos 220</v>
      </c>
    </row>
    <row r="1583" spans="4:5">
      <c r="D1583" s="1">
        <f t="shared" si="49"/>
        <v>528</v>
      </c>
      <c r="E1583" s="1" t="str">
        <f t="shared" si="48"/>
        <v>Palos 220</v>
      </c>
    </row>
    <row r="1584" spans="4:5">
      <c r="D1584" s="1">
        <f t="shared" si="49"/>
        <v>528</v>
      </c>
      <c r="E1584" s="1" t="str">
        <f t="shared" si="48"/>
        <v>Palos 220</v>
      </c>
    </row>
    <row r="1585" spans="4:5">
      <c r="D1585" s="1">
        <f t="shared" si="49"/>
        <v>529</v>
      </c>
      <c r="E1585" s="1" t="str">
        <f t="shared" si="48"/>
        <v>Piedecuesta 115</v>
      </c>
    </row>
    <row r="1586" spans="4:5">
      <c r="D1586" s="1">
        <f t="shared" si="49"/>
        <v>529</v>
      </c>
      <c r="E1586" s="1" t="str">
        <f t="shared" si="48"/>
        <v>Piedecuesta 115</v>
      </c>
    </row>
    <row r="1587" spans="4:5">
      <c r="D1587" s="1">
        <f t="shared" si="49"/>
        <v>529</v>
      </c>
      <c r="E1587" s="1" t="str">
        <f t="shared" si="48"/>
        <v>Piedecuesta 115</v>
      </c>
    </row>
    <row r="1588" spans="4:5">
      <c r="D1588" s="1">
        <f t="shared" si="49"/>
        <v>530</v>
      </c>
      <c r="E1588" s="1" t="str">
        <f t="shared" si="48"/>
        <v>Principal 115</v>
      </c>
    </row>
    <row r="1589" spans="4:5">
      <c r="D1589" s="1">
        <f t="shared" si="49"/>
        <v>530</v>
      </c>
      <c r="E1589" s="1" t="str">
        <f t="shared" si="48"/>
        <v>Principal 115</v>
      </c>
    </row>
    <row r="1590" spans="4:5">
      <c r="D1590" s="1">
        <f t="shared" si="49"/>
        <v>530</v>
      </c>
      <c r="E1590" s="1" t="str">
        <f t="shared" si="48"/>
        <v>Principal 115</v>
      </c>
    </row>
    <row r="1591" spans="4:5">
      <c r="D1591" s="1">
        <f t="shared" si="49"/>
        <v>531</v>
      </c>
      <c r="E1591" s="1" t="str">
        <f t="shared" si="48"/>
        <v>Realminas 115</v>
      </c>
    </row>
    <row r="1592" spans="4:5">
      <c r="D1592" s="1">
        <f t="shared" si="49"/>
        <v>531</v>
      </c>
      <c r="E1592" s="1" t="str">
        <f t="shared" si="48"/>
        <v>Realminas 115</v>
      </c>
    </row>
    <row r="1593" spans="4:5">
      <c r="D1593" s="1">
        <f t="shared" si="49"/>
        <v>531</v>
      </c>
      <c r="E1593" s="1" t="str">
        <f t="shared" si="48"/>
        <v>Realminas 115</v>
      </c>
    </row>
    <row r="1594" spans="4:5">
      <c r="D1594" s="1">
        <f t="shared" si="49"/>
        <v>532</v>
      </c>
      <c r="E1594" s="1" t="str">
        <f t="shared" si="48"/>
        <v>Rio Frío 115</v>
      </c>
    </row>
    <row r="1595" spans="4:5">
      <c r="D1595" s="1">
        <f t="shared" si="49"/>
        <v>532</v>
      </c>
      <c r="E1595" s="1" t="str">
        <f t="shared" si="48"/>
        <v>Rio Frío 115</v>
      </c>
    </row>
    <row r="1596" spans="4:5">
      <c r="D1596" s="1">
        <f t="shared" si="49"/>
        <v>532</v>
      </c>
      <c r="E1596" s="1" t="str">
        <f t="shared" si="48"/>
        <v>Rio Frío 115</v>
      </c>
    </row>
    <row r="1597" spans="4:5">
      <c r="D1597" s="1">
        <f t="shared" si="49"/>
        <v>533</v>
      </c>
      <c r="E1597" s="1" t="str">
        <f t="shared" si="48"/>
        <v>Sabana de Torres 115</v>
      </c>
    </row>
    <row r="1598" spans="4:5">
      <c r="D1598" s="1">
        <f t="shared" si="49"/>
        <v>533</v>
      </c>
      <c r="E1598" s="1" t="str">
        <f t="shared" si="48"/>
        <v>Sabana de Torres 115</v>
      </c>
    </row>
    <row r="1599" spans="4:5">
      <c r="D1599" s="1">
        <f t="shared" si="49"/>
        <v>533</v>
      </c>
      <c r="E1599" s="1" t="str">
        <f t="shared" si="48"/>
        <v>Sabana de Torres 115</v>
      </c>
    </row>
    <row r="1600" spans="4:5">
      <c r="D1600" s="1">
        <f t="shared" si="49"/>
        <v>534</v>
      </c>
      <c r="E1600" s="1" t="str">
        <f t="shared" si="48"/>
        <v>San Alberto 115</v>
      </c>
    </row>
    <row r="1601" spans="4:5">
      <c r="D1601" s="1">
        <f t="shared" si="49"/>
        <v>534</v>
      </c>
      <c r="E1601" s="1" t="str">
        <f t="shared" ref="E1601:E1664" si="50">+VLOOKUP(D1601,$A$1:$B$1076,2,FALSE)</f>
        <v>San Alberto 115</v>
      </c>
    </row>
    <row r="1602" spans="4:5">
      <c r="D1602" s="1">
        <f t="shared" si="49"/>
        <v>534</v>
      </c>
      <c r="E1602" s="1" t="str">
        <f t="shared" si="50"/>
        <v>San Alberto 115</v>
      </c>
    </row>
    <row r="1603" spans="4:5">
      <c r="D1603" s="1">
        <f t="shared" si="49"/>
        <v>535</v>
      </c>
      <c r="E1603" s="1" t="str">
        <f t="shared" si="50"/>
        <v>San Gil 115</v>
      </c>
    </row>
    <row r="1604" spans="4:5">
      <c r="D1604" s="1">
        <f t="shared" ref="D1604:D1667" si="51">+D1601+1</f>
        <v>535</v>
      </c>
      <c r="E1604" s="1" t="str">
        <f t="shared" si="50"/>
        <v>San Gil 115</v>
      </c>
    </row>
    <row r="1605" spans="4:5">
      <c r="D1605" s="1">
        <f t="shared" si="51"/>
        <v>535</v>
      </c>
      <c r="E1605" s="1" t="str">
        <f t="shared" si="50"/>
        <v>San Gil 115</v>
      </c>
    </row>
    <row r="1606" spans="4:5">
      <c r="D1606" s="1">
        <f t="shared" si="51"/>
        <v>536</v>
      </c>
      <c r="E1606" s="1" t="str">
        <f t="shared" si="50"/>
        <v>Sn Silvestre 115</v>
      </c>
    </row>
    <row r="1607" spans="4:5">
      <c r="D1607" s="1">
        <f t="shared" si="51"/>
        <v>536</v>
      </c>
      <c r="E1607" s="1" t="str">
        <f t="shared" si="50"/>
        <v>Sn Silvestre 115</v>
      </c>
    </row>
    <row r="1608" spans="4:5">
      <c r="D1608" s="1">
        <f t="shared" si="51"/>
        <v>536</v>
      </c>
      <c r="E1608" s="1" t="str">
        <f t="shared" si="50"/>
        <v>Sn Silvestre 115</v>
      </c>
    </row>
    <row r="1609" spans="4:5">
      <c r="D1609" s="1">
        <f t="shared" si="51"/>
        <v>537</v>
      </c>
      <c r="E1609" s="1" t="str">
        <f t="shared" si="50"/>
        <v>Sogamoso 220</v>
      </c>
    </row>
    <row r="1610" spans="4:5">
      <c r="D1610" s="1">
        <f t="shared" si="51"/>
        <v>537</v>
      </c>
      <c r="E1610" s="1" t="str">
        <f t="shared" si="50"/>
        <v>Sogamoso 220</v>
      </c>
    </row>
    <row r="1611" spans="4:5">
      <c r="D1611" s="1">
        <f t="shared" si="51"/>
        <v>537</v>
      </c>
      <c r="E1611" s="1" t="str">
        <f t="shared" si="50"/>
        <v>Sogamoso 220</v>
      </c>
    </row>
    <row r="1612" spans="4:5">
      <c r="D1612" s="1">
        <f t="shared" si="51"/>
        <v>538</v>
      </c>
      <c r="E1612" s="1" t="str">
        <f t="shared" si="50"/>
        <v>Sogamoso 500</v>
      </c>
    </row>
    <row r="1613" spans="4:5">
      <c r="D1613" s="1">
        <f t="shared" si="51"/>
        <v>538</v>
      </c>
      <c r="E1613" s="1" t="str">
        <f t="shared" si="50"/>
        <v>Sogamoso 500</v>
      </c>
    </row>
    <row r="1614" spans="4:5">
      <c r="D1614" s="1">
        <f t="shared" si="51"/>
        <v>538</v>
      </c>
      <c r="E1614" s="1" t="str">
        <f t="shared" si="50"/>
        <v>Sogamoso 500</v>
      </c>
    </row>
    <row r="1615" spans="4:5">
      <c r="D1615" s="1">
        <f t="shared" si="51"/>
        <v>539</v>
      </c>
      <c r="E1615" s="1" t="str">
        <f t="shared" si="50"/>
        <v>Wilches 115</v>
      </c>
    </row>
    <row r="1616" spans="4:5">
      <c r="D1616" s="1">
        <f t="shared" si="51"/>
        <v>539</v>
      </c>
      <c r="E1616" s="1" t="str">
        <f t="shared" si="50"/>
        <v>Wilches 115</v>
      </c>
    </row>
    <row r="1617" spans="4:5">
      <c r="D1617" s="1">
        <f t="shared" si="51"/>
        <v>539</v>
      </c>
      <c r="E1617" s="1" t="str">
        <f t="shared" si="50"/>
        <v>Wilches 115</v>
      </c>
    </row>
    <row r="1618" spans="4:5">
      <c r="D1618" s="1">
        <f t="shared" si="51"/>
        <v>540</v>
      </c>
      <c r="E1618" s="1" t="str">
        <f t="shared" si="50"/>
        <v>Aguablanca 115</v>
      </c>
    </row>
    <row r="1619" spans="4:5">
      <c r="D1619" s="1">
        <f t="shared" si="51"/>
        <v>540</v>
      </c>
      <c r="E1619" s="1" t="str">
        <f t="shared" si="50"/>
        <v>Aguablanca 115</v>
      </c>
    </row>
    <row r="1620" spans="4:5">
      <c r="D1620" s="1">
        <f t="shared" si="51"/>
        <v>540</v>
      </c>
      <c r="E1620" s="1" t="str">
        <f t="shared" si="50"/>
        <v>Aguablanca 115</v>
      </c>
    </row>
    <row r="1621" spans="4:5">
      <c r="D1621" s="1">
        <f t="shared" si="51"/>
        <v>541</v>
      </c>
      <c r="E1621" s="1" t="str">
        <f t="shared" si="50"/>
        <v>Alférez 220</v>
      </c>
    </row>
    <row r="1622" spans="4:5">
      <c r="D1622" s="1">
        <f t="shared" si="51"/>
        <v>541</v>
      </c>
      <c r="E1622" s="1" t="str">
        <f t="shared" si="50"/>
        <v>Alférez 220</v>
      </c>
    </row>
    <row r="1623" spans="4:5">
      <c r="D1623" s="1">
        <f t="shared" si="51"/>
        <v>541</v>
      </c>
      <c r="E1623" s="1" t="str">
        <f t="shared" si="50"/>
        <v>Alférez 220</v>
      </c>
    </row>
    <row r="1624" spans="4:5">
      <c r="D1624" s="1">
        <f t="shared" si="51"/>
        <v>542</v>
      </c>
      <c r="E1624" s="1" t="str">
        <f t="shared" si="50"/>
        <v>Alférez 500</v>
      </c>
    </row>
    <row r="1625" spans="4:5">
      <c r="D1625" s="1">
        <f t="shared" si="51"/>
        <v>542</v>
      </c>
      <c r="E1625" s="1" t="str">
        <f t="shared" si="50"/>
        <v>Alférez 500</v>
      </c>
    </row>
    <row r="1626" spans="4:5">
      <c r="D1626" s="1">
        <f t="shared" si="51"/>
        <v>542</v>
      </c>
      <c r="E1626" s="1" t="str">
        <f t="shared" si="50"/>
        <v>Alférez 500</v>
      </c>
    </row>
    <row r="1627" spans="4:5">
      <c r="D1627" s="1">
        <f t="shared" si="51"/>
        <v>543</v>
      </c>
      <c r="E1627" s="1" t="str">
        <f t="shared" si="50"/>
        <v>Alférez I 115</v>
      </c>
    </row>
    <row r="1628" spans="4:5">
      <c r="D1628" s="1">
        <f t="shared" si="51"/>
        <v>543</v>
      </c>
      <c r="E1628" s="1" t="str">
        <f t="shared" si="50"/>
        <v>Alférez I 115</v>
      </c>
    </row>
    <row r="1629" spans="4:5">
      <c r="D1629" s="1">
        <f t="shared" si="51"/>
        <v>543</v>
      </c>
      <c r="E1629" s="1" t="str">
        <f t="shared" si="50"/>
        <v>Alférez I 115</v>
      </c>
    </row>
    <row r="1630" spans="4:5">
      <c r="D1630" s="1">
        <f t="shared" si="51"/>
        <v>544</v>
      </c>
      <c r="E1630" s="1" t="str">
        <f t="shared" si="50"/>
        <v>Alférez II 115</v>
      </c>
    </row>
    <row r="1631" spans="4:5">
      <c r="D1631" s="1">
        <f t="shared" si="51"/>
        <v>544</v>
      </c>
      <c r="E1631" s="1" t="str">
        <f t="shared" si="50"/>
        <v>Alférez II 115</v>
      </c>
    </row>
    <row r="1632" spans="4:5">
      <c r="D1632" s="1">
        <f t="shared" si="51"/>
        <v>544</v>
      </c>
      <c r="E1632" s="1" t="str">
        <f t="shared" si="50"/>
        <v>Alférez II 115</v>
      </c>
    </row>
    <row r="1633" spans="4:5">
      <c r="D1633" s="1">
        <f t="shared" si="51"/>
        <v>545</v>
      </c>
      <c r="E1633" s="1" t="str">
        <f t="shared" si="50"/>
        <v>Alto Anchicayá 220</v>
      </c>
    </row>
    <row r="1634" spans="4:5">
      <c r="D1634" s="1">
        <f t="shared" si="51"/>
        <v>545</v>
      </c>
      <c r="E1634" s="1" t="str">
        <f t="shared" si="50"/>
        <v>Alto Anchicayá 220</v>
      </c>
    </row>
    <row r="1635" spans="4:5">
      <c r="D1635" s="1">
        <f t="shared" si="51"/>
        <v>545</v>
      </c>
      <c r="E1635" s="1" t="str">
        <f t="shared" si="50"/>
        <v>Alto Anchicayá 220</v>
      </c>
    </row>
    <row r="1636" spans="4:5">
      <c r="D1636" s="1">
        <f t="shared" si="51"/>
        <v>546</v>
      </c>
      <c r="E1636" s="1" t="str">
        <f t="shared" si="50"/>
        <v>BMalaga 115</v>
      </c>
    </row>
    <row r="1637" spans="4:5">
      <c r="D1637" s="1">
        <f t="shared" si="51"/>
        <v>546</v>
      </c>
      <c r="E1637" s="1" t="str">
        <f t="shared" si="50"/>
        <v>BMalaga 115</v>
      </c>
    </row>
    <row r="1638" spans="4:5">
      <c r="D1638" s="1">
        <f t="shared" si="51"/>
        <v>546</v>
      </c>
      <c r="E1638" s="1" t="str">
        <f t="shared" si="50"/>
        <v>BMalaga 115</v>
      </c>
    </row>
    <row r="1639" spans="4:5">
      <c r="D1639" s="1">
        <f t="shared" si="51"/>
        <v>547</v>
      </c>
      <c r="E1639" s="1" t="str">
        <f t="shared" si="50"/>
        <v>Bajo Anchicayá 115</v>
      </c>
    </row>
    <row r="1640" spans="4:5">
      <c r="D1640" s="1">
        <f t="shared" si="51"/>
        <v>547</v>
      </c>
      <c r="E1640" s="1" t="str">
        <f t="shared" si="50"/>
        <v>Bajo Anchicayá 115</v>
      </c>
    </row>
    <row r="1641" spans="4:5">
      <c r="D1641" s="1">
        <f t="shared" si="51"/>
        <v>547</v>
      </c>
      <c r="E1641" s="1" t="str">
        <f t="shared" si="50"/>
        <v>Bajo Anchicayá 115</v>
      </c>
    </row>
    <row r="1642" spans="4:5">
      <c r="D1642" s="1">
        <f t="shared" si="51"/>
        <v>548</v>
      </c>
      <c r="E1642" s="1" t="str">
        <f t="shared" si="50"/>
        <v>Buga 115</v>
      </c>
    </row>
    <row r="1643" spans="4:5">
      <c r="D1643" s="1">
        <f t="shared" si="51"/>
        <v>548</v>
      </c>
      <c r="E1643" s="1" t="str">
        <f t="shared" si="50"/>
        <v>Buga 115</v>
      </c>
    </row>
    <row r="1644" spans="4:5">
      <c r="D1644" s="1">
        <f t="shared" si="51"/>
        <v>548</v>
      </c>
      <c r="E1644" s="1" t="str">
        <f t="shared" si="50"/>
        <v>Buga 115</v>
      </c>
    </row>
    <row r="1645" spans="4:5">
      <c r="D1645" s="1">
        <f t="shared" si="51"/>
        <v>549</v>
      </c>
      <c r="E1645" s="1" t="str">
        <f t="shared" si="50"/>
        <v>Calima 115</v>
      </c>
    </row>
    <row r="1646" spans="4:5">
      <c r="D1646" s="1">
        <f t="shared" si="51"/>
        <v>549</v>
      </c>
      <c r="E1646" s="1" t="str">
        <f t="shared" si="50"/>
        <v>Calima 115</v>
      </c>
    </row>
    <row r="1647" spans="4:5">
      <c r="D1647" s="1">
        <f t="shared" si="51"/>
        <v>549</v>
      </c>
      <c r="E1647" s="1" t="str">
        <f t="shared" si="50"/>
        <v>Calima 115</v>
      </c>
    </row>
    <row r="1648" spans="4:5">
      <c r="D1648" s="1">
        <f t="shared" si="51"/>
        <v>550</v>
      </c>
      <c r="E1648" s="1" t="str">
        <f t="shared" si="50"/>
        <v>Candelaria 115</v>
      </c>
    </row>
    <row r="1649" spans="4:5">
      <c r="D1649" s="1">
        <f t="shared" si="51"/>
        <v>550</v>
      </c>
      <c r="E1649" s="1" t="str">
        <f t="shared" si="50"/>
        <v>Candelaria 115</v>
      </c>
    </row>
    <row r="1650" spans="4:5">
      <c r="D1650" s="1">
        <f t="shared" si="51"/>
        <v>550</v>
      </c>
      <c r="E1650" s="1" t="str">
        <f t="shared" si="50"/>
        <v>Candelaria 115</v>
      </c>
    </row>
    <row r="1651" spans="4:5">
      <c r="D1651" s="1">
        <f t="shared" si="51"/>
        <v>551</v>
      </c>
      <c r="E1651" s="1" t="str">
        <f t="shared" si="50"/>
        <v>Cartago 115</v>
      </c>
    </row>
    <row r="1652" spans="4:5">
      <c r="D1652" s="1">
        <f t="shared" si="51"/>
        <v>551</v>
      </c>
      <c r="E1652" s="1" t="str">
        <f t="shared" si="50"/>
        <v>Cartago 115</v>
      </c>
    </row>
    <row r="1653" spans="4:5">
      <c r="D1653" s="1">
        <f t="shared" si="51"/>
        <v>551</v>
      </c>
      <c r="E1653" s="1" t="str">
        <f t="shared" si="50"/>
        <v>Cartago 115</v>
      </c>
    </row>
    <row r="1654" spans="4:5">
      <c r="D1654" s="1">
        <f t="shared" si="51"/>
        <v>552</v>
      </c>
      <c r="E1654" s="1" t="str">
        <f t="shared" si="50"/>
        <v>Cartago 220</v>
      </c>
    </row>
    <row r="1655" spans="4:5">
      <c r="D1655" s="1">
        <f t="shared" si="51"/>
        <v>552</v>
      </c>
      <c r="E1655" s="1" t="str">
        <f t="shared" si="50"/>
        <v>Cartago 220</v>
      </c>
    </row>
    <row r="1656" spans="4:5">
      <c r="D1656" s="1">
        <f t="shared" si="51"/>
        <v>552</v>
      </c>
      <c r="E1656" s="1" t="str">
        <f t="shared" si="50"/>
        <v>Cartago 220</v>
      </c>
    </row>
    <row r="1657" spans="4:5">
      <c r="D1657" s="1">
        <f t="shared" si="51"/>
        <v>553</v>
      </c>
      <c r="E1657" s="1" t="str">
        <f t="shared" si="50"/>
        <v>Cerrito 115</v>
      </c>
    </row>
    <row r="1658" spans="4:5">
      <c r="D1658" s="1">
        <f t="shared" si="51"/>
        <v>553</v>
      </c>
      <c r="E1658" s="1" t="str">
        <f t="shared" si="50"/>
        <v>Cerrito 115</v>
      </c>
    </row>
    <row r="1659" spans="4:5">
      <c r="D1659" s="1">
        <f t="shared" si="51"/>
        <v>553</v>
      </c>
      <c r="E1659" s="1" t="str">
        <f t="shared" si="50"/>
        <v>Cerrito 115</v>
      </c>
    </row>
    <row r="1660" spans="4:5">
      <c r="D1660" s="1">
        <f t="shared" si="51"/>
        <v>554</v>
      </c>
      <c r="E1660" s="1" t="str">
        <f t="shared" si="50"/>
        <v>Chipichape 115</v>
      </c>
    </row>
    <row r="1661" spans="4:5">
      <c r="D1661" s="1">
        <f t="shared" si="51"/>
        <v>554</v>
      </c>
      <c r="E1661" s="1" t="str">
        <f t="shared" si="50"/>
        <v>Chipichape 115</v>
      </c>
    </row>
    <row r="1662" spans="4:5">
      <c r="D1662" s="1">
        <f t="shared" si="51"/>
        <v>554</v>
      </c>
      <c r="E1662" s="1" t="str">
        <f t="shared" si="50"/>
        <v>Chipichape 115</v>
      </c>
    </row>
    <row r="1663" spans="4:5">
      <c r="D1663" s="1">
        <f t="shared" si="51"/>
        <v>555</v>
      </c>
      <c r="E1663" s="1" t="str">
        <f t="shared" si="50"/>
        <v>Codazzi 115</v>
      </c>
    </row>
    <row r="1664" spans="4:5">
      <c r="D1664" s="1">
        <f t="shared" si="51"/>
        <v>555</v>
      </c>
      <c r="E1664" s="1" t="str">
        <f t="shared" si="50"/>
        <v>Codazzi 115</v>
      </c>
    </row>
    <row r="1665" spans="4:5">
      <c r="D1665" s="1">
        <f t="shared" si="51"/>
        <v>555</v>
      </c>
      <c r="E1665" s="1" t="str">
        <f t="shared" ref="E1665:E1728" si="52">+VLOOKUP(D1665,$A$1:$B$1076,2,FALSE)</f>
        <v>Codazzi 115</v>
      </c>
    </row>
    <row r="1666" spans="4:5">
      <c r="D1666" s="1">
        <f t="shared" si="51"/>
        <v>556</v>
      </c>
      <c r="E1666" s="1" t="str">
        <f t="shared" si="52"/>
        <v>Diesel II 115</v>
      </c>
    </row>
    <row r="1667" spans="4:5">
      <c r="D1667" s="1">
        <f t="shared" si="51"/>
        <v>556</v>
      </c>
      <c r="E1667" s="1" t="str">
        <f t="shared" si="52"/>
        <v>Diesel II 115</v>
      </c>
    </row>
    <row r="1668" spans="4:5">
      <c r="D1668" s="1">
        <f t="shared" ref="D1668:D1731" si="53">+D1665+1</f>
        <v>556</v>
      </c>
      <c r="E1668" s="1" t="str">
        <f t="shared" si="52"/>
        <v>Diesel II 115</v>
      </c>
    </row>
    <row r="1669" spans="4:5">
      <c r="D1669" s="1">
        <f t="shared" si="53"/>
        <v>557</v>
      </c>
      <c r="E1669" s="1" t="str">
        <f t="shared" si="52"/>
        <v>El Carmelo 115</v>
      </c>
    </row>
    <row r="1670" spans="4:5">
      <c r="D1670" s="1">
        <f t="shared" si="53"/>
        <v>557</v>
      </c>
      <c r="E1670" s="1" t="str">
        <f t="shared" si="52"/>
        <v>El Carmelo 115</v>
      </c>
    </row>
    <row r="1671" spans="4:5">
      <c r="D1671" s="1">
        <f t="shared" si="53"/>
        <v>557</v>
      </c>
      <c r="E1671" s="1" t="str">
        <f t="shared" si="52"/>
        <v>El Carmelo 115</v>
      </c>
    </row>
    <row r="1672" spans="4:5">
      <c r="D1672" s="1">
        <f t="shared" si="53"/>
        <v>558</v>
      </c>
      <c r="E1672" s="1" t="str">
        <f t="shared" si="52"/>
        <v>Estambul 115</v>
      </c>
    </row>
    <row r="1673" spans="4:5">
      <c r="D1673" s="1">
        <f t="shared" si="53"/>
        <v>558</v>
      </c>
      <c r="E1673" s="1" t="str">
        <f t="shared" si="52"/>
        <v>Estambul 115</v>
      </c>
    </row>
    <row r="1674" spans="4:5">
      <c r="D1674" s="1">
        <f t="shared" si="53"/>
        <v>558</v>
      </c>
      <c r="E1674" s="1" t="str">
        <f t="shared" si="52"/>
        <v>Estambul 115</v>
      </c>
    </row>
    <row r="1675" spans="4:5">
      <c r="D1675" s="1">
        <f t="shared" si="53"/>
        <v>559</v>
      </c>
      <c r="E1675" s="1" t="str">
        <f t="shared" si="52"/>
        <v>Estambul 230</v>
      </c>
    </row>
    <row r="1676" spans="4:5">
      <c r="D1676" s="1">
        <f t="shared" si="53"/>
        <v>559</v>
      </c>
      <c r="E1676" s="1" t="str">
        <f t="shared" si="52"/>
        <v>Estambul 230</v>
      </c>
    </row>
    <row r="1677" spans="4:5">
      <c r="D1677" s="1">
        <f t="shared" si="53"/>
        <v>559</v>
      </c>
      <c r="E1677" s="1" t="str">
        <f t="shared" si="52"/>
        <v>Estambul 230</v>
      </c>
    </row>
    <row r="1678" spans="4:5">
      <c r="D1678" s="1">
        <f t="shared" si="53"/>
        <v>560</v>
      </c>
      <c r="E1678" s="1" t="str">
        <f t="shared" si="52"/>
        <v>Guachal 115</v>
      </c>
    </row>
    <row r="1679" spans="4:5">
      <c r="D1679" s="1">
        <f t="shared" si="53"/>
        <v>560</v>
      </c>
      <c r="E1679" s="1" t="str">
        <f t="shared" si="52"/>
        <v>Guachal 115</v>
      </c>
    </row>
    <row r="1680" spans="4:5">
      <c r="D1680" s="1">
        <f t="shared" si="53"/>
        <v>560</v>
      </c>
      <c r="E1680" s="1" t="str">
        <f t="shared" si="52"/>
        <v>Guachal 115</v>
      </c>
    </row>
    <row r="1681" spans="4:5">
      <c r="D1681" s="1">
        <f t="shared" si="53"/>
        <v>561</v>
      </c>
      <c r="E1681" s="1" t="str">
        <f t="shared" si="52"/>
        <v>Juanchito 115</v>
      </c>
    </row>
    <row r="1682" spans="4:5">
      <c r="D1682" s="1">
        <f t="shared" si="53"/>
        <v>561</v>
      </c>
      <c r="E1682" s="1" t="str">
        <f t="shared" si="52"/>
        <v>Juanchito 115</v>
      </c>
    </row>
    <row r="1683" spans="4:5">
      <c r="D1683" s="1">
        <f t="shared" si="53"/>
        <v>561</v>
      </c>
      <c r="E1683" s="1" t="str">
        <f t="shared" si="52"/>
        <v>Juanchito 115</v>
      </c>
    </row>
    <row r="1684" spans="4:5">
      <c r="D1684" s="1">
        <f t="shared" si="53"/>
        <v>562</v>
      </c>
      <c r="E1684" s="1" t="str">
        <f t="shared" si="52"/>
        <v>Juanchito 220</v>
      </c>
    </row>
    <row r="1685" spans="4:5">
      <c r="D1685" s="1">
        <f t="shared" si="53"/>
        <v>562</v>
      </c>
      <c r="E1685" s="1" t="str">
        <f t="shared" si="52"/>
        <v>Juanchito 220</v>
      </c>
    </row>
    <row r="1686" spans="4:5">
      <c r="D1686" s="1">
        <f t="shared" si="53"/>
        <v>562</v>
      </c>
      <c r="E1686" s="1" t="str">
        <f t="shared" si="52"/>
        <v>Juanchito 220</v>
      </c>
    </row>
    <row r="1687" spans="4:5">
      <c r="D1687" s="1">
        <f t="shared" si="53"/>
        <v>563</v>
      </c>
      <c r="E1687" s="1" t="str">
        <f t="shared" si="52"/>
        <v>Juanchito 220 (115)</v>
      </c>
    </row>
    <row r="1688" spans="4:5">
      <c r="D1688" s="1">
        <f t="shared" si="53"/>
        <v>563</v>
      </c>
      <c r="E1688" s="1" t="str">
        <f t="shared" si="52"/>
        <v>Juanchito 220 (115)</v>
      </c>
    </row>
    <row r="1689" spans="4:5">
      <c r="D1689" s="1">
        <f t="shared" si="53"/>
        <v>563</v>
      </c>
      <c r="E1689" s="1" t="str">
        <f t="shared" si="52"/>
        <v>Juanchito 220 (115)</v>
      </c>
    </row>
    <row r="1690" spans="4:5">
      <c r="D1690" s="1">
        <f t="shared" si="53"/>
        <v>564</v>
      </c>
      <c r="E1690" s="1" t="str">
        <f t="shared" si="52"/>
        <v>La Campiña 115</v>
      </c>
    </row>
    <row r="1691" spans="4:5">
      <c r="D1691" s="1">
        <f t="shared" si="53"/>
        <v>564</v>
      </c>
      <c r="E1691" s="1" t="str">
        <f t="shared" si="52"/>
        <v>La Campiña 115</v>
      </c>
    </row>
    <row r="1692" spans="4:5">
      <c r="D1692" s="1">
        <f t="shared" si="53"/>
        <v>564</v>
      </c>
      <c r="E1692" s="1" t="str">
        <f t="shared" si="52"/>
        <v>La Campiña 115</v>
      </c>
    </row>
    <row r="1693" spans="4:5">
      <c r="D1693" s="1">
        <f t="shared" si="53"/>
        <v>565</v>
      </c>
      <c r="E1693" s="1" t="str">
        <f t="shared" si="52"/>
        <v>La Unión 115</v>
      </c>
    </row>
    <row r="1694" spans="4:5">
      <c r="D1694" s="1">
        <f t="shared" si="53"/>
        <v>565</v>
      </c>
      <c r="E1694" s="1" t="str">
        <f t="shared" si="52"/>
        <v>La Unión 115</v>
      </c>
    </row>
    <row r="1695" spans="4:5">
      <c r="D1695" s="1">
        <f t="shared" si="53"/>
        <v>565</v>
      </c>
      <c r="E1695" s="1" t="str">
        <f t="shared" si="52"/>
        <v>La Unión 115</v>
      </c>
    </row>
    <row r="1696" spans="4:5">
      <c r="D1696" s="1">
        <f t="shared" si="53"/>
        <v>566</v>
      </c>
      <c r="E1696" s="1" t="str">
        <f t="shared" si="52"/>
        <v>Ladera 115</v>
      </c>
    </row>
    <row r="1697" spans="4:5">
      <c r="D1697" s="1">
        <f t="shared" si="53"/>
        <v>566</v>
      </c>
      <c r="E1697" s="1" t="str">
        <f t="shared" si="52"/>
        <v>Ladera 115</v>
      </c>
    </row>
    <row r="1698" spans="4:5">
      <c r="D1698" s="1">
        <f t="shared" si="53"/>
        <v>566</v>
      </c>
      <c r="E1698" s="1" t="str">
        <f t="shared" si="52"/>
        <v>Ladera 115</v>
      </c>
    </row>
    <row r="1699" spans="4:5">
      <c r="D1699" s="1">
        <f t="shared" si="53"/>
        <v>567</v>
      </c>
      <c r="E1699" s="1" t="str">
        <f t="shared" si="52"/>
        <v>Mayagüez 115</v>
      </c>
    </row>
    <row r="1700" spans="4:5">
      <c r="D1700" s="1">
        <f t="shared" si="53"/>
        <v>567</v>
      </c>
      <c r="E1700" s="1" t="str">
        <f t="shared" si="52"/>
        <v>Mayagüez 115</v>
      </c>
    </row>
    <row r="1701" spans="4:5">
      <c r="D1701" s="1">
        <f t="shared" si="53"/>
        <v>567</v>
      </c>
      <c r="E1701" s="1" t="str">
        <f t="shared" si="52"/>
        <v>Mayagüez 115</v>
      </c>
    </row>
    <row r="1702" spans="4:5">
      <c r="D1702" s="1">
        <f t="shared" si="53"/>
        <v>568</v>
      </c>
      <c r="E1702" s="1" t="str">
        <f t="shared" si="52"/>
        <v>Meléndez 115</v>
      </c>
    </row>
    <row r="1703" spans="4:5">
      <c r="D1703" s="1">
        <f t="shared" si="53"/>
        <v>568</v>
      </c>
      <c r="E1703" s="1" t="str">
        <f t="shared" si="52"/>
        <v>Meléndez 115</v>
      </c>
    </row>
    <row r="1704" spans="4:5">
      <c r="D1704" s="1">
        <f t="shared" si="53"/>
        <v>568</v>
      </c>
      <c r="E1704" s="1" t="str">
        <f t="shared" si="52"/>
        <v>Meléndez 115</v>
      </c>
    </row>
    <row r="1705" spans="4:5">
      <c r="D1705" s="1">
        <f t="shared" si="53"/>
        <v>569</v>
      </c>
      <c r="E1705" s="1" t="str">
        <f t="shared" si="52"/>
        <v>Pacífico 115</v>
      </c>
    </row>
    <row r="1706" spans="4:5">
      <c r="D1706" s="1">
        <f t="shared" si="53"/>
        <v>569</v>
      </c>
      <c r="E1706" s="1" t="str">
        <f t="shared" si="52"/>
        <v>Pacífico 115</v>
      </c>
    </row>
    <row r="1707" spans="4:5">
      <c r="D1707" s="1">
        <f t="shared" si="53"/>
        <v>569</v>
      </c>
      <c r="E1707" s="1" t="str">
        <f t="shared" si="52"/>
        <v>Pacífico 115</v>
      </c>
    </row>
    <row r="1708" spans="4:5">
      <c r="D1708" s="1">
        <f t="shared" si="53"/>
        <v>570</v>
      </c>
      <c r="E1708" s="1" t="str">
        <f t="shared" si="52"/>
        <v>Pacífico 220</v>
      </c>
    </row>
    <row r="1709" spans="4:5">
      <c r="D1709" s="1">
        <f t="shared" si="53"/>
        <v>570</v>
      </c>
      <c r="E1709" s="1" t="str">
        <f t="shared" si="52"/>
        <v>Pacífico 220</v>
      </c>
    </row>
    <row r="1710" spans="4:5">
      <c r="D1710" s="1">
        <f t="shared" si="53"/>
        <v>570</v>
      </c>
      <c r="E1710" s="1" t="str">
        <f t="shared" si="52"/>
        <v>Pacífico 220</v>
      </c>
    </row>
    <row r="1711" spans="4:5">
      <c r="D1711" s="1">
        <f t="shared" si="53"/>
        <v>571</v>
      </c>
      <c r="E1711" s="1" t="str">
        <f t="shared" si="52"/>
        <v>Pailón 115</v>
      </c>
    </row>
    <row r="1712" spans="4:5">
      <c r="D1712" s="1">
        <f t="shared" si="53"/>
        <v>571</v>
      </c>
      <c r="E1712" s="1" t="str">
        <f t="shared" si="52"/>
        <v>Pailón 115</v>
      </c>
    </row>
    <row r="1713" spans="4:5">
      <c r="D1713" s="1">
        <f t="shared" si="53"/>
        <v>571</v>
      </c>
      <c r="E1713" s="1" t="str">
        <f t="shared" si="52"/>
        <v>Pailón 115</v>
      </c>
    </row>
    <row r="1714" spans="4:5">
      <c r="D1714" s="1">
        <f t="shared" si="53"/>
        <v>572</v>
      </c>
      <c r="E1714" s="1" t="str">
        <f t="shared" si="52"/>
        <v>Palmaseca 115</v>
      </c>
    </row>
    <row r="1715" spans="4:5">
      <c r="D1715" s="1">
        <f t="shared" si="53"/>
        <v>572</v>
      </c>
      <c r="E1715" s="1" t="str">
        <f t="shared" si="52"/>
        <v>Palmaseca 115</v>
      </c>
    </row>
    <row r="1716" spans="4:5">
      <c r="D1716" s="1">
        <f t="shared" si="53"/>
        <v>572</v>
      </c>
      <c r="E1716" s="1" t="str">
        <f t="shared" si="52"/>
        <v>Palmaseca 115</v>
      </c>
    </row>
    <row r="1717" spans="4:5">
      <c r="D1717" s="1">
        <f t="shared" si="53"/>
        <v>573</v>
      </c>
      <c r="E1717" s="1" t="str">
        <f t="shared" si="52"/>
        <v>Pance 115</v>
      </c>
    </row>
    <row r="1718" spans="4:5">
      <c r="D1718" s="1">
        <f t="shared" si="53"/>
        <v>573</v>
      </c>
      <c r="E1718" s="1" t="str">
        <f t="shared" si="52"/>
        <v>Pance 115</v>
      </c>
    </row>
    <row r="1719" spans="4:5">
      <c r="D1719" s="1">
        <f t="shared" si="53"/>
        <v>573</v>
      </c>
      <c r="E1719" s="1" t="str">
        <f t="shared" si="52"/>
        <v>Pance 115</v>
      </c>
    </row>
    <row r="1720" spans="4:5">
      <c r="D1720" s="1">
        <f t="shared" si="53"/>
        <v>574</v>
      </c>
      <c r="E1720" s="1" t="str">
        <f t="shared" si="52"/>
        <v>Pance 220</v>
      </c>
    </row>
    <row r="1721" spans="4:5">
      <c r="D1721" s="1">
        <f t="shared" si="53"/>
        <v>574</v>
      </c>
      <c r="E1721" s="1" t="str">
        <f t="shared" si="52"/>
        <v>Pance 220</v>
      </c>
    </row>
    <row r="1722" spans="4:5">
      <c r="D1722" s="1">
        <f t="shared" si="53"/>
        <v>574</v>
      </c>
      <c r="E1722" s="1" t="str">
        <f t="shared" si="52"/>
        <v>Pance 220</v>
      </c>
    </row>
    <row r="1723" spans="4:5">
      <c r="D1723" s="1">
        <f t="shared" si="53"/>
        <v>575</v>
      </c>
      <c r="E1723" s="1" t="str">
        <f t="shared" si="52"/>
        <v>Papel Cauca 115</v>
      </c>
    </row>
    <row r="1724" spans="4:5">
      <c r="D1724" s="1">
        <f t="shared" si="53"/>
        <v>575</v>
      </c>
      <c r="E1724" s="1" t="str">
        <f t="shared" si="52"/>
        <v>Papel Cauca 115</v>
      </c>
    </row>
    <row r="1725" spans="4:5">
      <c r="D1725" s="1">
        <f t="shared" si="53"/>
        <v>575</v>
      </c>
      <c r="E1725" s="1" t="str">
        <f t="shared" si="52"/>
        <v>Papel Cauca 115</v>
      </c>
    </row>
    <row r="1726" spans="4:5">
      <c r="D1726" s="1">
        <f t="shared" si="53"/>
        <v>576</v>
      </c>
      <c r="E1726" s="1" t="str">
        <f t="shared" si="52"/>
        <v>Salvajina 220</v>
      </c>
    </row>
    <row r="1727" spans="4:5">
      <c r="D1727" s="1">
        <f t="shared" si="53"/>
        <v>576</v>
      </c>
      <c r="E1727" s="1" t="str">
        <f t="shared" si="52"/>
        <v>Salvajina 220</v>
      </c>
    </row>
    <row r="1728" spans="4:5">
      <c r="D1728" s="1">
        <f t="shared" si="53"/>
        <v>576</v>
      </c>
      <c r="E1728" s="1" t="str">
        <f t="shared" si="52"/>
        <v>Salvajina 220</v>
      </c>
    </row>
    <row r="1729" spans="4:5">
      <c r="D1729" s="1">
        <f t="shared" si="53"/>
        <v>577</v>
      </c>
      <c r="E1729" s="1" t="str">
        <f t="shared" ref="E1729:E1792" si="54">+VLOOKUP(D1729,$A$1:$B$1076,2,FALSE)</f>
        <v>San Antonio (Valle) 115</v>
      </c>
    </row>
    <row r="1730" spans="4:5">
      <c r="D1730" s="1">
        <f t="shared" si="53"/>
        <v>577</v>
      </c>
      <c r="E1730" s="1" t="str">
        <f t="shared" si="54"/>
        <v>San Antonio (Valle) 115</v>
      </c>
    </row>
    <row r="1731" spans="4:5">
      <c r="D1731" s="1">
        <f t="shared" si="53"/>
        <v>577</v>
      </c>
      <c r="E1731" s="1" t="str">
        <f t="shared" si="54"/>
        <v>San Antonio (Valle) 115</v>
      </c>
    </row>
    <row r="1732" spans="4:5">
      <c r="D1732" s="1">
        <f t="shared" ref="D1732:D1795" si="55">+D1729+1</f>
        <v>578</v>
      </c>
      <c r="E1732" s="1" t="str">
        <f t="shared" si="54"/>
        <v>San Luis 115</v>
      </c>
    </row>
    <row r="1733" spans="4:5">
      <c r="D1733" s="1">
        <f t="shared" si="55"/>
        <v>578</v>
      </c>
      <c r="E1733" s="1" t="str">
        <f t="shared" si="54"/>
        <v>San Luis 115</v>
      </c>
    </row>
    <row r="1734" spans="4:5">
      <c r="D1734" s="1">
        <f t="shared" si="55"/>
        <v>578</v>
      </c>
      <c r="E1734" s="1" t="str">
        <f t="shared" si="54"/>
        <v>San Luis 115</v>
      </c>
    </row>
    <row r="1735" spans="4:5">
      <c r="D1735" s="1">
        <f t="shared" si="55"/>
        <v>579</v>
      </c>
      <c r="E1735" s="1" t="str">
        <f t="shared" si="54"/>
        <v>San Marcos 115</v>
      </c>
    </row>
    <row r="1736" spans="4:5">
      <c r="D1736" s="1">
        <f t="shared" si="55"/>
        <v>579</v>
      </c>
      <c r="E1736" s="1" t="str">
        <f t="shared" si="54"/>
        <v>San Marcos 115</v>
      </c>
    </row>
    <row r="1737" spans="4:5">
      <c r="D1737" s="1">
        <f t="shared" si="55"/>
        <v>579</v>
      </c>
      <c r="E1737" s="1" t="str">
        <f t="shared" si="54"/>
        <v>San Marcos 115</v>
      </c>
    </row>
    <row r="1738" spans="4:5">
      <c r="D1738" s="1">
        <f t="shared" si="55"/>
        <v>580</v>
      </c>
      <c r="E1738" s="1" t="str">
        <f t="shared" si="54"/>
        <v>San Marcos 220</v>
      </c>
    </row>
    <row r="1739" spans="4:5">
      <c r="D1739" s="1">
        <f t="shared" si="55"/>
        <v>580</v>
      </c>
      <c r="E1739" s="1" t="str">
        <f t="shared" si="54"/>
        <v>San Marcos 220</v>
      </c>
    </row>
    <row r="1740" spans="4:5">
      <c r="D1740" s="1">
        <f t="shared" si="55"/>
        <v>580</v>
      </c>
      <c r="E1740" s="1" t="str">
        <f t="shared" si="54"/>
        <v>San Marcos 220</v>
      </c>
    </row>
    <row r="1741" spans="4:5">
      <c r="D1741" s="1">
        <f t="shared" si="55"/>
        <v>581</v>
      </c>
      <c r="E1741" s="1" t="str">
        <f t="shared" si="54"/>
        <v>San Marcos 500</v>
      </c>
    </row>
    <row r="1742" spans="4:5">
      <c r="D1742" s="1">
        <f t="shared" si="55"/>
        <v>581</v>
      </c>
      <c r="E1742" s="1" t="str">
        <f t="shared" si="54"/>
        <v>San Marcos 500</v>
      </c>
    </row>
    <row r="1743" spans="4:5">
      <c r="D1743" s="1">
        <f t="shared" si="55"/>
        <v>581</v>
      </c>
      <c r="E1743" s="1" t="str">
        <f t="shared" si="54"/>
        <v>San Marcos 500</v>
      </c>
    </row>
    <row r="1744" spans="4:5">
      <c r="D1744" s="1">
        <f t="shared" si="55"/>
        <v>582</v>
      </c>
      <c r="E1744" s="1" t="str">
        <f t="shared" si="54"/>
        <v>Santa Bárbara 115</v>
      </c>
    </row>
    <row r="1745" spans="4:5">
      <c r="D1745" s="1">
        <f t="shared" si="55"/>
        <v>582</v>
      </c>
      <c r="E1745" s="1" t="str">
        <f t="shared" si="54"/>
        <v>Santa Bárbara 115</v>
      </c>
    </row>
    <row r="1746" spans="4:5">
      <c r="D1746" s="1">
        <f t="shared" si="55"/>
        <v>582</v>
      </c>
      <c r="E1746" s="1" t="str">
        <f t="shared" si="54"/>
        <v>Santa Bárbara 115</v>
      </c>
    </row>
    <row r="1747" spans="4:5">
      <c r="D1747" s="1">
        <f t="shared" si="55"/>
        <v>583</v>
      </c>
      <c r="E1747" s="1" t="str">
        <f t="shared" si="54"/>
        <v>Succomiles 115</v>
      </c>
    </row>
    <row r="1748" spans="4:5">
      <c r="D1748" s="1">
        <f t="shared" si="55"/>
        <v>583</v>
      </c>
      <c r="E1748" s="1" t="str">
        <f t="shared" si="54"/>
        <v>Succomiles 115</v>
      </c>
    </row>
    <row r="1749" spans="4:5">
      <c r="D1749" s="1">
        <f t="shared" si="55"/>
        <v>583</v>
      </c>
      <c r="E1749" s="1" t="str">
        <f t="shared" si="54"/>
        <v>Succomiles 115</v>
      </c>
    </row>
    <row r="1750" spans="4:5">
      <c r="D1750" s="1">
        <f t="shared" si="55"/>
        <v>584</v>
      </c>
      <c r="E1750" s="1" t="str">
        <f t="shared" si="54"/>
        <v>Sur (Cali) 115</v>
      </c>
    </row>
    <row r="1751" spans="4:5">
      <c r="D1751" s="1">
        <f t="shared" si="55"/>
        <v>584</v>
      </c>
      <c r="E1751" s="1" t="str">
        <f t="shared" si="54"/>
        <v>Sur (Cali) 115</v>
      </c>
    </row>
    <row r="1752" spans="4:5">
      <c r="D1752" s="1">
        <f t="shared" si="55"/>
        <v>584</v>
      </c>
      <c r="E1752" s="1" t="str">
        <f t="shared" si="54"/>
        <v>Sur (Cali) 115</v>
      </c>
    </row>
    <row r="1753" spans="4:5">
      <c r="D1753" s="1">
        <f t="shared" si="55"/>
        <v>585</v>
      </c>
      <c r="E1753" s="1" t="str">
        <f t="shared" si="54"/>
        <v>Tabor (Buenaventura) 115</v>
      </c>
    </row>
    <row r="1754" spans="4:5">
      <c r="D1754" s="1">
        <f t="shared" si="55"/>
        <v>585</v>
      </c>
      <c r="E1754" s="1" t="str">
        <f t="shared" si="54"/>
        <v>Tabor (Buenaventura) 115</v>
      </c>
    </row>
    <row r="1755" spans="4:5">
      <c r="D1755" s="1">
        <f t="shared" si="55"/>
        <v>585</v>
      </c>
      <c r="E1755" s="1" t="str">
        <f t="shared" si="54"/>
        <v>Tabor (Buenaventura) 115</v>
      </c>
    </row>
    <row r="1756" spans="4:5">
      <c r="D1756" s="1">
        <f t="shared" si="55"/>
        <v>586</v>
      </c>
      <c r="E1756" s="1" t="str">
        <f t="shared" si="54"/>
        <v>Termovalle 115</v>
      </c>
    </row>
    <row r="1757" spans="4:5">
      <c r="D1757" s="1">
        <f t="shared" si="55"/>
        <v>586</v>
      </c>
      <c r="E1757" s="1" t="str">
        <f t="shared" si="54"/>
        <v>Termovalle 115</v>
      </c>
    </row>
    <row r="1758" spans="4:5">
      <c r="D1758" s="1">
        <f t="shared" si="55"/>
        <v>586</v>
      </c>
      <c r="E1758" s="1" t="str">
        <f t="shared" si="54"/>
        <v>Termovalle 115</v>
      </c>
    </row>
    <row r="1759" spans="4:5">
      <c r="D1759" s="1">
        <f t="shared" si="55"/>
        <v>587</v>
      </c>
      <c r="E1759" s="1" t="str">
        <f t="shared" si="54"/>
        <v>Termoyumbo 115</v>
      </c>
    </row>
    <row r="1760" spans="4:5">
      <c r="D1760" s="1">
        <f t="shared" si="55"/>
        <v>587</v>
      </c>
      <c r="E1760" s="1" t="str">
        <f t="shared" si="54"/>
        <v>Termoyumbo 115</v>
      </c>
    </row>
    <row r="1761" spans="4:5">
      <c r="D1761" s="1">
        <f t="shared" si="55"/>
        <v>587</v>
      </c>
      <c r="E1761" s="1" t="str">
        <f t="shared" si="54"/>
        <v>Termoyumbo 115</v>
      </c>
    </row>
    <row r="1762" spans="4:5">
      <c r="D1762" s="1">
        <f t="shared" si="55"/>
        <v>588</v>
      </c>
      <c r="E1762" s="1" t="str">
        <f t="shared" si="54"/>
        <v>Tuluá 115</v>
      </c>
    </row>
    <row r="1763" spans="4:5">
      <c r="D1763" s="1">
        <f t="shared" si="55"/>
        <v>588</v>
      </c>
      <c r="E1763" s="1" t="str">
        <f t="shared" si="54"/>
        <v>Tuluá 115</v>
      </c>
    </row>
    <row r="1764" spans="4:5">
      <c r="D1764" s="1">
        <f t="shared" si="55"/>
        <v>588</v>
      </c>
      <c r="E1764" s="1" t="str">
        <f t="shared" si="54"/>
        <v>Tuluá 115</v>
      </c>
    </row>
    <row r="1765" spans="4:5">
      <c r="D1765" s="1">
        <f t="shared" si="55"/>
        <v>589</v>
      </c>
      <c r="E1765" s="1" t="str">
        <f t="shared" si="54"/>
        <v>Vijes 115</v>
      </c>
    </row>
    <row r="1766" spans="4:5">
      <c r="D1766" s="1">
        <f t="shared" si="55"/>
        <v>589</v>
      </c>
      <c r="E1766" s="1" t="str">
        <f t="shared" si="54"/>
        <v>Vijes 115</v>
      </c>
    </row>
    <row r="1767" spans="4:5">
      <c r="D1767" s="1">
        <f t="shared" si="55"/>
        <v>589</v>
      </c>
      <c r="E1767" s="1" t="str">
        <f t="shared" si="54"/>
        <v>Vijes 115</v>
      </c>
    </row>
    <row r="1768" spans="4:5">
      <c r="D1768" s="1">
        <f t="shared" si="55"/>
        <v>590</v>
      </c>
      <c r="E1768" s="1" t="str">
        <f t="shared" si="54"/>
        <v>Yumbo 220</v>
      </c>
    </row>
    <row r="1769" spans="4:5">
      <c r="D1769" s="1">
        <f t="shared" si="55"/>
        <v>590</v>
      </c>
      <c r="E1769" s="1" t="str">
        <f t="shared" si="54"/>
        <v>Yumbo 220</v>
      </c>
    </row>
    <row r="1770" spans="4:5">
      <c r="D1770" s="1">
        <f t="shared" si="55"/>
        <v>590</v>
      </c>
      <c r="E1770" s="1" t="str">
        <f t="shared" si="54"/>
        <v>Yumbo 220</v>
      </c>
    </row>
    <row r="1771" spans="4:5">
      <c r="D1771" s="1">
        <f t="shared" si="55"/>
        <v>591</v>
      </c>
      <c r="E1771" s="1" t="str">
        <f t="shared" si="54"/>
        <v>Zarzal 115</v>
      </c>
    </row>
    <row r="1772" spans="4:5">
      <c r="D1772" s="1">
        <f t="shared" si="55"/>
        <v>591</v>
      </c>
      <c r="E1772" s="1" t="str">
        <f t="shared" si="54"/>
        <v>Zarzal 115</v>
      </c>
    </row>
    <row r="1773" spans="4:5">
      <c r="D1773" s="1">
        <f t="shared" si="55"/>
        <v>591</v>
      </c>
      <c r="E1773" s="1" t="str">
        <f t="shared" si="54"/>
        <v>Zarzal 115</v>
      </c>
    </row>
    <row r="1774" spans="4:5">
      <c r="D1774" s="1">
        <f t="shared" si="55"/>
        <v>592</v>
      </c>
      <c r="E1774" s="1">
        <f t="shared" si="54"/>
        <v>0</v>
      </c>
    </row>
    <row r="1775" spans="4:5">
      <c r="D1775" s="1">
        <f t="shared" si="55"/>
        <v>592</v>
      </c>
      <c r="E1775" s="1">
        <f t="shared" si="54"/>
        <v>0</v>
      </c>
    </row>
    <row r="1776" spans="4:5">
      <c r="D1776" s="1">
        <f t="shared" si="55"/>
        <v>592</v>
      </c>
      <c r="E1776" s="1">
        <f t="shared" si="54"/>
        <v>0</v>
      </c>
    </row>
    <row r="1777" spans="4:5">
      <c r="D1777" s="1">
        <f t="shared" si="55"/>
        <v>593</v>
      </c>
      <c r="E1777" s="1">
        <f t="shared" si="54"/>
        <v>0</v>
      </c>
    </row>
    <row r="1778" spans="4:5">
      <c r="D1778" s="1">
        <f t="shared" si="55"/>
        <v>593</v>
      </c>
      <c r="E1778" s="1">
        <f t="shared" si="54"/>
        <v>0</v>
      </c>
    </row>
    <row r="1779" spans="4:5">
      <c r="D1779" s="1">
        <f t="shared" si="55"/>
        <v>593</v>
      </c>
      <c r="E1779" s="1">
        <f t="shared" si="54"/>
        <v>0</v>
      </c>
    </row>
    <row r="1780" spans="4:5">
      <c r="D1780" s="1">
        <f t="shared" si="55"/>
        <v>594</v>
      </c>
      <c r="E1780" s="1">
        <f t="shared" si="54"/>
        <v>0</v>
      </c>
    </row>
    <row r="1781" spans="4:5">
      <c r="D1781" s="1">
        <f t="shared" si="55"/>
        <v>594</v>
      </c>
      <c r="E1781" s="1">
        <f t="shared" si="54"/>
        <v>0</v>
      </c>
    </row>
    <row r="1782" spans="4:5">
      <c r="D1782" s="1">
        <f t="shared" si="55"/>
        <v>594</v>
      </c>
      <c r="E1782" s="1">
        <f t="shared" si="54"/>
        <v>0</v>
      </c>
    </row>
    <row r="1783" spans="4:5">
      <c r="D1783" s="1">
        <f t="shared" si="55"/>
        <v>595</v>
      </c>
      <c r="E1783" s="1">
        <f t="shared" si="54"/>
        <v>0</v>
      </c>
    </row>
    <row r="1784" spans="4:5">
      <c r="D1784" s="1">
        <f t="shared" si="55"/>
        <v>595</v>
      </c>
      <c r="E1784" s="1">
        <f t="shared" si="54"/>
        <v>0</v>
      </c>
    </row>
    <row r="1785" spans="4:5">
      <c r="D1785" s="1">
        <f t="shared" si="55"/>
        <v>595</v>
      </c>
      <c r="E1785" s="1">
        <f t="shared" si="54"/>
        <v>0</v>
      </c>
    </row>
    <row r="1786" spans="4:5">
      <c r="D1786" s="1">
        <f t="shared" si="55"/>
        <v>596</v>
      </c>
      <c r="E1786" s="1">
        <f t="shared" si="54"/>
        <v>0</v>
      </c>
    </row>
    <row r="1787" spans="4:5">
      <c r="D1787" s="1">
        <f t="shared" si="55"/>
        <v>596</v>
      </c>
      <c r="E1787" s="1">
        <f t="shared" si="54"/>
        <v>0</v>
      </c>
    </row>
    <row r="1788" spans="4:5">
      <c r="D1788" s="1">
        <f t="shared" si="55"/>
        <v>596</v>
      </c>
      <c r="E1788" s="1">
        <f t="shared" si="54"/>
        <v>0</v>
      </c>
    </row>
    <row r="1789" spans="4:5">
      <c r="D1789" s="1">
        <f t="shared" si="55"/>
        <v>597</v>
      </c>
      <c r="E1789" s="1">
        <f t="shared" si="54"/>
        <v>0</v>
      </c>
    </row>
    <row r="1790" spans="4:5">
      <c r="D1790" s="1">
        <f t="shared" si="55"/>
        <v>597</v>
      </c>
      <c r="E1790" s="1">
        <f t="shared" si="54"/>
        <v>0</v>
      </c>
    </row>
    <row r="1791" spans="4:5">
      <c r="D1791" s="1">
        <f t="shared" si="55"/>
        <v>597</v>
      </c>
      <c r="E1791" s="1">
        <f t="shared" si="54"/>
        <v>0</v>
      </c>
    </row>
    <row r="1792" spans="4:5">
      <c r="D1792" s="1">
        <f t="shared" si="55"/>
        <v>598</v>
      </c>
      <c r="E1792" s="1">
        <f t="shared" si="54"/>
        <v>0</v>
      </c>
    </row>
    <row r="1793" spans="4:5">
      <c r="D1793" s="1">
        <f t="shared" si="55"/>
        <v>598</v>
      </c>
      <c r="E1793" s="1">
        <f t="shared" ref="E1793:E1856" si="56">+VLOOKUP(D1793,$A$1:$B$1076,2,FALSE)</f>
        <v>0</v>
      </c>
    </row>
    <row r="1794" spans="4:5">
      <c r="D1794" s="1">
        <f t="shared" si="55"/>
        <v>598</v>
      </c>
      <c r="E1794" s="1">
        <f t="shared" si="56"/>
        <v>0</v>
      </c>
    </row>
    <row r="1795" spans="4:5">
      <c r="D1795" s="1">
        <f t="shared" si="55"/>
        <v>599</v>
      </c>
      <c r="E1795" s="1">
        <f t="shared" si="56"/>
        <v>0</v>
      </c>
    </row>
    <row r="1796" spans="4:5">
      <c r="D1796" s="1">
        <f t="shared" ref="D1796:D1859" si="57">+D1793+1</f>
        <v>599</v>
      </c>
      <c r="E1796" s="1">
        <f t="shared" si="56"/>
        <v>0</v>
      </c>
    </row>
    <row r="1797" spans="4:5">
      <c r="D1797" s="1">
        <f t="shared" si="57"/>
        <v>599</v>
      </c>
      <c r="E1797" s="1">
        <f t="shared" si="56"/>
        <v>0</v>
      </c>
    </row>
    <row r="1798" spans="4:5">
      <c r="D1798" s="1">
        <f t="shared" si="57"/>
        <v>600</v>
      </c>
      <c r="E1798" s="1">
        <f t="shared" si="56"/>
        <v>0</v>
      </c>
    </row>
    <row r="1799" spans="4:5">
      <c r="D1799" s="1">
        <f t="shared" si="57"/>
        <v>600</v>
      </c>
      <c r="E1799" s="1">
        <f t="shared" si="56"/>
        <v>0</v>
      </c>
    </row>
    <row r="1800" spans="4:5">
      <c r="D1800" s="1">
        <f t="shared" si="57"/>
        <v>600</v>
      </c>
      <c r="E1800" s="1">
        <f t="shared" si="56"/>
        <v>0</v>
      </c>
    </row>
    <row r="1801" spans="4:5">
      <c r="D1801" s="1">
        <f t="shared" si="57"/>
        <v>601</v>
      </c>
      <c r="E1801" s="1">
        <f t="shared" si="56"/>
        <v>0</v>
      </c>
    </row>
    <row r="1802" spans="4:5">
      <c r="D1802" s="1">
        <f t="shared" si="57"/>
        <v>601</v>
      </c>
      <c r="E1802" s="1">
        <f t="shared" si="56"/>
        <v>0</v>
      </c>
    </row>
    <row r="1803" spans="4:5">
      <c r="D1803" s="1">
        <f t="shared" si="57"/>
        <v>601</v>
      </c>
      <c r="E1803" s="1">
        <f t="shared" si="56"/>
        <v>0</v>
      </c>
    </row>
    <row r="1804" spans="4:5">
      <c r="D1804" s="1">
        <f t="shared" si="57"/>
        <v>602</v>
      </c>
      <c r="E1804" s="1">
        <f t="shared" si="56"/>
        <v>0</v>
      </c>
    </row>
    <row r="1805" spans="4:5">
      <c r="D1805" s="1">
        <f t="shared" si="57"/>
        <v>602</v>
      </c>
      <c r="E1805" s="1">
        <f t="shared" si="56"/>
        <v>0</v>
      </c>
    </row>
    <row r="1806" spans="4:5">
      <c r="D1806" s="1">
        <f t="shared" si="57"/>
        <v>602</v>
      </c>
      <c r="E1806" s="1">
        <f t="shared" si="56"/>
        <v>0</v>
      </c>
    </row>
    <row r="1807" spans="4:5">
      <c r="D1807" s="1">
        <f t="shared" si="57"/>
        <v>603</v>
      </c>
      <c r="E1807" s="1">
        <f t="shared" si="56"/>
        <v>0</v>
      </c>
    </row>
    <row r="1808" spans="4:5">
      <c r="D1808" s="1">
        <f t="shared" si="57"/>
        <v>603</v>
      </c>
      <c r="E1808" s="1">
        <f t="shared" si="56"/>
        <v>0</v>
      </c>
    </row>
    <row r="1809" spans="4:5">
      <c r="D1809" s="1">
        <f t="shared" si="57"/>
        <v>603</v>
      </c>
      <c r="E1809" s="1">
        <f t="shared" si="56"/>
        <v>0</v>
      </c>
    </row>
    <row r="1810" spans="4:5">
      <c r="D1810" s="1">
        <f t="shared" si="57"/>
        <v>604</v>
      </c>
      <c r="E1810" s="1">
        <f t="shared" si="56"/>
        <v>0</v>
      </c>
    </row>
    <row r="1811" spans="4:5">
      <c r="D1811" s="1">
        <f t="shared" si="57"/>
        <v>604</v>
      </c>
      <c r="E1811" s="1">
        <f t="shared" si="56"/>
        <v>0</v>
      </c>
    </row>
    <row r="1812" spans="4:5">
      <c r="D1812" s="1">
        <f t="shared" si="57"/>
        <v>604</v>
      </c>
      <c r="E1812" s="1">
        <f t="shared" si="56"/>
        <v>0</v>
      </c>
    </row>
    <row r="1813" spans="4:5">
      <c r="D1813" s="1">
        <f t="shared" si="57"/>
        <v>605</v>
      </c>
      <c r="E1813" s="1">
        <f t="shared" si="56"/>
        <v>0</v>
      </c>
    </row>
    <row r="1814" spans="4:5">
      <c r="D1814" s="1">
        <f t="shared" si="57"/>
        <v>605</v>
      </c>
      <c r="E1814" s="1">
        <f t="shared" si="56"/>
        <v>0</v>
      </c>
    </row>
    <row r="1815" spans="4:5">
      <c r="D1815" s="1">
        <f t="shared" si="57"/>
        <v>605</v>
      </c>
      <c r="E1815" s="1">
        <f t="shared" si="56"/>
        <v>0</v>
      </c>
    </row>
    <row r="1816" spans="4:5">
      <c r="D1816" s="1">
        <f t="shared" si="57"/>
        <v>606</v>
      </c>
      <c r="E1816" s="1">
        <f t="shared" si="56"/>
        <v>0</v>
      </c>
    </row>
    <row r="1817" spans="4:5">
      <c r="D1817" s="1">
        <f t="shared" si="57"/>
        <v>606</v>
      </c>
      <c r="E1817" s="1">
        <f t="shared" si="56"/>
        <v>0</v>
      </c>
    </row>
    <row r="1818" spans="4:5">
      <c r="D1818" s="1">
        <f t="shared" si="57"/>
        <v>606</v>
      </c>
      <c r="E1818" s="1">
        <f t="shared" si="56"/>
        <v>0</v>
      </c>
    </row>
    <row r="1819" spans="4:5">
      <c r="D1819" s="1">
        <f t="shared" si="57"/>
        <v>607</v>
      </c>
      <c r="E1819" s="1">
        <f t="shared" si="56"/>
        <v>0</v>
      </c>
    </row>
    <row r="1820" spans="4:5">
      <c r="D1820" s="1">
        <f t="shared" si="57"/>
        <v>607</v>
      </c>
      <c r="E1820" s="1">
        <f t="shared" si="56"/>
        <v>0</v>
      </c>
    </row>
    <row r="1821" spans="4:5">
      <c r="D1821" s="1">
        <f t="shared" si="57"/>
        <v>607</v>
      </c>
      <c r="E1821" s="1">
        <f t="shared" si="56"/>
        <v>0</v>
      </c>
    </row>
    <row r="1822" spans="4:5">
      <c r="D1822" s="1">
        <f t="shared" si="57"/>
        <v>608</v>
      </c>
      <c r="E1822" s="1">
        <f t="shared" si="56"/>
        <v>0</v>
      </c>
    </row>
    <row r="1823" spans="4:5">
      <c r="D1823" s="1">
        <f t="shared" si="57"/>
        <v>608</v>
      </c>
      <c r="E1823" s="1">
        <f t="shared" si="56"/>
        <v>0</v>
      </c>
    </row>
    <row r="1824" spans="4:5">
      <c r="D1824" s="1">
        <f t="shared" si="57"/>
        <v>608</v>
      </c>
      <c r="E1824" s="1">
        <f t="shared" si="56"/>
        <v>0</v>
      </c>
    </row>
    <row r="1825" spans="4:5">
      <c r="D1825" s="1">
        <f t="shared" si="57"/>
        <v>609</v>
      </c>
      <c r="E1825" s="1">
        <f t="shared" si="56"/>
        <v>0</v>
      </c>
    </row>
    <row r="1826" spans="4:5">
      <c r="D1826" s="1">
        <f t="shared" si="57"/>
        <v>609</v>
      </c>
      <c r="E1826" s="1">
        <f t="shared" si="56"/>
        <v>0</v>
      </c>
    </row>
    <row r="1827" spans="4:5">
      <c r="D1827" s="1">
        <f t="shared" si="57"/>
        <v>609</v>
      </c>
      <c r="E1827" s="1">
        <f t="shared" si="56"/>
        <v>0</v>
      </c>
    </row>
    <row r="1828" spans="4:5">
      <c r="D1828" s="1">
        <f t="shared" si="57"/>
        <v>610</v>
      </c>
      <c r="E1828" s="1">
        <f t="shared" si="56"/>
        <v>0</v>
      </c>
    </row>
    <row r="1829" spans="4:5">
      <c r="D1829" s="1">
        <f t="shared" si="57"/>
        <v>610</v>
      </c>
      <c r="E1829" s="1">
        <f t="shared" si="56"/>
        <v>0</v>
      </c>
    </row>
    <row r="1830" spans="4:5">
      <c r="D1830" s="1">
        <f t="shared" si="57"/>
        <v>610</v>
      </c>
      <c r="E1830" s="1">
        <f t="shared" si="56"/>
        <v>0</v>
      </c>
    </row>
    <row r="1831" spans="4:5">
      <c r="D1831" s="1">
        <f t="shared" si="57"/>
        <v>611</v>
      </c>
      <c r="E1831" s="1">
        <f t="shared" si="56"/>
        <v>0</v>
      </c>
    </row>
    <row r="1832" spans="4:5">
      <c r="D1832" s="1">
        <f t="shared" si="57"/>
        <v>611</v>
      </c>
      <c r="E1832" s="1">
        <f t="shared" si="56"/>
        <v>0</v>
      </c>
    </row>
    <row r="1833" spans="4:5">
      <c r="D1833" s="1">
        <f t="shared" si="57"/>
        <v>611</v>
      </c>
      <c r="E1833" s="1">
        <f t="shared" si="56"/>
        <v>0</v>
      </c>
    </row>
    <row r="1834" spans="4:5">
      <c r="D1834" s="1">
        <f t="shared" si="57"/>
        <v>612</v>
      </c>
      <c r="E1834" s="1">
        <f t="shared" si="56"/>
        <v>0</v>
      </c>
    </row>
    <row r="1835" spans="4:5">
      <c r="D1835" s="1">
        <f t="shared" si="57"/>
        <v>612</v>
      </c>
      <c r="E1835" s="1">
        <f t="shared" si="56"/>
        <v>0</v>
      </c>
    </row>
    <row r="1836" spans="4:5">
      <c r="D1836" s="1">
        <f t="shared" si="57"/>
        <v>612</v>
      </c>
      <c r="E1836" s="1">
        <f t="shared" si="56"/>
        <v>0</v>
      </c>
    </row>
    <row r="1837" spans="4:5">
      <c r="D1837" s="1">
        <f t="shared" si="57"/>
        <v>613</v>
      </c>
      <c r="E1837" s="1">
        <f t="shared" si="56"/>
        <v>0</v>
      </c>
    </row>
    <row r="1838" spans="4:5">
      <c r="D1838" s="1">
        <f t="shared" si="57"/>
        <v>613</v>
      </c>
      <c r="E1838" s="1">
        <f t="shared" si="56"/>
        <v>0</v>
      </c>
    </row>
    <row r="1839" spans="4:5">
      <c r="D1839" s="1">
        <f t="shared" si="57"/>
        <v>613</v>
      </c>
      <c r="E1839" s="1">
        <f t="shared" si="56"/>
        <v>0</v>
      </c>
    </row>
    <row r="1840" spans="4:5">
      <c r="D1840" s="1">
        <f t="shared" si="57"/>
        <v>614</v>
      </c>
      <c r="E1840" s="1">
        <f t="shared" si="56"/>
        <v>0</v>
      </c>
    </row>
    <row r="1841" spans="4:5">
      <c r="D1841" s="1">
        <f t="shared" si="57"/>
        <v>614</v>
      </c>
      <c r="E1841" s="1">
        <f t="shared" si="56"/>
        <v>0</v>
      </c>
    </row>
    <row r="1842" spans="4:5">
      <c r="D1842" s="1">
        <f t="shared" si="57"/>
        <v>614</v>
      </c>
      <c r="E1842" s="1">
        <f t="shared" si="56"/>
        <v>0</v>
      </c>
    </row>
    <row r="1843" spans="4:5">
      <c r="D1843" s="1">
        <f t="shared" si="57"/>
        <v>615</v>
      </c>
      <c r="E1843" s="1">
        <f t="shared" si="56"/>
        <v>0</v>
      </c>
    </row>
    <row r="1844" spans="4:5">
      <c r="D1844" s="1">
        <f t="shared" si="57"/>
        <v>615</v>
      </c>
      <c r="E1844" s="1">
        <f t="shared" si="56"/>
        <v>0</v>
      </c>
    </row>
    <row r="1845" spans="4:5">
      <c r="D1845" s="1">
        <f t="shared" si="57"/>
        <v>615</v>
      </c>
      <c r="E1845" s="1">
        <f t="shared" si="56"/>
        <v>0</v>
      </c>
    </row>
    <row r="1846" spans="4:5">
      <c r="D1846" s="1">
        <f t="shared" si="57"/>
        <v>616</v>
      </c>
      <c r="E1846" s="1">
        <f t="shared" si="56"/>
        <v>0</v>
      </c>
    </row>
    <row r="1847" spans="4:5">
      <c r="D1847" s="1">
        <f t="shared" si="57"/>
        <v>616</v>
      </c>
      <c r="E1847" s="1">
        <f t="shared" si="56"/>
        <v>0</v>
      </c>
    </row>
    <row r="1848" spans="4:5">
      <c r="D1848" s="1">
        <f t="shared" si="57"/>
        <v>616</v>
      </c>
      <c r="E1848" s="1">
        <f t="shared" si="56"/>
        <v>0</v>
      </c>
    </row>
    <row r="1849" spans="4:5">
      <c r="D1849" s="1">
        <f t="shared" si="57"/>
        <v>617</v>
      </c>
      <c r="E1849" s="1">
        <f t="shared" si="56"/>
        <v>0</v>
      </c>
    </row>
    <row r="1850" spans="4:5">
      <c r="D1850" s="1">
        <f t="shared" si="57"/>
        <v>617</v>
      </c>
      <c r="E1850" s="1">
        <f t="shared" si="56"/>
        <v>0</v>
      </c>
    </row>
    <row r="1851" spans="4:5">
      <c r="D1851" s="1">
        <f t="shared" si="57"/>
        <v>617</v>
      </c>
      <c r="E1851" s="1">
        <f t="shared" si="56"/>
        <v>0</v>
      </c>
    </row>
    <row r="1852" spans="4:5">
      <c r="D1852" s="1">
        <f t="shared" si="57"/>
        <v>618</v>
      </c>
      <c r="E1852" s="1">
        <f t="shared" si="56"/>
        <v>0</v>
      </c>
    </row>
    <row r="1853" spans="4:5">
      <c r="D1853" s="1">
        <f t="shared" si="57"/>
        <v>618</v>
      </c>
      <c r="E1853" s="1">
        <f t="shared" si="56"/>
        <v>0</v>
      </c>
    </row>
    <row r="1854" spans="4:5">
      <c r="D1854" s="1">
        <f t="shared" si="57"/>
        <v>618</v>
      </c>
      <c r="E1854" s="1">
        <f t="shared" si="56"/>
        <v>0</v>
      </c>
    </row>
    <row r="1855" spans="4:5">
      <c r="D1855" s="1">
        <f t="shared" si="57"/>
        <v>619</v>
      </c>
      <c r="E1855" s="1">
        <f t="shared" si="56"/>
        <v>0</v>
      </c>
    </row>
    <row r="1856" spans="4:5">
      <c r="D1856" s="1">
        <f t="shared" si="57"/>
        <v>619</v>
      </c>
      <c r="E1856" s="1">
        <f t="shared" si="56"/>
        <v>0</v>
      </c>
    </row>
    <row r="1857" spans="4:5">
      <c r="D1857" s="1">
        <f t="shared" si="57"/>
        <v>619</v>
      </c>
      <c r="E1857" s="1">
        <f t="shared" ref="E1857:E1920" si="58">+VLOOKUP(D1857,$A$1:$B$1076,2,FALSE)</f>
        <v>0</v>
      </c>
    </row>
    <row r="1858" spans="4:5">
      <c r="D1858" s="1">
        <f t="shared" si="57"/>
        <v>620</v>
      </c>
      <c r="E1858" s="1">
        <f t="shared" si="58"/>
        <v>0</v>
      </c>
    </row>
    <row r="1859" spans="4:5">
      <c r="D1859" s="1">
        <f t="shared" si="57"/>
        <v>620</v>
      </c>
      <c r="E1859" s="1">
        <f t="shared" si="58"/>
        <v>0</v>
      </c>
    </row>
    <row r="1860" spans="4:5">
      <c r="D1860" s="1">
        <f t="shared" ref="D1860:D1923" si="59">+D1857+1</f>
        <v>620</v>
      </c>
      <c r="E1860" s="1">
        <f t="shared" si="58"/>
        <v>0</v>
      </c>
    </row>
    <row r="1861" spans="4:5">
      <c r="D1861" s="1">
        <f t="shared" si="59"/>
        <v>621</v>
      </c>
      <c r="E1861" s="1">
        <f t="shared" si="58"/>
        <v>0</v>
      </c>
    </row>
    <row r="1862" spans="4:5">
      <c r="D1862" s="1">
        <f t="shared" si="59"/>
        <v>621</v>
      </c>
      <c r="E1862" s="1">
        <f t="shared" si="58"/>
        <v>0</v>
      </c>
    </row>
    <row r="1863" spans="4:5">
      <c r="D1863" s="1">
        <f t="shared" si="59"/>
        <v>621</v>
      </c>
      <c r="E1863" s="1">
        <f t="shared" si="58"/>
        <v>0</v>
      </c>
    </row>
    <row r="1864" spans="4:5">
      <c r="D1864" s="1">
        <f t="shared" si="59"/>
        <v>622</v>
      </c>
      <c r="E1864" s="1">
        <f t="shared" si="58"/>
        <v>0</v>
      </c>
    </row>
    <row r="1865" spans="4:5">
      <c r="D1865" s="1">
        <f t="shared" si="59"/>
        <v>622</v>
      </c>
      <c r="E1865" s="1">
        <f t="shared" si="58"/>
        <v>0</v>
      </c>
    </row>
    <row r="1866" spans="4:5">
      <c r="D1866" s="1">
        <f t="shared" si="59"/>
        <v>622</v>
      </c>
      <c r="E1866" s="1">
        <f t="shared" si="58"/>
        <v>0</v>
      </c>
    </row>
    <row r="1867" spans="4:5">
      <c r="D1867" s="1">
        <f t="shared" si="59"/>
        <v>623</v>
      </c>
      <c r="E1867" s="1">
        <f t="shared" si="58"/>
        <v>0</v>
      </c>
    </row>
    <row r="1868" spans="4:5">
      <c r="D1868" s="1">
        <f t="shared" si="59"/>
        <v>623</v>
      </c>
      <c r="E1868" s="1">
        <f t="shared" si="58"/>
        <v>0</v>
      </c>
    </row>
    <row r="1869" spans="4:5">
      <c r="D1869" s="1">
        <f t="shared" si="59"/>
        <v>623</v>
      </c>
      <c r="E1869" s="1">
        <f t="shared" si="58"/>
        <v>0</v>
      </c>
    </row>
    <row r="1870" spans="4:5">
      <c r="D1870" s="1">
        <f t="shared" si="59"/>
        <v>624</v>
      </c>
      <c r="E1870" s="1">
        <f t="shared" si="58"/>
        <v>0</v>
      </c>
    </row>
    <row r="1871" spans="4:5">
      <c r="D1871" s="1">
        <f t="shared" si="59"/>
        <v>624</v>
      </c>
      <c r="E1871" s="1">
        <f t="shared" si="58"/>
        <v>0</v>
      </c>
    </row>
    <row r="1872" spans="4:5">
      <c r="D1872" s="1">
        <f t="shared" si="59"/>
        <v>624</v>
      </c>
      <c r="E1872" s="1">
        <f t="shared" si="58"/>
        <v>0</v>
      </c>
    </row>
    <row r="1873" spans="4:5">
      <c r="D1873" s="1">
        <f t="shared" si="59"/>
        <v>625</v>
      </c>
      <c r="E1873" s="1">
        <f t="shared" si="58"/>
        <v>0</v>
      </c>
    </row>
    <row r="1874" spans="4:5">
      <c r="D1874" s="1">
        <f t="shared" si="59"/>
        <v>625</v>
      </c>
      <c r="E1874" s="1">
        <f t="shared" si="58"/>
        <v>0</v>
      </c>
    </row>
    <row r="1875" spans="4:5">
      <c r="D1875" s="1">
        <f t="shared" si="59"/>
        <v>625</v>
      </c>
      <c r="E1875" s="1">
        <f t="shared" si="58"/>
        <v>0</v>
      </c>
    </row>
    <row r="1876" spans="4:5">
      <c r="D1876" s="1">
        <f t="shared" si="59"/>
        <v>626</v>
      </c>
      <c r="E1876" s="1">
        <f t="shared" si="58"/>
        <v>0</v>
      </c>
    </row>
    <row r="1877" spans="4:5">
      <c r="D1877" s="1">
        <f t="shared" si="59"/>
        <v>626</v>
      </c>
      <c r="E1877" s="1">
        <f t="shared" si="58"/>
        <v>0</v>
      </c>
    </row>
    <row r="1878" spans="4:5">
      <c r="D1878" s="1">
        <f t="shared" si="59"/>
        <v>626</v>
      </c>
      <c r="E1878" s="1">
        <f t="shared" si="58"/>
        <v>0</v>
      </c>
    </row>
    <row r="1879" spans="4:5">
      <c r="D1879" s="1">
        <f t="shared" si="59"/>
        <v>627</v>
      </c>
      <c r="E1879" s="1">
        <f t="shared" si="58"/>
        <v>0</v>
      </c>
    </row>
    <row r="1880" spans="4:5">
      <c r="D1880" s="1">
        <f t="shared" si="59"/>
        <v>627</v>
      </c>
      <c r="E1880" s="1">
        <f t="shared" si="58"/>
        <v>0</v>
      </c>
    </row>
    <row r="1881" spans="4:5">
      <c r="D1881" s="1">
        <f t="shared" si="59"/>
        <v>627</v>
      </c>
      <c r="E1881" s="1">
        <f t="shared" si="58"/>
        <v>0</v>
      </c>
    </row>
    <row r="1882" spans="4:5">
      <c r="D1882" s="1">
        <f t="shared" si="59"/>
        <v>628</v>
      </c>
      <c r="E1882" s="1">
        <f t="shared" si="58"/>
        <v>0</v>
      </c>
    </row>
    <row r="1883" spans="4:5">
      <c r="D1883" s="1">
        <f t="shared" si="59"/>
        <v>628</v>
      </c>
      <c r="E1883" s="1">
        <f t="shared" si="58"/>
        <v>0</v>
      </c>
    </row>
    <row r="1884" spans="4:5">
      <c r="D1884" s="1">
        <f t="shared" si="59"/>
        <v>628</v>
      </c>
      <c r="E1884" s="1">
        <f t="shared" si="58"/>
        <v>0</v>
      </c>
    </row>
    <row r="1885" spans="4:5">
      <c r="D1885" s="1">
        <f t="shared" si="59"/>
        <v>629</v>
      </c>
      <c r="E1885" s="1">
        <f t="shared" si="58"/>
        <v>0</v>
      </c>
    </row>
    <row r="1886" spans="4:5">
      <c r="D1886" s="1">
        <f t="shared" si="59"/>
        <v>629</v>
      </c>
      <c r="E1886" s="1">
        <f t="shared" si="58"/>
        <v>0</v>
      </c>
    </row>
    <row r="1887" spans="4:5">
      <c r="D1887" s="1">
        <f t="shared" si="59"/>
        <v>629</v>
      </c>
      <c r="E1887" s="1">
        <f t="shared" si="58"/>
        <v>0</v>
      </c>
    </row>
    <row r="1888" spans="4:5">
      <c r="D1888" s="1">
        <f t="shared" si="59"/>
        <v>630</v>
      </c>
      <c r="E1888" s="1">
        <f t="shared" si="58"/>
        <v>0</v>
      </c>
    </row>
    <row r="1889" spans="4:5">
      <c r="D1889" s="1">
        <f t="shared" si="59"/>
        <v>630</v>
      </c>
      <c r="E1889" s="1">
        <f t="shared" si="58"/>
        <v>0</v>
      </c>
    </row>
    <row r="1890" spans="4:5">
      <c r="D1890" s="1">
        <f t="shared" si="59"/>
        <v>630</v>
      </c>
      <c r="E1890" s="1">
        <f t="shared" si="58"/>
        <v>0</v>
      </c>
    </row>
    <row r="1891" spans="4:5">
      <c r="D1891" s="1">
        <f t="shared" si="59"/>
        <v>631</v>
      </c>
      <c r="E1891" s="1">
        <f t="shared" si="58"/>
        <v>0</v>
      </c>
    </row>
    <row r="1892" spans="4:5">
      <c r="D1892" s="1">
        <f t="shared" si="59"/>
        <v>631</v>
      </c>
      <c r="E1892" s="1">
        <f t="shared" si="58"/>
        <v>0</v>
      </c>
    </row>
    <row r="1893" spans="4:5">
      <c r="D1893" s="1">
        <f t="shared" si="59"/>
        <v>631</v>
      </c>
      <c r="E1893" s="1">
        <f t="shared" si="58"/>
        <v>0</v>
      </c>
    </row>
    <row r="1894" spans="4:5">
      <c r="D1894" s="1">
        <f t="shared" si="59"/>
        <v>632</v>
      </c>
      <c r="E1894" s="1">
        <f t="shared" si="58"/>
        <v>0</v>
      </c>
    </row>
    <row r="1895" spans="4:5">
      <c r="D1895" s="1">
        <f t="shared" si="59"/>
        <v>632</v>
      </c>
      <c r="E1895" s="1">
        <f t="shared" si="58"/>
        <v>0</v>
      </c>
    </row>
    <row r="1896" spans="4:5">
      <c r="D1896" s="1">
        <f t="shared" si="59"/>
        <v>632</v>
      </c>
      <c r="E1896" s="1">
        <f t="shared" si="58"/>
        <v>0</v>
      </c>
    </row>
    <row r="1897" spans="4:5">
      <c r="D1897" s="1">
        <f t="shared" si="59"/>
        <v>633</v>
      </c>
      <c r="E1897" s="1">
        <f t="shared" si="58"/>
        <v>0</v>
      </c>
    </row>
    <row r="1898" spans="4:5">
      <c r="D1898" s="1">
        <f t="shared" si="59"/>
        <v>633</v>
      </c>
      <c r="E1898" s="1">
        <f t="shared" si="58"/>
        <v>0</v>
      </c>
    </row>
    <row r="1899" spans="4:5">
      <c r="D1899" s="1">
        <f t="shared" si="59"/>
        <v>633</v>
      </c>
      <c r="E1899" s="1">
        <f t="shared" si="58"/>
        <v>0</v>
      </c>
    </row>
    <row r="1900" spans="4:5">
      <c r="D1900" s="1">
        <f t="shared" si="59"/>
        <v>634</v>
      </c>
      <c r="E1900" s="1">
        <f t="shared" si="58"/>
        <v>0</v>
      </c>
    </row>
    <row r="1901" spans="4:5">
      <c r="D1901" s="1">
        <f t="shared" si="59"/>
        <v>634</v>
      </c>
      <c r="E1901" s="1">
        <f t="shared" si="58"/>
        <v>0</v>
      </c>
    </row>
    <row r="1902" spans="4:5">
      <c r="D1902" s="1">
        <f t="shared" si="59"/>
        <v>634</v>
      </c>
      <c r="E1902" s="1">
        <f t="shared" si="58"/>
        <v>0</v>
      </c>
    </row>
    <row r="1903" spans="4:5">
      <c r="D1903" s="1">
        <f t="shared" si="59"/>
        <v>635</v>
      </c>
      <c r="E1903" s="1">
        <f t="shared" si="58"/>
        <v>0</v>
      </c>
    </row>
    <row r="1904" spans="4:5">
      <c r="D1904" s="1">
        <f t="shared" si="59"/>
        <v>635</v>
      </c>
      <c r="E1904" s="1">
        <f t="shared" si="58"/>
        <v>0</v>
      </c>
    </row>
    <row r="1905" spans="4:5">
      <c r="D1905" s="1">
        <f t="shared" si="59"/>
        <v>635</v>
      </c>
      <c r="E1905" s="1">
        <f t="shared" si="58"/>
        <v>0</v>
      </c>
    </row>
    <row r="1906" spans="4:5">
      <c r="D1906" s="1">
        <f t="shared" si="59"/>
        <v>636</v>
      </c>
      <c r="E1906" s="1">
        <f t="shared" si="58"/>
        <v>0</v>
      </c>
    </row>
    <row r="1907" spans="4:5">
      <c r="D1907" s="1">
        <f t="shared" si="59"/>
        <v>636</v>
      </c>
      <c r="E1907" s="1">
        <f t="shared" si="58"/>
        <v>0</v>
      </c>
    </row>
    <row r="1908" spans="4:5">
      <c r="D1908" s="1">
        <f t="shared" si="59"/>
        <v>636</v>
      </c>
      <c r="E1908" s="1">
        <f t="shared" si="58"/>
        <v>0</v>
      </c>
    </row>
    <row r="1909" spans="4:5">
      <c r="D1909" s="1">
        <f t="shared" si="59"/>
        <v>637</v>
      </c>
      <c r="E1909" s="1">
        <f t="shared" si="58"/>
        <v>0</v>
      </c>
    </row>
    <row r="1910" spans="4:5">
      <c r="D1910" s="1">
        <f t="shared" si="59"/>
        <v>637</v>
      </c>
      <c r="E1910" s="1">
        <f t="shared" si="58"/>
        <v>0</v>
      </c>
    </row>
    <row r="1911" spans="4:5">
      <c r="D1911" s="1">
        <f t="shared" si="59"/>
        <v>637</v>
      </c>
      <c r="E1911" s="1">
        <f t="shared" si="58"/>
        <v>0</v>
      </c>
    </row>
    <row r="1912" spans="4:5">
      <c r="D1912" s="1">
        <f t="shared" si="59"/>
        <v>638</v>
      </c>
      <c r="E1912" s="1">
        <f t="shared" si="58"/>
        <v>0</v>
      </c>
    </row>
    <row r="1913" spans="4:5">
      <c r="D1913" s="1">
        <f t="shared" si="59"/>
        <v>638</v>
      </c>
      <c r="E1913" s="1">
        <f t="shared" si="58"/>
        <v>0</v>
      </c>
    </row>
    <row r="1914" spans="4:5">
      <c r="D1914" s="1">
        <f t="shared" si="59"/>
        <v>638</v>
      </c>
      <c r="E1914" s="1">
        <f t="shared" si="58"/>
        <v>0</v>
      </c>
    </row>
    <row r="1915" spans="4:5">
      <c r="D1915" s="1">
        <f t="shared" si="59"/>
        <v>639</v>
      </c>
      <c r="E1915" s="1">
        <f t="shared" si="58"/>
        <v>0</v>
      </c>
    </row>
    <row r="1916" spans="4:5">
      <c r="D1916" s="1">
        <f t="shared" si="59"/>
        <v>639</v>
      </c>
      <c r="E1916" s="1">
        <f t="shared" si="58"/>
        <v>0</v>
      </c>
    </row>
    <row r="1917" spans="4:5">
      <c r="D1917" s="1">
        <f t="shared" si="59"/>
        <v>639</v>
      </c>
      <c r="E1917" s="1">
        <f t="shared" si="58"/>
        <v>0</v>
      </c>
    </row>
    <row r="1918" spans="4:5">
      <c r="D1918" s="1">
        <f t="shared" si="59"/>
        <v>640</v>
      </c>
      <c r="E1918" s="1">
        <f t="shared" si="58"/>
        <v>0</v>
      </c>
    </row>
    <row r="1919" spans="4:5">
      <c r="D1919" s="1">
        <f t="shared" si="59"/>
        <v>640</v>
      </c>
      <c r="E1919" s="1">
        <f t="shared" si="58"/>
        <v>0</v>
      </c>
    </row>
    <row r="1920" spans="4:5">
      <c r="D1920" s="1">
        <f t="shared" si="59"/>
        <v>640</v>
      </c>
      <c r="E1920" s="1">
        <f t="shared" si="58"/>
        <v>0</v>
      </c>
    </row>
    <row r="1921" spans="4:5">
      <c r="D1921" s="1">
        <f t="shared" si="59"/>
        <v>641</v>
      </c>
      <c r="E1921" s="1">
        <f t="shared" ref="E1921:E1984" si="60">+VLOOKUP(D1921,$A$1:$B$1076,2,FALSE)</f>
        <v>0</v>
      </c>
    </row>
    <row r="1922" spans="4:5">
      <c r="D1922" s="1">
        <f t="shared" si="59"/>
        <v>641</v>
      </c>
      <c r="E1922" s="1">
        <f t="shared" si="60"/>
        <v>0</v>
      </c>
    </row>
    <row r="1923" spans="4:5">
      <c r="D1923" s="1">
        <f t="shared" si="59"/>
        <v>641</v>
      </c>
      <c r="E1923" s="1">
        <f t="shared" si="60"/>
        <v>0</v>
      </c>
    </row>
    <row r="1924" spans="4:5">
      <c r="D1924" s="1">
        <f t="shared" ref="D1924:D1987" si="61">+D1921+1</f>
        <v>642</v>
      </c>
      <c r="E1924" s="1">
        <f t="shared" si="60"/>
        <v>0</v>
      </c>
    </row>
    <row r="1925" spans="4:5">
      <c r="D1925" s="1">
        <f t="shared" si="61"/>
        <v>642</v>
      </c>
      <c r="E1925" s="1">
        <f t="shared" si="60"/>
        <v>0</v>
      </c>
    </row>
    <row r="1926" spans="4:5">
      <c r="D1926" s="1">
        <f t="shared" si="61"/>
        <v>642</v>
      </c>
      <c r="E1926" s="1">
        <f t="shared" si="60"/>
        <v>0</v>
      </c>
    </row>
    <row r="1927" spans="4:5">
      <c r="D1927" s="1">
        <f t="shared" si="61"/>
        <v>643</v>
      </c>
      <c r="E1927" s="1">
        <f t="shared" si="60"/>
        <v>0</v>
      </c>
    </row>
    <row r="1928" spans="4:5">
      <c r="D1928" s="1">
        <f t="shared" si="61"/>
        <v>643</v>
      </c>
      <c r="E1928" s="1">
        <f t="shared" si="60"/>
        <v>0</v>
      </c>
    </row>
    <row r="1929" spans="4:5">
      <c r="D1929" s="1">
        <f t="shared" si="61"/>
        <v>643</v>
      </c>
      <c r="E1929" s="1">
        <f t="shared" si="60"/>
        <v>0</v>
      </c>
    </row>
    <row r="1930" spans="4:5">
      <c r="D1930" s="1">
        <f t="shared" si="61"/>
        <v>644</v>
      </c>
      <c r="E1930" s="1">
        <f t="shared" si="60"/>
        <v>0</v>
      </c>
    </row>
    <row r="1931" spans="4:5">
      <c r="D1931" s="1">
        <f t="shared" si="61"/>
        <v>644</v>
      </c>
      <c r="E1931" s="1">
        <f t="shared" si="60"/>
        <v>0</v>
      </c>
    </row>
    <row r="1932" spans="4:5">
      <c r="D1932" s="1">
        <f t="shared" si="61"/>
        <v>644</v>
      </c>
      <c r="E1932" s="1">
        <f t="shared" si="60"/>
        <v>0</v>
      </c>
    </row>
    <row r="1933" spans="4:5">
      <c r="D1933" s="1">
        <f t="shared" si="61"/>
        <v>645</v>
      </c>
      <c r="E1933" s="1">
        <f t="shared" si="60"/>
        <v>0</v>
      </c>
    </row>
    <row r="1934" spans="4:5">
      <c r="D1934" s="1">
        <f t="shared" si="61"/>
        <v>645</v>
      </c>
      <c r="E1934" s="1">
        <f t="shared" si="60"/>
        <v>0</v>
      </c>
    </row>
    <row r="1935" spans="4:5">
      <c r="D1935" s="1">
        <f t="shared" si="61"/>
        <v>645</v>
      </c>
      <c r="E1935" s="1">
        <f t="shared" si="60"/>
        <v>0</v>
      </c>
    </row>
    <row r="1936" spans="4:5">
      <c r="D1936" s="1">
        <f t="shared" si="61"/>
        <v>646</v>
      </c>
      <c r="E1936" s="1">
        <f t="shared" si="60"/>
        <v>0</v>
      </c>
    </row>
    <row r="1937" spans="4:5">
      <c r="D1937" s="1">
        <f t="shared" si="61"/>
        <v>646</v>
      </c>
      <c r="E1937" s="1">
        <f t="shared" si="60"/>
        <v>0</v>
      </c>
    </row>
    <row r="1938" spans="4:5">
      <c r="D1938" s="1">
        <f t="shared" si="61"/>
        <v>646</v>
      </c>
      <c r="E1938" s="1">
        <f t="shared" si="60"/>
        <v>0</v>
      </c>
    </row>
    <row r="1939" spans="4:5">
      <c r="D1939" s="1">
        <f t="shared" si="61"/>
        <v>647</v>
      </c>
      <c r="E1939" s="1">
        <f t="shared" si="60"/>
        <v>0</v>
      </c>
    </row>
    <row r="1940" spans="4:5">
      <c r="D1940" s="1">
        <f t="shared" si="61"/>
        <v>647</v>
      </c>
      <c r="E1940" s="1">
        <f t="shared" si="60"/>
        <v>0</v>
      </c>
    </row>
    <row r="1941" spans="4:5">
      <c r="D1941" s="1">
        <f t="shared" si="61"/>
        <v>647</v>
      </c>
      <c r="E1941" s="1">
        <f t="shared" si="60"/>
        <v>0</v>
      </c>
    </row>
    <row r="1942" spans="4:5">
      <c r="D1942" s="1">
        <f t="shared" si="61"/>
        <v>648</v>
      </c>
      <c r="E1942" s="1">
        <f t="shared" si="60"/>
        <v>0</v>
      </c>
    </row>
    <row r="1943" spans="4:5">
      <c r="D1943" s="1">
        <f t="shared" si="61"/>
        <v>648</v>
      </c>
      <c r="E1943" s="1">
        <f t="shared" si="60"/>
        <v>0</v>
      </c>
    </row>
    <row r="1944" spans="4:5">
      <c r="D1944" s="1">
        <f t="shared" si="61"/>
        <v>648</v>
      </c>
      <c r="E1944" s="1">
        <f t="shared" si="60"/>
        <v>0</v>
      </c>
    </row>
    <row r="1945" spans="4:5">
      <c r="D1945" s="1">
        <f t="shared" si="61"/>
        <v>649</v>
      </c>
      <c r="E1945" s="1">
        <f t="shared" si="60"/>
        <v>0</v>
      </c>
    </row>
    <row r="1946" spans="4:5">
      <c r="D1946" s="1">
        <f t="shared" si="61"/>
        <v>649</v>
      </c>
      <c r="E1946" s="1">
        <f t="shared" si="60"/>
        <v>0</v>
      </c>
    </row>
    <row r="1947" spans="4:5">
      <c r="D1947" s="1">
        <f t="shared" si="61"/>
        <v>649</v>
      </c>
      <c r="E1947" s="1">
        <f t="shared" si="60"/>
        <v>0</v>
      </c>
    </row>
    <row r="1948" spans="4:5">
      <c r="D1948" s="1">
        <f t="shared" si="61"/>
        <v>650</v>
      </c>
      <c r="E1948" s="1">
        <f t="shared" si="60"/>
        <v>0</v>
      </c>
    </row>
    <row r="1949" spans="4:5">
      <c r="D1949" s="1">
        <f t="shared" si="61"/>
        <v>650</v>
      </c>
      <c r="E1949" s="1">
        <f t="shared" si="60"/>
        <v>0</v>
      </c>
    </row>
    <row r="1950" spans="4:5">
      <c r="D1950" s="1">
        <f t="shared" si="61"/>
        <v>650</v>
      </c>
      <c r="E1950" s="1">
        <f t="shared" si="60"/>
        <v>0</v>
      </c>
    </row>
    <row r="1951" spans="4:5">
      <c r="D1951" s="1">
        <f t="shared" si="61"/>
        <v>651</v>
      </c>
      <c r="E1951" s="1">
        <f t="shared" si="60"/>
        <v>0</v>
      </c>
    </row>
    <row r="1952" spans="4:5">
      <c r="D1952" s="1">
        <f t="shared" si="61"/>
        <v>651</v>
      </c>
      <c r="E1952" s="1">
        <f t="shared" si="60"/>
        <v>0</v>
      </c>
    </row>
    <row r="1953" spans="4:5">
      <c r="D1953" s="1">
        <f t="shared" si="61"/>
        <v>651</v>
      </c>
      <c r="E1953" s="1">
        <f t="shared" si="60"/>
        <v>0</v>
      </c>
    </row>
    <row r="1954" spans="4:5">
      <c r="D1954" s="1">
        <f t="shared" si="61"/>
        <v>652</v>
      </c>
      <c r="E1954" s="1">
        <f t="shared" si="60"/>
        <v>0</v>
      </c>
    </row>
    <row r="1955" spans="4:5">
      <c r="D1955" s="1">
        <f t="shared" si="61"/>
        <v>652</v>
      </c>
      <c r="E1955" s="1">
        <f t="shared" si="60"/>
        <v>0</v>
      </c>
    </row>
    <row r="1956" spans="4:5">
      <c r="D1956" s="1">
        <f t="shared" si="61"/>
        <v>652</v>
      </c>
      <c r="E1956" s="1">
        <f t="shared" si="60"/>
        <v>0</v>
      </c>
    </row>
    <row r="1957" spans="4:5">
      <c r="D1957" s="1">
        <f t="shared" si="61"/>
        <v>653</v>
      </c>
      <c r="E1957" s="1">
        <f t="shared" si="60"/>
        <v>0</v>
      </c>
    </row>
    <row r="1958" spans="4:5">
      <c r="D1958" s="1">
        <f t="shared" si="61"/>
        <v>653</v>
      </c>
      <c r="E1958" s="1">
        <f t="shared" si="60"/>
        <v>0</v>
      </c>
    </row>
    <row r="1959" spans="4:5">
      <c r="D1959" s="1">
        <f t="shared" si="61"/>
        <v>653</v>
      </c>
      <c r="E1959" s="1">
        <f t="shared" si="60"/>
        <v>0</v>
      </c>
    </row>
    <row r="1960" spans="4:5">
      <c r="D1960" s="1">
        <f t="shared" si="61"/>
        <v>654</v>
      </c>
      <c r="E1960" s="1">
        <f t="shared" si="60"/>
        <v>0</v>
      </c>
    </row>
    <row r="1961" spans="4:5">
      <c r="D1961" s="1">
        <f t="shared" si="61"/>
        <v>654</v>
      </c>
      <c r="E1961" s="1">
        <f t="shared" si="60"/>
        <v>0</v>
      </c>
    </row>
    <row r="1962" spans="4:5">
      <c r="D1962" s="1">
        <f t="shared" si="61"/>
        <v>654</v>
      </c>
      <c r="E1962" s="1">
        <f t="shared" si="60"/>
        <v>0</v>
      </c>
    </row>
    <row r="1963" spans="4:5">
      <c r="D1963" s="1">
        <f t="shared" si="61"/>
        <v>655</v>
      </c>
      <c r="E1963" s="1">
        <f t="shared" si="60"/>
        <v>0</v>
      </c>
    </row>
    <row r="1964" spans="4:5">
      <c r="D1964" s="1">
        <f t="shared" si="61"/>
        <v>655</v>
      </c>
      <c r="E1964" s="1">
        <f t="shared" si="60"/>
        <v>0</v>
      </c>
    </row>
    <row r="1965" spans="4:5">
      <c r="D1965" s="1">
        <f t="shared" si="61"/>
        <v>655</v>
      </c>
      <c r="E1965" s="1">
        <f t="shared" si="60"/>
        <v>0</v>
      </c>
    </row>
    <row r="1966" spans="4:5">
      <c r="D1966" s="1">
        <f t="shared" si="61"/>
        <v>656</v>
      </c>
      <c r="E1966" s="1">
        <f t="shared" si="60"/>
        <v>0</v>
      </c>
    </row>
    <row r="1967" spans="4:5">
      <c r="D1967" s="1">
        <f t="shared" si="61"/>
        <v>656</v>
      </c>
      <c r="E1967" s="1">
        <f t="shared" si="60"/>
        <v>0</v>
      </c>
    </row>
    <row r="1968" spans="4:5">
      <c r="D1968" s="1">
        <f t="shared" si="61"/>
        <v>656</v>
      </c>
      <c r="E1968" s="1">
        <f t="shared" si="60"/>
        <v>0</v>
      </c>
    </row>
    <row r="1969" spans="4:5">
      <c r="D1969" s="1">
        <f t="shared" si="61"/>
        <v>657</v>
      </c>
      <c r="E1969" s="1">
        <f t="shared" si="60"/>
        <v>0</v>
      </c>
    </row>
    <row r="1970" spans="4:5">
      <c r="D1970" s="1">
        <f t="shared" si="61"/>
        <v>657</v>
      </c>
      <c r="E1970" s="1">
        <f t="shared" si="60"/>
        <v>0</v>
      </c>
    </row>
    <row r="1971" spans="4:5">
      <c r="D1971" s="1">
        <f t="shared" si="61"/>
        <v>657</v>
      </c>
      <c r="E1971" s="1">
        <f t="shared" si="60"/>
        <v>0</v>
      </c>
    </row>
    <row r="1972" spans="4:5">
      <c r="D1972" s="1">
        <f t="shared" si="61"/>
        <v>658</v>
      </c>
      <c r="E1972" s="1">
        <f t="shared" si="60"/>
        <v>0</v>
      </c>
    </row>
    <row r="1973" spans="4:5">
      <c r="D1973" s="1">
        <f t="shared" si="61"/>
        <v>658</v>
      </c>
      <c r="E1973" s="1">
        <f t="shared" si="60"/>
        <v>0</v>
      </c>
    </row>
    <row r="1974" spans="4:5">
      <c r="D1974" s="1">
        <f t="shared" si="61"/>
        <v>658</v>
      </c>
      <c r="E1974" s="1">
        <f t="shared" si="60"/>
        <v>0</v>
      </c>
    </row>
    <row r="1975" spans="4:5">
      <c r="D1975" s="1">
        <f t="shared" si="61"/>
        <v>659</v>
      </c>
      <c r="E1975" s="1">
        <f t="shared" si="60"/>
        <v>0</v>
      </c>
    </row>
    <row r="1976" spans="4:5">
      <c r="D1976" s="1">
        <f t="shared" si="61"/>
        <v>659</v>
      </c>
      <c r="E1976" s="1">
        <f t="shared" si="60"/>
        <v>0</v>
      </c>
    </row>
    <row r="1977" spans="4:5">
      <c r="D1977" s="1">
        <f t="shared" si="61"/>
        <v>659</v>
      </c>
      <c r="E1977" s="1">
        <f t="shared" si="60"/>
        <v>0</v>
      </c>
    </row>
    <row r="1978" spans="4:5">
      <c r="D1978" s="1">
        <f t="shared" si="61"/>
        <v>660</v>
      </c>
      <c r="E1978" s="1">
        <f t="shared" si="60"/>
        <v>0</v>
      </c>
    </row>
    <row r="1979" spans="4:5">
      <c r="D1979" s="1">
        <f t="shared" si="61"/>
        <v>660</v>
      </c>
      <c r="E1979" s="1">
        <f t="shared" si="60"/>
        <v>0</v>
      </c>
    </row>
    <row r="1980" spans="4:5">
      <c r="D1980" s="1">
        <f t="shared" si="61"/>
        <v>660</v>
      </c>
      <c r="E1980" s="1">
        <f t="shared" si="60"/>
        <v>0</v>
      </c>
    </row>
    <row r="1981" spans="4:5">
      <c r="D1981" s="1">
        <f t="shared" si="61"/>
        <v>661</v>
      </c>
      <c r="E1981" s="1">
        <f t="shared" si="60"/>
        <v>0</v>
      </c>
    </row>
    <row r="1982" spans="4:5">
      <c r="D1982" s="1">
        <f t="shared" si="61"/>
        <v>661</v>
      </c>
      <c r="E1982" s="1">
        <f t="shared" si="60"/>
        <v>0</v>
      </c>
    </row>
    <row r="1983" spans="4:5">
      <c r="D1983" s="1">
        <f t="shared" si="61"/>
        <v>661</v>
      </c>
      <c r="E1983" s="1">
        <f t="shared" si="60"/>
        <v>0</v>
      </c>
    </row>
    <row r="1984" spans="4:5">
      <c r="D1984" s="1">
        <f t="shared" si="61"/>
        <v>662</v>
      </c>
      <c r="E1984" s="1">
        <f t="shared" si="60"/>
        <v>0</v>
      </c>
    </row>
    <row r="1985" spans="4:5">
      <c r="D1985" s="1">
        <f t="shared" si="61"/>
        <v>662</v>
      </c>
      <c r="E1985" s="1">
        <f t="shared" ref="E1985:E2048" si="62">+VLOOKUP(D1985,$A$1:$B$1076,2,FALSE)</f>
        <v>0</v>
      </c>
    </row>
    <row r="1986" spans="4:5">
      <c r="D1986" s="1">
        <f t="shared" si="61"/>
        <v>662</v>
      </c>
      <c r="E1986" s="1">
        <f t="shared" si="62"/>
        <v>0</v>
      </c>
    </row>
    <row r="1987" spans="4:5">
      <c r="D1987" s="1">
        <f t="shared" si="61"/>
        <v>663</v>
      </c>
      <c r="E1987" s="1">
        <f t="shared" si="62"/>
        <v>0</v>
      </c>
    </row>
    <row r="1988" spans="4:5">
      <c r="D1988" s="1">
        <f t="shared" ref="D1988:D2051" si="63">+D1985+1</f>
        <v>663</v>
      </c>
      <c r="E1988" s="1">
        <f t="shared" si="62"/>
        <v>0</v>
      </c>
    </row>
    <row r="1989" spans="4:5">
      <c r="D1989" s="1">
        <f t="shared" si="63"/>
        <v>663</v>
      </c>
      <c r="E1989" s="1">
        <f t="shared" si="62"/>
        <v>0</v>
      </c>
    </row>
    <row r="1990" spans="4:5">
      <c r="D1990" s="1">
        <f t="shared" si="63"/>
        <v>664</v>
      </c>
      <c r="E1990" s="1">
        <f t="shared" si="62"/>
        <v>0</v>
      </c>
    </row>
    <row r="1991" spans="4:5">
      <c r="D1991" s="1">
        <f t="shared" si="63"/>
        <v>664</v>
      </c>
      <c r="E1991" s="1">
        <f t="shared" si="62"/>
        <v>0</v>
      </c>
    </row>
    <row r="1992" spans="4:5">
      <c r="D1992" s="1">
        <f t="shared" si="63"/>
        <v>664</v>
      </c>
      <c r="E1992" s="1">
        <f t="shared" si="62"/>
        <v>0</v>
      </c>
    </row>
    <row r="1993" spans="4:5">
      <c r="D1993" s="1">
        <f t="shared" si="63"/>
        <v>665</v>
      </c>
      <c r="E1993" s="1">
        <f t="shared" si="62"/>
        <v>0</v>
      </c>
    </row>
    <row r="1994" spans="4:5">
      <c r="D1994" s="1">
        <f t="shared" si="63"/>
        <v>665</v>
      </c>
      <c r="E1994" s="1">
        <f t="shared" si="62"/>
        <v>0</v>
      </c>
    </row>
    <row r="1995" spans="4:5">
      <c r="D1995" s="1">
        <f t="shared" si="63"/>
        <v>665</v>
      </c>
      <c r="E1995" s="1">
        <f t="shared" si="62"/>
        <v>0</v>
      </c>
    </row>
    <row r="1996" spans="4:5">
      <c r="D1996" s="1">
        <f t="shared" si="63"/>
        <v>666</v>
      </c>
      <c r="E1996" s="1">
        <f t="shared" si="62"/>
        <v>0</v>
      </c>
    </row>
    <row r="1997" spans="4:5">
      <c r="D1997" s="1">
        <f t="shared" si="63"/>
        <v>666</v>
      </c>
      <c r="E1997" s="1">
        <f t="shared" si="62"/>
        <v>0</v>
      </c>
    </row>
    <row r="1998" spans="4:5">
      <c r="D1998" s="1">
        <f t="shared" si="63"/>
        <v>666</v>
      </c>
      <c r="E1998" s="1">
        <f t="shared" si="62"/>
        <v>0</v>
      </c>
    </row>
    <row r="1999" spans="4:5">
      <c r="D1999" s="1">
        <f t="shared" si="63"/>
        <v>667</v>
      </c>
      <c r="E1999" s="1">
        <f t="shared" si="62"/>
        <v>0</v>
      </c>
    </row>
    <row r="2000" spans="4:5">
      <c r="D2000" s="1">
        <f t="shared" si="63"/>
        <v>667</v>
      </c>
      <c r="E2000" s="1">
        <f t="shared" si="62"/>
        <v>0</v>
      </c>
    </row>
    <row r="2001" spans="4:5">
      <c r="D2001" s="1">
        <f t="shared" si="63"/>
        <v>667</v>
      </c>
      <c r="E2001" s="1">
        <f t="shared" si="62"/>
        <v>0</v>
      </c>
    </row>
    <row r="2002" spans="4:5">
      <c r="D2002" s="1">
        <f t="shared" si="63"/>
        <v>668</v>
      </c>
      <c r="E2002" s="1">
        <f t="shared" si="62"/>
        <v>0</v>
      </c>
    </row>
    <row r="2003" spans="4:5">
      <c r="D2003" s="1">
        <f t="shared" si="63"/>
        <v>668</v>
      </c>
      <c r="E2003" s="1">
        <f t="shared" si="62"/>
        <v>0</v>
      </c>
    </row>
    <row r="2004" spans="4:5">
      <c r="D2004" s="1">
        <f t="shared" si="63"/>
        <v>668</v>
      </c>
      <c r="E2004" s="1">
        <f t="shared" si="62"/>
        <v>0</v>
      </c>
    </row>
    <row r="2005" spans="4:5">
      <c r="D2005" s="1">
        <f t="shared" si="63"/>
        <v>669</v>
      </c>
      <c r="E2005" s="1">
        <f t="shared" si="62"/>
        <v>0</v>
      </c>
    </row>
    <row r="2006" spans="4:5">
      <c r="D2006" s="1">
        <f t="shared" si="63"/>
        <v>669</v>
      </c>
      <c r="E2006" s="1">
        <f t="shared" si="62"/>
        <v>0</v>
      </c>
    </row>
    <row r="2007" spans="4:5">
      <c r="D2007" s="1">
        <f t="shared" si="63"/>
        <v>669</v>
      </c>
      <c r="E2007" s="1">
        <f t="shared" si="62"/>
        <v>0</v>
      </c>
    </row>
    <row r="2008" spans="4:5">
      <c r="D2008" s="1">
        <f t="shared" si="63"/>
        <v>670</v>
      </c>
      <c r="E2008" s="1">
        <f t="shared" si="62"/>
        <v>0</v>
      </c>
    </row>
    <row r="2009" spans="4:5">
      <c r="D2009" s="1">
        <f t="shared" si="63"/>
        <v>670</v>
      </c>
      <c r="E2009" s="1">
        <f t="shared" si="62"/>
        <v>0</v>
      </c>
    </row>
    <row r="2010" spans="4:5">
      <c r="D2010" s="1">
        <f t="shared" si="63"/>
        <v>670</v>
      </c>
      <c r="E2010" s="1">
        <f t="shared" si="62"/>
        <v>0</v>
      </c>
    </row>
    <row r="2011" spans="4:5">
      <c r="D2011" s="1">
        <f t="shared" si="63"/>
        <v>671</v>
      </c>
      <c r="E2011" s="1">
        <f t="shared" si="62"/>
        <v>0</v>
      </c>
    </row>
    <row r="2012" spans="4:5">
      <c r="D2012" s="1">
        <f t="shared" si="63"/>
        <v>671</v>
      </c>
      <c r="E2012" s="1">
        <f t="shared" si="62"/>
        <v>0</v>
      </c>
    </row>
    <row r="2013" spans="4:5">
      <c r="D2013" s="1">
        <f t="shared" si="63"/>
        <v>671</v>
      </c>
      <c r="E2013" s="1">
        <f t="shared" si="62"/>
        <v>0</v>
      </c>
    </row>
    <row r="2014" spans="4:5">
      <c r="D2014" s="1">
        <f t="shared" si="63"/>
        <v>672</v>
      </c>
      <c r="E2014" s="1">
        <f t="shared" si="62"/>
        <v>0</v>
      </c>
    </row>
    <row r="2015" spans="4:5">
      <c r="D2015" s="1">
        <f t="shared" si="63"/>
        <v>672</v>
      </c>
      <c r="E2015" s="1">
        <f t="shared" si="62"/>
        <v>0</v>
      </c>
    </row>
    <row r="2016" spans="4:5">
      <c r="D2016" s="1">
        <f t="shared" si="63"/>
        <v>672</v>
      </c>
      <c r="E2016" s="1">
        <f t="shared" si="62"/>
        <v>0</v>
      </c>
    </row>
    <row r="2017" spans="4:5">
      <c r="D2017" s="1">
        <f t="shared" si="63"/>
        <v>673</v>
      </c>
      <c r="E2017" s="1">
        <f t="shared" si="62"/>
        <v>0</v>
      </c>
    </row>
    <row r="2018" spans="4:5">
      <c r="D2018" s="1">
        <f t="shared" si="63"/>
        <v>673</v>
      </c>
      <c r="E2018" s="1">
        <f t="shared" si="62"/>
        <v>0</v>
      </c>
    </row>
    <row r="2019" spans="4:5">
      <c r="D2019" s="1">
        <f t="shared" si="63"/>
        <v>673</v>
      </c>
      <c r="E2019" s="1">
        <f t="shared" si="62"/>
        <v>0</v>
      </c>
    </row>
    <row r="2020" spans="4:5">
      <c r="D2020" s="1">
        <f t="shared" si="63"/>
        <v>674</v>
      </c>
      <c r="E2020" s="1">
        <f t="shared" si="62"/>
        <v>0</v>
      </c>
    </row>
    <row r="2021" spans="4:5">
      <c r="D2021" s="1">
        <f t="shared" si="63"/>
        <v>674</v>
      </c>
      <c r="E2021" s="1">
        <f t="shared" si="62"/>
        <v>0</v>
      </c>
    </row>
    <row r="2022" spans="4:5">
      <c r="D2022" s="1">
        <f t="shared" si="63"/>
        <v>674</v>
      </c>
      <c r="E2022" s="1">
        <f t="shared" si="62"/>
        <v>0</v>
      </c>
    </row>
    <row r="2023" spans="4:5">
      <c r="D2023" s="1">
        <f t="shared" si="63"/>
        <v>675</v>
      </c>
      <c r="E2023" s="1">
        <f t="shared" si="62"/>
        <v>0</v>
      </c>
    </row>
    <row r="2024" spans="4:5">
      <c r="D2024" s="1">
        <f t="shared" si="63"/>
        <v>675</v>
      </c>
      <c r="E2024" s="1">
        <f t="shared" si="62"/>
        <v>0</v>
      </c>
    </row>
    <row r="2025" spans="4:5">
      <c r="D2025" s="1">
        <f t="shared" si="63"/>
        <v>675</v>
      </c>
      <c r="E2025" s="1">
        <f t="shared" si="62"/>
        <v>0</v>
      </c>
    </row>
    <row r="2026" spans="4:5">
      <c r="D2026" s="1">
        <f t="shared" si="63"/>
        <v>676</v>
      </c>
      <c r="E2026" s="1">
        <f t="shared" si="62"/>
        <v>0</v>
      </c>
    </row>
    <row r="2027" spans="4:5">
      <c r="D2027" s="1">
        <f t="shared" si="63"/>
        <v>676</v>
      </c>
      <c r="E2027" s="1">
        <f t="shared" si="62"/>
        <v>0</v>
      </c>
    </row>
    <row r="2028" spans="4:5">
      <c r="D2028" s="1">
        <f t="shared" si="63"/>
        <v>676</v>
      </c>
      <c r="E2028" s="1">
        <f t="shared" si="62"/>
        <v>0</v>
      </c>
    </row>
    <row r="2029" spans="4:5">
      <c r="D2029" s="1">
        <f t="shared" si="63"/>
        <v>677</v>
      </c>
      <c r="E2029" s="1">
        <f t="shared" si="62"/>
        <v>0</v>
      </c>
    </row>
    <row r="2030" spans="4:5">
      <c r="D2030" s="1">
        <f t="shared" si="63"/>
        <v>677</v>
      </c>
      <c r="E2030" s="1">
        <f t="shared" si="62"/>
        <v>0</v>
      </c>
    </row>
    <row r="2031" spans="4:5">
      <c r="D2031" s="1">
        <f t="shared" si="63"/>
        <v>677</v>
      </c>
      <c r="E2031" s="1">
        <f t="shared" si="62"/>
        <v>0</v>
      </c>
    </row>
    <row r="2032" spans="4:5">
      <c r="D2032" s="1">
        <f t="shared" si="63"/>
        <v>678</v>
      </c>
      <c r="E2032" s="1">
        <f t="shared" si="62"/>
        <v>0</v>
      </c>
    </row>
    <row r="2033" spans="4:5">
      <c r="D2033" s="1">
        <f t="shared" si="63"/>
        <v>678</v>
      </c>
      <c r="E2033" s="1">
        <f t="shared" si="62"/>
        <v>0</v>
      </c>
    </row>
    <row r="2034" spans="4:5">
      <c r="D2034" s="1">
        <f t="shared" si="63"/>
        <v>678</v>
      </c>
      <c r="E2034" s="1">
        <f t="shared" si="62"/>
        <v>0</v>
      </c>
    </row>
    <row r="2035" spans="4:5">
      <c r="D2035" s="1">
        <f t="shared" si="63"/>
        <v>679</v>
      </c>
      <c r="E2035" s="1">
        <f t="shared" si="62"/>
        <v>0</v>
      </c>
    </row>
    <row r="2036" spans="4:5">
      <c r="D2036" s="1">
        <f t="shared" si="63"/>
        <v>679</v>
      </c>
      <c r="E2036" s="1">
        <f t="shared" si="62"/>
        <v>0</v>
      </c>
    </row>
    <row r="2037" spans="4:5">
      <c r="D2037" s="1">
        <f t="shared" si="63"/>
        <v>679</v>
      </c>
      <c r="E2037" s="1">
        <f t="shared" si="62"/>
        <v>0</v>
      </c>
    </row>
    <row r="2038" spans="4:5">
      <c r="D2038" s="1">
        <f t="shared" si="63"/>
        <v>680</v>
      </c>
      <c r="E2038" s="1">
        <f t="shared" si="62"/>
        <v>0</v>
      </c>
    </row>
    <row r="2039" spans="4:5">
      <c r="D2039" s="1">
        <f t="shared" si="63"/>
        <v>680</v>
      </c>
      <c r="E2039" s="1">
        <f t="shared" si="62"/>
        <v>0</v>
      </c>
    </row>
    <row r="2040" spans="4:5">
      <c r="D2040" s="1">
        <f t="shared" si="63"/>
        <v>680</v>
      </c>
      <c r="E2040" s="1">
        <f t="shared" si="62"/>
        <v>0</v>
      </c>
    </row>
    <row r="2041" spans="4:5">
      <c r="D2041" s="1">
        <f t="shared" si="63"/>
        <v>681</v>
      </c>
      <c r="E2041" s="1">
        <f t="shared" si="62"/>
        <v>0</v>
      </c>
    </row>
    <row r="2042" spans="4:5">
      <c r="D2042" s="1">
        <f t="shared" si="63"/>
        <v>681</v>
      </c>
      <c r="E2042" s="1">
        <f t="shared" si="62"/>
        <v>0</v>
      </c>
    </row>
    <row r="2043" spans="4:5">
      <c r="D2043" s="1">
        <f t="shared" si="63"/>
        <v>681</v>
      </c>
      <c r="E2043" s="1">
        <f t="shared" si="62"/>
        <v>0</v>
      </c>
    </row>
    <row r="2044" spans="4:5">
      <c r="D2044" s="1">
        <f t="shared" si="63"/>
        <v>682</v>
      </c>
      <c r="E2044" s="1">
        <f t="shared" si="62"/>
        <v>0</v>
      </c>
    </row>
    <row r="2045" spans="4:5">
      <c r="D2045" s="1">
        <f t="shared" si="63"/>
        <v>682</v>
      </c>
      <c r="E2045" s="1">
        <f t="shared" si="62"/>
        <v>0</v>
      </c>
    </row>
    <row r="2046" spans="4:5">
      <c r="D2046" s="1">
        <f t="shared" si="63"/>
        <v>682</v>
      </c>
      <c r="E2046" s="1">
        <f t="shared" si="62"/>
        <v>0</v>
      </c>
    </row>
    <row r="2047" spans="4:5">
      <c r="D2047" s="1">
        <f t="shared" si="63"/>
        <v>683</v>
      </c>
      <c r="E2047" s="1">
        <f t="shared" si="62"/>
        <v>0</v>
      </c>
    </row>
    <row r="2048" spans="4:5">
      <c r="D2048" s="1">
        <f t="shared" si="63"/>
        <v>683</v>
      </c>
      <c r="E2048" s="1">
        <f t="shared" si="62"/>
        <v>0</v>
      </c>
    </row>
    <row r="2049" spans="4:5">
      <c r="D2049" s="1">
        <f t="shared" si="63"/>
        <v>683</v>
      </c>
      <c r="E2049" s="1">
        <f t="shared" ref="E2049:E2112" si="64">+VLOOKUP(D2049,$A$1:$B$1076,2,FALSE)</f>
        <v>0</v>
      </c>
    </row>
    <row r="2050" spans="4:5">
      <c r="D2050" s="1">
        <f t="shared" si="63"/>
        <v>684</v>
      </c>
      <c r="E2050" s="1">
        <f t="shared" si="64"/>
        <v>0</v>
      </c>
    </row>
    <row r="2051" spans="4:5">
      <c r="D2051" s="1">
        <f t="shared" si="63"/>
        <v>684</v>
      </c>
      <c r="E2051" s="1">
        <f t="shared" si="64"/>
        <v>0</v>
      </c>
    </row>
    <row r="2052" spans="4:5">
      <c r="D2052" s="1">
        <f t="shared" ref="D2052:D2115" si="65">+D2049+1</f>
        <v>684</v>
      </c>
      <c r="E2052" s="1">
        <f t="shared" si="64"/>
        <v>0</v>
      </c>
    </row>
    <row r="2053" spans="4:5">
      <c r="D2053" s="1">
        <f t="shared" si="65"/>
        <v>685</v>
      </c>
      <c r="E2053" s="1">
        <f t="shared" si="64"/>
        <v>0</v>
      </c>
    </row>
    <row r="2054" spans="4:5">
      <c r="D2054" s="1">
        <f t="shared" si="65"/>
        <v>685</v>
      </c>
      <c r="E2054" s="1">
        <f t="shared" si="64"/>
        <v>0</v>
      </c>
    </row>
    <row r="2055" spans="4:5">
      <c r="D2055" s="1">
        <f t="shared" si="65"/>
        <v>685</v>
      </c>
      <c r="E2055" s="1">
        <f t="shared" si="64"/>
        <v>0</v>
      </c>
    </row>
    <row r="2056" spans="4:5">
      <c r="D2056" s="1">
        <f t="shared" si="65"/>
        <v>686</v>
      </c>
      <c r="E2056" s="1">
        <f t="shared" si="64"/>
        <v>0</v>
      </c>
    </row>
    <row r="2057" spans="4:5">
      <c r="D2057" s="1">
        <f t="shared" si="65"/>
        <v>686</v>
      </c>
      <c r="E2057" s="1">
        <f t="shared" si="64"/>
        <v>0</v>
      </c>
    </row>
    <row r="2058" spans="4:5">
      <c r="D2058" s="1">
        <f t="shared" si="65"/>
        <v>686</v>
      </c>
      <c r="E2058" s="1">
        <f t="shared" si="64"/>
        <v>0</v>
      </c>
    </row>
    <row r="2059" spans="4:5">
      <c r="D2059" s="1">
        <f t="shared" si="65"/>
        <v>687</v>
      </c>
      <c r="E2059" s="1">
        <f t="shared" si="64"/>
        <v>0</v>
      </c>
    </row>
    <row r="2060" spans="4:5">
      <c r="D2060" s="1">
        <f t="shared" si="65"/>
        <v>687</v>
      </c>
      <c r="E2060" s="1">
        <f t="shared" si="64"/>
        <v>0</v>
      </c>
    </row>
    <row r="2061" spans="4:5">
      <c r="D2061" s="1">
        <f t="shared" si="65"/>
        <v>687</v>
      </c>
      <c r="E2061" s="1">
        <f t="shared" si="64"/>
        <v>0</v>
      </c>
    </row>
    <row r="2062" spans="4:5">
      <c r="D2062" s="1">
        <f t="shared" si="65"/>
        <v>688</v>
      </c>
      <c r="E2062" s="1">
        <f t="shared" si="64"/>
        <v>0</v>
      </c>
    </row>
    <row r="2063" spans="4:5">
      <c r="D2063" s="1">
        <f t="shared" si="65"/>
        <v>688</v>
      </c>
      <c r="E2063" s="1">
        <f t="shared" si="64"/>
        <v>0</v>
      </c>
    </row>
    <row r="2064" spans="4:5">
      <c r="D2064" s="1">
        <f t="shared" si="65"/>
        <v>688</v>
      </c>
      <c r="E2064" s="1">
        <f t="shared" si="64"/>
        <v>0</v>
      </c>
    </row>
    <row r="2065" spans="4:5">
      <c r="D2065" s="1">
        <f t="shared" si="65"/>
        <v>689</v>
      </c>
      <c r="E2065" s="1">
        <f t="shared" si="64"/>
        <v>0</v>
      </c>
    </row>
    <row r="2066" spans="4:5">
      <c r="D2066" s="1">
        <f t="shared" si="65"/>
        <v>689</v>
      </c>
      <c r="E2066" s="1">
        <f t="shared" si="64"/>
        <v>0</v>
      </c>
    </row>
    <row r="2067" spans="4:5">
      <c r="D2067" s="1">
        <f t="shared" si="65"/>
        <v>689</v>
      </c>
      <c r="E2067" s="1">
        <f t="shared" si="64"/>
        <v>0</v>
      </c>
    </row>
    <row r="2068" spans="4:5">
      <c r="D2068" s="1">
        <f t="shared" si="65"/>
        <v>690</v>
      </c>
      <c r="E2068" s="1">
        <f t="shared" si="64"/>
        <v>0</v>
      </c>
    </row>
    <row r="2069" spans="4:5">
      <c r="D2069" s="1">
        <f t="shared" si="65"/>
        <v>690</v>
      </c>
      <c r="E2069" s="1">
        <f t="shared" si="64"/>
        <v>0</v>
      </c>
    </row>
    <row r="2070" spans="4:5">
      <c r="D2070" s="1">
        <f t="shared" si="65"/>
        <v>690</v>
      </c>
      <c r="E2070" s="1">
        <f t="shared" si="64"/>
        <v>0</v>
      </c>
    </row>
    <row r="2071" spans="4:5">
      <c r="D2071" s="1">
        <f t="shared" si="65"/>
        <v>691</v>
      </c>
      <c r="E2071" s="1">
        <f t="shared" si="64"/>
        <v>0</v>
      </c>
    </row>
    <row r="2072" spans="4:5">
      <c r="D2072" s="1">
        <f t="shared" si="65"/>
        <v>691</v>
      </c>
      <c r="E2072" s="1">
        <f t="shared" si="64"/>
        <v>0</v>
      </c>
    </row>
    <row r="2073" spans="4:5">
      <c r="D2073" s="1">
        <f t="shared" si="65"/>
        <v>691</v>
      </c>
      <c r="E2073" s="1">
        <f t="shared" si="64"/>
        <v>0</v>
      </c>
    </row>
    <row r="2074" spans="4:5">
      <c r="D2074" s="1">
        <f t="shared" si="65"/>
        <v>692</v>
      </c>
      <c r="E2074" s="1">
        <f t="shared" si="64"/>
        <v>0</v>
      </c>
    </row>
    <row r="2075" spans="4:5">
      <c r="D2075" s="1">
        <f t="shared" si="65"/>
        <v>692</v>
      </c>
      <c r="E2075" s="1">
        <f t="shared" si="64"/>
        <v>0</v>
      </c>
    </row>
    <row r="2076" spans="4:5">
      <c r="D2076" s="1">
        <f t="shared" si="65"/>
        <v>692</v>
      </c>
      <c r="E2076" s="1">
        <f t="shared" si="64"/>
        <v>0</v>
      </c>
    </row>
    <row r="2077" spans="4:5">
      <c r="D2077" s="1">
        <f t="shared" si="65"/>
        <v>693</v>
      </c>
      <c r="E2077" s="1">
        <f t="shared" si="64"/>
        <v>0</v>
      </c>
    </row>
    <row r="2078" spans="4:5">
      <c r="D2078" s="1">
        <f t="shared" si="65"/>
        <v>693</v>
      </c>
      <c r="E2078" s="1">
        <f t="shared" si="64"/>
        <v>0</v>
      </c>
    </row>
    <row r="2079" spans="4:5">
      <c r="D2079" s="1">
        <f t="shared" si="65"/>
        <v>693</v>
      </c>
      <c r="E2079" s="1">
        <f t="shared" si="64"/>
        <v>0</v>
      </c>
    </row>
    <row r="2080" spans="4:5">
      <c r="D2080" s="1">
        <f t="shared" si="65"/>
        <v>694</v>
      </c>
      <c r="E2080" s="1">
        <f t="shared" si="64"/>
        <v>0</v>
      </c>
    </row>
    <row r="2081" spans="4:5">
      <c r="D2081" s="1">
        <f t="shared" si="65"/>
        <v>694</v>
      </c>
      <c r="E2081" s="1">
        <f t="shared" si="64"/>
        <v>0</v>
      </c>
    </row>
    <row r="2082" spans="4:5">
      <c r="D2082" s="1">
        <f t="shared" si="65"/>
        <v>694</v>
      </c>
      <c r="E2082" s="1">
        <f t="shared" si="64"/>
        <v>0</v>
      </c>
    </row>
    <row r="2083" spans="4:5">
      <c r="D2083" s="1">
        <f t="shared" si="65"/>
        <v>695</v>
      </c>
      <c r="E2083" s="1">
        <f t="shared" si="64"/>
        <v>0</v>
      </c>
    </row>
    <row r="2084" spans="4:5">
      <c r="D2084" s="1">
        <f t="shared" si="65"/>
        <v>695</v>
      </c>
      <c r="E2084" s="1">
        <f t="shared" si="64"/>
        <v>0</v>
      </c>
    </row>
    <row r="2085" spans="4:5">
      <c r="D2085" s="1">
        <f t="shared" si="65"/>
        <v>695</v>
      </c>
      <c r="E2085" s="1">
        <f t="shared" si="64"/>
        <v>0</v>
      </c>
    </row>
    <row r="2086" spans="4:5">
      <c r="D2086" s="1">
        <f t="shared" si="65"/>
        <v>696</v>
      </c>
      <c r="E2086" s="1">
        <f t="shared" si="64"/>
        <v>0</v>
      </c>
    </row>
    <row r="2087" spans="4:5">
      <c r="D2087" s="1">
        <f t="shared" si="65"/>
        <v>696</v>
      </c>
      <c r="E2087" s="1">
        <f t="shared" si="64"/>
        <v>0</v>
      </c>
    </row>
    <row r="2088" spans="4:5">
      <c r="D2088" s="1">
        <f t="shared" si="65"/>
        <v>696</v>
      </c>
      <c r="E2088" s="1">
        <f t="shared" si="64"/>
        <v>0</v>
      </c>
    </row>
    <row r="2089" spans="4:5">
      <c r="D2089" s="1">
        <f t="shared" si="65"/>
        <v>697</v>
      </c>
      <c r="E2089" s="1">
        <f t="shared" si="64"/>
        <v>0</v>
      </c>
    </row>
    <row r="2090" spans="4:5">
      <c r="D2090" s="1">
        <f t="shared" si="65"/>
        <v>697</v>
      </c>
      <c r="E2090" s="1">
        <f t="shared" si="64"/>
        <v>0</v>
      </c>
    </row>
    <row r="2091" spans="4:5">
      <c r="D2091" s="1">
        <f t="shared" si="65"/>
        <v>697</v>
      </c>
      <c r="E2091" s="1">
        <f t="shared" si="64"/>
        <v>0</v>
      </c>
    </row>
    <row r="2092" spans="4:5">
      <c r="D2092" s="1">
        <f t="shared" si="65"/>
        <v>698</v>
      </c>
      <c r="E2092" s="1">
        <f t="shared" si="64"/>
        <v>0</v>
      </c>
    </row>
    <row r="2093" spans="4:5">
      <c r="D2093" s="1">
        <f t="shared" si="65"/>
        <v>698</v>
      </c>
      <c r="E2093" s="1">
        <f t="shared" si="64"/>
        <v>0</v>
      </c>
    </row>
    <row r="2094" spans="4:5">
      <c r="D2094" s="1">
        <f t="shared" si="65"/>
        <v>698</v>
      </c>
      <c r="E2094" s="1">
        <f t="shared" si="64"/>
        <v>0</v>
      </c>
    </row>
    <row r="2095" spans="4:5">
      <c r="D2095" s="1">
        <f t="shared" si="65"/>
        <v>699</v>
      </c>
      <c r="E2095" s="1">
        <f t="shared" si="64"/>
        <v>0</v>
      </c>
    </row>
    <row r="2096" spans="4:5">
      <c r="D2096" s="1">
        <f t="shared" si="65"/>
        <v>699</v>
      </c>
      <c r="E2096" s="1">
        <f t="shared" si="64"/>
        <v>0</v>
      </c>
    </row>
    <row r="2097" spans="4:5">
      <c r="D2097" s="1">
        <f t="shared" si="65"/>
        <v>699</v>
      </c>
      <c r="E2097" s="1">
        <f t="shared" si="64"/>
        <v>0</v>
      </c>
    </row>
    <row r="2098" spans="4:5">
      <c r="D2098" s="1">
        <f t="shared" si="65"/>
        <v>700</v>
      </c>
      <c r="E2098" s="1">
        <f t="shared" si="64"/>
        <v>0</v>
      </c>
    </row>
    <row r="2099" spans="4:5">
      <c r="D2099" s="1">
        <f t="shared" si="65"/>
        <v>700</v>
      </c>
      <c r="E2099" s="1">
        <f t="shared" si="64"/>
        <v>0</v>
      </c>
    </row>
    <row r="2100" spans="4:5">
      <c r="D2100" s="1">
        <f t="shared" si="65"/>
        <v>700</v>
      </c>
      <c r="E2100" s="1">
        <f t="shared" si="64"/>
        <v>0</v>
      </c>
    </row>
    <row r="2101" spans="4:5">
      <c r="D2101" s="1">
        <f t="shared" si="65"/>
        <v>701</v>
      </c>
      <c r="E2101" s="1">
        <f t="shared" si="64"/>
        <v>0</v>
      </c>
    </row>
    <row r="2102" spans="4:5">
      <c r="D2102" s="1">
        <f t="shared" si="65"/>
        <v>701</v>
      </c>
      <c r="E2102" s="1">
        <f t="shared" si="64"/>
        <v>0</v>
      </c>
    </row>
    <row r="2103" spans="4:5">
      <c r="D2103" s="1">
        <f t="shared" si="65"/>
        <v>701</v>
      </c>
      <c r="E2103" s="1">
        <f t="shared" si="64"/>
        <v>0</v>
      </c>
    </row>
    <row r="2104" spans="4:5">
      <c r="D2104" s="1">
        <f t="shared" si="65"/>
        <v>702</v>
      </c>
      <c r="E2104" s="1">
        <f t="shared" si="64"/>
        <v>0</v>
      </c>
    </row>
    <row r="2105" spans="4:5">
      <c r="D2105" s="1">
        <f t="shared" si="65"/>
        <v>702</v>
      </c>
      <c r="E2105" s="1">
        <f t="shared" si="64"/>
        <v>0</v>
      </c>
    </row>
    <row r="2106" spans="4:5">
      <c r="D2106" s="1">
        <f t="shared" si="65"/>
        <v>702</v>
      </c>
      <c r="E2106" s="1">
        <f t="shared" si="64"/>
        <v>0</v>
      </c>
    </row>
    <row r="2107" spans="4:5">
      <c r="D2107" s="1">
        <f t="shared" si="65"/>
        <v>703</v>
      </c>
      <c r="E2107" s="1">
        <f t="shared" si="64"/>
        <v>0</v>
      </c>
    </row>
    <row r="2108" spans="4:5">
      <c r="D2108" s="1">
        <f t="shared" si="65"/>
        <v>703</v>
      </c>
      <c r="E2108" s="1">
        <f t="shared" si="64"/>
        <v>0</v>
      </c>
    </row>
    <row r="2109" spans="4:5">
      <c r="D2109" s="1">
        <f t="shared" si="65"/>
        <v>703</v>
      </c>
      <c r="E2109" s="1">
        <f t="shared" si="64"/>
        <v>0</v>
      </c>
    </row>
    <row r="2110" spans="4:5">
      <c r="D2110" s="1">
        <f t="shared" si="65"/>
        <v>704</v>
      </c>
      <c r="E2110" s="1">
        <f t="shared" si="64"/>
        <v>0</v>
      </c>
    </row>
    <row r="2111" spans="4:5">
      <c r="D2111" s="1">
        <f t="shared" si="65"/>
        <v>704</v>
      </c>
      <c r="E2111" s="1">
        <f t="shared" si="64"/>
        <v>0</v>
      </c>
    </row>
    <row r="2112" spans="4:5">
      <c r="D2112" s="1">
        <f t="shared" si="65"/>
        <v>704</v>
      </c>
      <c r="E2112" s="1">
        <f t="shared" si="64"/>
        <v>0</v>
      </c>
    </row>
    <row r="2113" spans="4:5">
      <c r="D2113" s="1">
        <f t="shared" si="65"/>
        <v>705</v>
      </c>
      <c r="E2113" s="1">
        <f t="shared" ref="E2113:E2176" si="66">+VLOOKUP(D2113,$A$1:$B$1076,2,FALSE)</f>
        <v>0</v>
      </c>
    </row>
    <row r="2114" spans="4:5">
      <c r="D2114" s="1">
        <f t="shared" si="65"/>
        <v>705</v>
      </c>
      <c r="E2114" s="1">
        <f t="shared" si="66"/>
        <v>0</v>
      </c>
    </row>
    <row r="2115" spans="4:5">
      <c r="D2115" s="1">
        <f t="shared" si="65"/>
        <v>705</v>
      </c>
      <c r="E2115" s="1">
        <f t="shared" si="66"/>
        <v>0</v>
      </c>
    </row>
    <row r="2116" spans="4:5">
      <c r="D2116" s="1">
        <f t="shared" ref="D2116:D2179" si="67">+D2113+1</f>
        <v>706</v>
      </c>
      <c r="E2116" s="1">
        <f t="shared" si="66"/>
        <v>0</v>
      </c>
    </row>
    <row r="2117" spans="4:5">
      <c r="D2117" s="1">
        <f t="shared" si="67"/>
        <v>706</v>
      </c>
      <c r="E2117" s="1">
        <f t="shared" si="66"/>
        <v>0</v>
      </c>
    </row>
    <row r="2118" spans="4:5">
      <c r="D2118" s="1">
        <f t="shared" si="67"/>
        <v>706</v>
      </c>
      <c r="E2118" s="1">
        <f t="shared" si="66"/>
        <v>0</v>
      </c>
    </row>
    <row r="2119" spans="4:5">
      <c r="D2119" s="1">
        <f t="shared" si="67"/>
        <v>707</v>
      </c>
      <c r="E2119" s="1">
        <f t="shared" si="66"/>
        <v>0</v>
      </c>
    </row>
    <row r="2120" spans="4:5">
      <c r="D2120" s="1">
        <f t="shared" si="67"/>
        <v>707</v>
      </c>
      <c r="E2120" s="1">
        <f t="shared" si="66"/>
        <v>0</v>
      </c>
    </row>
    <row r="2121" spans="4:5">
      <c r="D2121" s="1">
        <f t="shared" si="67"/>
        <v>707</v>
      </c>
      <c r="E2121" s="1">
        <f t="shared" si="66"/>
        <v>0</v>
      </c>
    </row>
    <row r="2122" spans="4:5">
      <c r="D2122" s="1">
        <f t="shared" si="67"/>
        <v>708</v>
      </c>
      <c r="E2122" s="1">
        <f t="shared" si="66"/>
        <v>0</v>
      </c>
    </row>
    <row r="2123" spans="4:5">
      <c r="D2123" s="1">
        <f t="shared" si="67"/>
        <v>708</v>
      </c>
      <c r="E2123" s="1">
        <f t="shared" si="66"/>
        <v>0</v>
      </c>
    </row>
    <row r="2124" spans="4:5">
      <c r="D2124" s="1">
        <f t="shared" si="67"/>
        <v>708</v>
      </c>
      <c r="E2124" s="1">
        <f t="shared" si="66"/>
        <v>0</v>
      </c>
    </row>
    <row r="2125" spans="4:5">
      <c r="D2125" s="1">
        <f t="shared" si="67"/>
        <v>709</v>
      </c>
      <c r="E2125" s="1">
        <f t="shared" si="66"/>
        <v>0</v>
      </c>
    </row>
    <row r="2126" spans="4:5">
      <c r="D2126" s="1">
        <f t="shared" si="67"/>
        <v>709</v>
      </c>
      <c r="E2126" s="1">
        <f t="shared" si="66"/>
        <v>0</v>
      </c>
    </row>
    <row r="2127" spans="4:5">
      <c r="D2127" s="1">
        <f t="shared" si="67"/>
        <v>709</v>
      </c>
      <c r="E2127" s="1">
        <f t="shared" si="66"/>
        <v>0</v>
      </c>
    </row>
    <row r="2128" spans="4:5">
      <c r="D2128" s="1">
        <f t="shared" si="67"/>
        <v>710</v>
      </c>
      <c r="E2128" s="1">
        <f t="shared" si="66"/>
        <v>0</v>
      </c>
    </row>
    <row r="2129" spans="4:5">
      <c r="D2129" s="1">
        <f t="shared" si="67"/>
        <v>710</v>
      </c>
      <c r="E2129" s="1">
        <f t="shared" si="66"/>
        <v>0</v>
      </c>
    </row>
    <row r="2130" spans="4:5">
      <c r="D2130" s="1">
        <f t="shared" si="67"/>
        <v>710</v>
      </c>
      <c r="E2130" s="1">
        <f t="shared" si="66"/>
        <v>0</v>
      </c>
    </row>
    <row r="2131" spans="4:5">
      <c r="D2131" s="1">
        <f t="shared" si="67"/>
        <v>711</v>
      </c>
      <c r="E2131" s="1">
        <f t="shared" si="66"/>
        <v>0</v>
      </c>
    </row>
    <row r="2132" spans="4:5">
      <c r="D2132" s="1">
        <f t="shared" si="67"/>
        <v>711</v>
      </c>
      <c r="E2132" s="1">
        <f t="shared" si="66"/>
        <v>0</v>
      </c>
    </row>
    <row r="2133" spans="4:5">
      <c r="D2133" s="1">
        <f t="shared" si="67"/>
        <v>711</v>
      </c>
      <c r="E2133" s="1">
        <f t="shared" si="66"/>
        <v>0</v>
      </c>
    </row>
    <row r="2134" spans="4:5">
      <c r="D2134" s="1">
        <f t="shared" si="67"/>
        <v>712</v>
      </c>
      <c r="E2134" s="1">
        <f t="shared" si="66"/>
        <v>0</v>
      </c>
    </row>
    <row r="2135" spans="4:5">
      <c r="D2135" s="1">
        <f t="shared" si="67"/>
        <v>712</v>
      </c>
      <c r="E2135" s="1">
        <f t="shared" si="66"/>
        <v>0</v>
      </c>
    </row>
    <row r="2136" spans="4:5">
      <c r="D2136" s="1">
        <f t="shared" si="67"/>
        <v>712</v>
      </c>
      <c r="E2136" s="1">
        <f t="shared" si="66"/>
        <v>0</v>
      </c>
    </row>
    <row r="2137" spans="4:5">
      <c r="D2137" s="1">
        <f t="shared" si="67"/>
        <v>713</v>
      </c>
      <c r="E2137" s="1">
        <f t="shared" si="66"/>
        <v>0</v>
      </c>
    </row>
    <row r="2138" spans="4:5">
      <c r="D2138" s="1">
        <f t="shared" si="67"/>
        <v>713</v>
      </c>
      <c r="E2138" s="1">
        <f t="shared" si="66"/>
        <v>0</v>
      </c>
    </row>
    <row r="2139" spans="4:5">
      <c r="D2139" s="1">
        <f t="shared" si="67"/>
        <v>713</v>
      </c>
      <c r="E2139" s="1">
        <f t="shared" si="66"/>
        <v>0</v>
      </c>
    </row>
    <row r="2140" spans="4:5">
      <c r="D2140" s="1">
        <f t="shared" si="67"/>
        <v>714</v>
      </c>
      <c r="E2140" s="1">
        <f t="shared" si="66"/>
        <v>0</v>
      </c>
    </row>
    <row r="2141" spans="4:5">
      <c r="D2141" s="1">
        <f t="shared" si="67"/>
        <v>714</v>
      </c>
      <c r="E2141" s="1">
        <f t="shared" si="66"/>
        <v>0</v>
      </c>
    </row>
    <row r="2142" spans="4:5">
      <c r="D2142" s="1">
        <f t="shared" si="67"/>
        <v>714</v>
      </c>
      <c r="E2142" s="1">
        <f t="shared" si="66"/>
        <v>0</v>
      </c>
    </row>
    <row r="2143" spans="4:5">
      <c r="D2143" s="1">
        <f t="shared" si="67"/>
        <v>715</v>
      </c>
      <c r="E2143" s="1">
        <f t="shared" si="66"/>
        <v>0</v>
      </c>
    </row>
    <row r="2144" spans="4:5">
      <c r="D2144" s="1">
        <f t="shared" si="67"/>
        <v>715</v>
      </c>
      <c r="E2144" s="1">
        <f t="shared" si="66"/>
        <v>0</v>
      </c>
    </row>
    <row r="2145" spans="4:5">
      <c r="D2145" s="1">
        <f t="shared" si="67"/>
        <v>715</v>
      </c>
      <c r="E2145" s="1">
        <f t="shared" si="66"/>
        <v>0</v>
      </c>
    </row>
    <row r="2146" spans="4:5">
      <c r="D2146" s="1">
        <f t="shared" si="67"/>
        <v>716</v>
      </c>
      <c r="E2146" s="1">
        <f t="shared" si="66"/>
        <v>0</v>
      </c>
    </row>
    <row r="2147" spans="4:5">
      <c r="D2147" s="1">
        <f t="shared" si="67"/>
        <v>716</v>
      </c>
      <c r="E2147" s="1">
        <f t="shared" si="66"/>
        <v>0</v>
      </c>
    </row>
    <row r="2148" spans="4:5">
      <c r="D2148" s="1">
        <f t="shared" si="67"/>
        <v>716</v>
      </c>
      <c r="E2148" s="1">
        <f t="shared" si="66"/>
        <v>0</v>
      </c>
    </row>
    <row r="2149" spans="4:5">
      <c r="D2149" s="1">
        <f t="shared" si="67"/>
        <v>717</v>
      </c>
      <c r="E2149" s="1">
        <f t="shared" si="66"/>
        <v>0</v>
      </c>
    </row>
    <row r="2150" spans="4:5">
      <c r="D2150" s="1">
        <f t="shared" si="67"/>
        <v>717</v>
      </c>
      <c r="E2150" s="1">
        <f t="shared" si="66"/>
        <v>0</v>
      </c>
    </row>
    <row r="2151" spans="4:5">
      <c r="D2151" s="1">
        <f t="shared" si="67"/>
        <v>717</v>
      </c>
      <c r="E2151" s="1">
        <f t="shared" si="66"/>
        <v>0</v>
      </c>
    </row>
    <row r="2152" spans="4:5">
      <c r="D2152" s="1">
        <f t="shared" si="67"/>
        <v>718</v>
      </c>
      <c r="E2152" s="1">
        <f t="shared" si="66"/>
        <v>0</v>
      </c>
    </row>
    <row r="2153" spans="4:5">
      <c r="D2153" s="1">
        <f t="shared" si="67"/>
        <v>718</v>
      </c>
      <c r="E2153" s="1">
        <f t="shared" si="66"/>
        <v>0</v>
      </c>
    </row>
    <row r="2154" spans="4:5">
      <c r="D2154" s="1">
        <f t="shared" si="67"/>
        <v>718</v>
      </c>
      <c r="E2154" s="1">
        <f t="shared" si="66"/>
        <v>0</v>
      </c>
    </row>
    <row r="2155" spans="4:5">
      <c r="D2155" s="1">
        <f t="shared" si="67"/>
        <v>719</v>
      </c>
      <c r="E2155" s="1">
        <f t="shared" si="66"/>
        <v>0</v>
      </c>
    </row>
    <row r="2156" spans="4:5">
      <c r="D2156" s="1">
        <f t="shared" si="67"/>
        <v>719</v>
      </c>
      <c r="E2156" s="1">
        <f t="shared" si="66"/>
        <v>0</v>
      </c>
    </row>
    <row r="2157" spans="4:5">
      <c r="D2157" s="1">
        <f t="shared" si="67"/>
        <v>719</v>
      </c>
      <c r="E2157" s="1">
        <f t="shared" si="66"/>
        <v>0</v>
      </c>
    </row>
    <row r="2158" spans="4:5">
      <c r="D2158" s="1">
        <f t="shared" si="67"/>
        <v>720</v>
      </c>
      <c r="E2158" s="1">
        <f t="shared" si="66"/>
        <v>0</v>
      </c>
    </row>
    <row r="2159" spans="4:5">
      <c r="D2159" s="1">
        <f t="shared" si="67"/>
        <v>720</v>
      </c>
      <c r="E2159" s="1">
        <f t="shared" si="66"/>
        <v>0</v>
      </c>
    </row>
    <row r="2160" spans="4:5">
      <c r="D2160" s="1">
        <f t="shared" si="67"/>
        <v>720</v>
      </c>
      <c r="E2160" s="1">
        <f t="shared" si="66"/>
        <v>0</v>
      </c>
    </row>
    <row r="2161" spans="4:5">
      <c r="D2161" s="1">
        <f t="shared" si="67"/>
        <v>721</v>
      </c>
      <c r="E2161" s="1">
        <f t="shared" si="66"/>
        <v>0</v>
      </c>
    </row>
    <row r="2162" spans="4:5">
      <c r="D2162" s="1">
        <f t="shared" si="67"/>
        <v>721</v>
      </c>
      <c r="E2162" s="1">
        <f t="shared" si="66"/>
        <v>0</v>
      </c>
    </row>
    <row r="2163" spans="4:5">
      <c r="D2163" s="1">
        <f t="shared" si="67"/>
        <v>721</v>
      </c>
      <c r="E2163" s="1">
        <f t="shared" si="66"/>
        <v>0</v>
      </c>
    </row>
    <row r="2164" spans="4:5">
      <c r="D2164" s="1">
        <f t="shared" si="67"/>
        <v>722</v>
      </c>
      <c r="E2164" s="1">
        <f t="shared" si="66"/>
        <v>0</v>
      </c>
    </row>
    <row r="2165" spans="4:5">
      <c r="D2165" s="1">
        <f t="shared" si="67"/>
        <v>722</v>
      </c>
      <c r="E2165" s="1">
        <f t="shared" si="66"/>
        <v>0</v>
      </c>
    </row>
    <row r="2166" spans="4:5">
      <c r="D2166" s="1">
        <f t="shared" si="67"/>
        <v>722</v>
      </c>
      <c r="E2166" s="1">
        <f t="shared" si="66"/>
        <v>0</v>
      </c>
    </row>
    <row r="2167" spans="4:5">
      <c r="D2167" s="1">
        <f t="shared" si="67"/>
        <v>723</v>
      </c>
      <c r="E2167" s="1">
        <f t="shared" si="66"/>
        <v>0</v>
      </c>
    </row>
    <row r="2168" spans="4:5">
      <c r="D2168" s="1">
        <f t="shared" si="67"/>
        <v>723</v>
      </c>
      <c r="E2168" s="1">
        <f t="shared" si="66"/>
        <v>0</v>
      </c>
    </row>
    <row r="2169" spans="4:5">
      <c r="D2169" s="1">
        <f t="shared" si="67"/>
        <v>723</v>
      </c>
      <c r="E2169" s="1">
        <f t="shared" si="66"/>
        <v>0</v>
      </c>
    </row>
    <row r="2170" spans="4:5">
      <c r="D2170" s="1">
        <f t="shared" si="67"/>
        <v>724</v>
      </c>
      <c r="E2170" s="1">
        <f t="shared" si="66"/>
        <v>0</v>
      </c>
    </row>
    <row r="2171" spans="4:5">
      <c r="D2171" s="1">
        <f t="shared" si="67"/>
        <v>724</v>
      </c>
      <c r="E2171" s="1">
        <f t="shared" si="66"/>
        <v>0</v>
      </c>
    </row>
    <row r="2172" spans="4:5">
      <c r="D2172" s="1">
        <f t="shared" si="67"/>
        <v>724</v>
      </c>
      <c r="E2172" s="1">
        <f t="shared" si="66"/>
        <v>0</v>
      </c>
    </row>
    <row r="2173" spans="4:5">
      <c r="D2173" s="1">
        <f t="shared" si="67"/>
        <v>725</v>
      </c>
      <c r="E2173" s="1">
        <f t="shared" si="66"/>
        <v>0</v>
      </c>
    </row>
    <row r="2174" spans="4:5">
      <c r="D2174" s="1">
        <f t="shared" si="67"/>
        <v>725</v>
      </c>
      <c r="E2174" s="1">
        <f t="shared" si="66"/>
        <v>0</v>
      </c>
    </row>
    <row r="2175" spans="4:5">
      <c r="D2175" s="1">
        <f t="shared" si="67"/>
        <v>725</v>
      </c>
      <c r="E2175" s="1">
        <f t="shared" si="66"/>
        <v>0</v>
      </c>
    </row>
    <row r="2176" spans="4:5">
      <c r="D2176" s="1">
        <f t="shared" si="67"/>
        <v>726</v>
      </c>
      <c r="E2176" s="1">
        <f t="shared" si="66"/>
        <v>0</v>
      </c>
    </row>
    <row r="2177" spans="4:5">
      <c r="D2177" s="1">
        <f t="shared" si="67"/>
        <v>726</v>
      </c>
      <c r="E2177" s="1">
        <f t="shared" ref="E2177:E2240" si="68">+VLOOKUP(D2177,$A$1:$B$1076,2,FALSE)</f>
        <v>0</v>
      </c>
    </row>
    <row r="2178" spans="4:5">
      <c r="D2178" s="1">
        <f t="shared" si="67"/>
        <v>726</v>
      </c>
      <c r="E2178" s="1">
        <f t="shared" si="68"/>
        <v>0</v>
      </c>
    </row>
    <row r="2179" spans="4:5">
      <c r="D2179" s="1">
        <f t="shared" si="67"/>
        <v>727</v>
      </c>
      <c r="E2179" s="1">
        <f t="shared" si="68"/>
        <v>0</v>
      </c>
    </row>
    <row r="2180" spans="4:5">
      <c r="D2180" s="1">
        <f t="shared" ref="D2180:D2243" si="69">+D2177+1</f>
        <v>727</v>
      </c>
      <c r="E2180" s="1">
        <f t="shared" si="68"/>
        <v>0</v>
      </c>
    </row>
    <row r="2181" spans="4:5">
      <c r="D2181" s="1">
        <f t="shared" si="69"/>
        <v>727</v>
      </c>
      <c r="E2181" s="1">
        <f t="shared" si="68"/>
        <v>0</v>
      </c>
    </row>
    <row r="2182" spans="4:5">
      <c r="D2182" s="1">
        <f t="shared" si="69"/>
        <v>728</v>
      </c>
      <c r="E2182" s="1">
        <f t="shared" si="68"/>
        <v>0</v>
      </c>
    </row>
    <row r="2183" spans="4:5">
      <c r="D2183" s="1">
        <f t="shared" si="69"/>
        <v>728</v>
      </c>
      <c r="E2183" s="1">
        <f t="shared" si="68"/>
        <v>0</v>
      </c>
    </row>
    <row r="2184" spans="4:5">
      <c r="D2184" s="1">
        <f t="shared" si="69"/>
        <v>728</v>
      </c>
      <c r="E2184" s="1">
        <f t="shared" si="68"/>
        <v>0</v>
      </c>
    </row>
    <row r="2185" spans="4:5">
      <c r="D2185" s="1">
        <f t="shared" si="69"/>
        <v>729</v>
      </c>
      <c r="E2185" s="1">
        <f t="shared" si="68"/>
        <v>0</v>
      </c>
    </row>
    <row r="2186" spans="4:5">
      <c r="D2186" s="1">
        <f t="shared" si="69"/>
        <v>729</v>
      </c>
      <c r="E2186" s="1">
        <f t="shared" si="68"/>
        <v>0</v>
      </c>
    </row>
    <row r="2187" spans="4:5">
      <c r="D2187" s="1">
        <f t="shared" si="69"/>
        <v>729</v>
      </c>
      <c r="E2187" s="1">
        <f t="shared" si="68"/>
        <v>0</v>
      </c>
    </row>
    <row r="2188" spans="4:5">
      <c r="D2188" s="1">
        <f t="shared" si="69"/>
        <v>730</v>
      </c>
      <c r="E2188" s="1">
        <f t="shared" si="68"/>
        <v>0</v>
      </c>
    </row>
    <row r="2189" spans="4:5">
      <c r="D2189" s="1">
        <f t="shared" si="69"/>
        <v>730</v>
      </c>
      <c r="E2189" s="1">
        <f t="shared" si="68"/>
        <v>0</v>
      </c>
    </row>
    <row r="2190" spans="4:5">
      <c r="D2190" s="1">
        <f t="shared" si="69"/>
        <v>730</v>
      </c>
      <c r="E2190" s="1">
        <f t="shared" si="68"/>
        <v>0</v>
      </c>
    </row>
    <row r="2191" spans="4:5">
      <c r="D2191" s="1">
        <f t="shared" si="69"/>
        <v>731</v>
      </c>
      <c r="E2191" s="1">
        <f t="shared" si="68"/>
        <v>0</v>
      </c>
    </row>
    <row r="2192" spans="4:5">
      <c r="D2192" s="1">
        <f t="shared" si="69"/>
        <v>731</v>
      </c>
      <c r="E2192" s="1">
        <f t="shared" si="68"/>
        <v>0</v>
      </c>
    </row>
    <row r="2193" spans="4:5">
      <c r="D2193" s="1">
        <f t="shared" si="69"/>
        <v>731</v>
      </c>
      <c r="E2193" s="1">
        <f t="shared" si="68"/>
        <v>0</v>
      </c>
    </row>
    <row r="2194" spans="4:5">
      <c r="D2194" s="1">
        <f t="shared" si="69"/>
        <v>732</v>
      </c>
      <c r="E2194" s="1">
        <f t="shared" si="68"/>
        <v>0</v>
      </c>
    </row>
    <row r="2195" spans="4:5">
      <c r="D2195" s="1">
        <f t="shared" si="69"/>
        <v>732</v>
      </c>
      <c r="E2195" s="1">
        <f t="shared" si="68"/>
        <v>0</v>
      </c>
    </row>
    <row r="2196" spans="4:5">
      <c r="D2196" s="1">
        <f t="shared" si="69"/>
        <v>732</v>
      </c>
      <c r="E2196" s="1">
        <f t="shared" si="68"/>
        <v>0</v>
      </c>
    </row>
    <row r="2197" spans="4:5">
      <c r="D2197" s="1">
        <f t="shared" si="69"/>
        <v>733</v>
      </c>
      <c r="E2197" s="1">
        <f t="shared" si="68"/>
        <v>0</v>
      </c>
    </row>
    <row r="2198" spans="4:5">
      <c r="D2198" s="1">
        <f t="shared" si="69"/>
        <v>733</v>
      </c>
      <c r="E2198" s="1">
        <f t="shared" si="68"/>
        <v>0</v>
      </c>
    </row>
    <row r="2199" spans="4:5">
      <c r="D2199" s="1">
        <f t="shared" si="69"/>
        <v>733</v>
      </c>
      <c r="E2199" s="1">
        <f t="shared" si="68"/>
        <v>0</v>
      </c>
    </row>
    <row r="2200" spans="4:5">
      <c r="D2200" s="1">
        <f t="shared" si="69"/>
        <v>734</v>
      </c>
      <c r="E2200" s="1">
        <f t="shared" si="68"/>
        <v>0</v>
      </c>
    </row>
    <row r="2201" spans="4:5">
      <c r="D2201" s="1">
        <f t="shared" si="69"/>
        <v>734</v>
      </c>
      <c r="E2201" s="1">
        <f t="shared" si="68"/>
        <v>0</v>
      </c>
    </row>
    <row r="2202" spans="4:5">
      <c r="D2202" s="1">
        <f t="shared" si="69"/>
        <v>734</v>
      </c>
      <c r="E2202" s="1">
        <f t="shared" si="68"/>
        <v>0</v>
      </c>
    </row>
    <row r="2203" spans="4:5">
      <c r="D2203" s="1">
        <f t="shared" si="69"/>
        <v>735</v>
      </c>
      <c r="E2203" s="1">
        <f t="shared" si="68"/>
        <v>0</v>
      </c>
    </row>
    <row r="2204" spans="4:5">
      <c r="D2204" s="1">
        <f t="shared" si="69"/>
        <v>735</v>
      </c>
      <c r="E2204" s="1">
        <f t="shared" si="68"/>
        <v>0</v>
      </c>
    </row>
    <row r="2205" spans="4:5">
      <c r="D2205" s="1">
        <f t="shared" si="69"/>
        <v>735</v>
      </c>
      <c r="E2205" s="1">
        <f t="shared" si="68"/>
        <v>0</v>
      </c>
    </row>
    <row r="2206" spans="4:5">
      <c r="D2206" s="1">
        <f t="shared" si="69"/>
        <v>736</v>
      </c>
      <c r="E2206" s="1">
        <f t="shared" si="68"/>
        <v>0</v>
      </c>
    </row>
    <row r="2207" spans="4:5">
      <c r="D2207" s="1">
        <f t="shared" si="69"/>
        <v>736</v>
      </c>
      <c r="E2207" s="1">
        <f t="shared" si="68"/>
        <v>0</v>
      </c>
    </row>
    <row r="2208" spans="4:5">
      <c r="D2208" s="1">
        <f t="shared" si="69"/>
        <v>736</v>
      </c>
      <c r="E2208" s="1">
        <f t="shared" si="68"/>
        <v>0</v>
      </c>
    </row>
    <row r="2209" spans="4:5">
      <c r="D2209" s="1">
        <f t="shared" si="69"/>
        <v>737</v>
      </c>
      <c r="E2209" s="1">
        <f t="shared" si="68"/>
        <v>0</v>
      </c>
    </row>
    <row r="2210" spans="4:5">
      <c r="D2210" s="1">
        <f t="shared" si="69"/>
        <v>737</v>
      </c>
      <c r="E2210" s="1">
        <f t="shared" si="68"/>
        <v>0</v>
      </c>
    </row>
    <row r="2211" spans="4:5">
      <c r="D2211" s="1">
        <f t="shared" si="69"/>
        <v>737</v>
      </c>
      <c r="E2211" s="1">
        <f t="shared" si="68"/>
        <v>0</v>
      </c>
    </row>
    <row r="2212" spans="4:5">
      <c r="D2212" s="1">
        <f t="shared" si="69"/>
        <v>738</v>
      </c>
      <c r="E2212" s="1">
        <f t="shared" si="68"/>
        <v>0</v>
      </c>
    </row>
    <row r="2213" spans="4:5">
      <c r="D2213" s="1">
        <f t="shared" si="69"/>
        <v>738</v>
      </c>
      <c r="E2213" s="1">
        <f t="shared" si="68"/>
        <v>0</v>
      </c>
    </row>
    <row r="2214" spans="4:5">
      <c r="D2214" s="1">
        <f t="shared" si="69"/>
        <v>738</v>
      </c>
      <c r="E2214" s="1">
        <f t="shared" si="68"/>
        <v>0</v>
      </c>
    </row>
    <row r="2215" spans="4:5">
      <c r="D2215" s="1">
        <f t="shared" si="69"/>
        <v>739</v>
      </c>
      <c r="E2215" s="1">
        <f t="shared" si="68"/>
        <v>0</v>
      </c>
    </row>
    <row r="2216" spans="4:5">
      <c r="D2216" s="1">
        <f t="shared" si="69"/>
        <v>739</v>
      </c>
      <c r="E2216" s="1">
        <f t="shared" si="68"/>
        <v>0</v>
      </c>
    </row>
    <row r="2217" spans="4:5">
      <c r="D2217" s="1">
        <f t="shared" si="69"/>
        <v>739</v>
      </c>
      <c r="E2217" s="1">
        <f t="shared" si="68"/>
        <v>0</v>
      </c>
    </row>
    <row r="2218" spans="4:5">
      <c r="D2218" s="1">
        <f t="shared" si="69"/>
        <v>740</v>
      </c>
      <c r="E2218" s="1">
        <f t="shared" si="68"/>
        <v>0</v>
      </c>
    </row>
    <row r="2219" spans="4:5">
      <c r="D2219" s="1">
        <f t="shared" si="69"/>
        <v>740</v>
      </c>
      <c r="E2219" s="1">
        <f t="shared" si="68"/>
        <v>0</v>
      </c>
    </row>
    <row r="2220" spans="4:5">
      <c r="D2220" s="1">
        <f t="shared" si="69"/>
        <v>740</v>
      </c>
      <c r="E2220" s="1">
        <f t="shared" si="68"/>
        <v>0</v>
      </c>
    </row>
    <row r="2221" spans="4:5">
      <c r="D2221" s="1">
        <f t="shared" si="69"/>
        <v>741</v>
      </c>
      <c r="E2221" s="1">
        <f t="shared" si="68"/>
        <v>0</v>
      </c>
    </row>
    <row r="2222" spans="4:5">
      <c r="D2222" s="1">
        <f t="shared" si="69"/>
        <v>741</v>
      </c>
      <c r="E2222" s="1">
        <f t="shared" si="68"/>
        <v>0</v>
      </c>
    </row>
    <row r="2223" spans="4:5">
      <c r="D2223" s="1">
        <f t="shared" si="69"/>
        <v>741</v>
      </c>
      <c r="E2223" s="1">
        <f t="shared" si="68"/>
        <v>0</v>
      </c>
    </row>
    <row r="2224" spans="4:5">
      <c r="D2224" s="1">
        <f t="shared" si="69"/>
        <v>742</v>
      </c>
      <c r="E2224" s="1">
        <f t="shared" si="68"/>
        <v>0</v>
      </c>
    </row>
    <row r="2225" spans="4:5">
      <c r="D2225" s="1">
        <f t="shared" si="69"/>
        <v>742</v>
      </c>
      <c r="E2225" s="1">
        <f t="shared" si="68"/>
        <v>0</v>
      </c>
    </row>
    <row r="2226" spans="4:5">
      <c r="D2226" s="1">
        <f t="shared" si="69"/>
        <v>742</v>
      </c>
      <c r="E2226" s="1">
        <f t="shared" si="68"/>
        <v>0</v>
      </c>
    </row>
    <row r="2227" spans="4:5">
      <c r="D2227" s="1">
        <f t="shared" si="69"/>
        <v>743</v>
      </c>
      <c r="E2227" s="1">
        <f t="shared" si="68"/>
        <v>0</v>
      </c>
    </row>
    <row r="2228" spans="4:5">
      <c r="D2228" s="1">
        <f t="shared" si="69"/>
        <v>743</v>
      </c>
      <c r="E2228" s="1">
        <f t="shared" si="68"/>
        <v>0</v>
      </c>
    </row>
    <row r="2229" spans="4:5">
      <c r="D2229" s="1">
        <f t="shared" si="69"/>
        <v>743</v>
      </c>
      <c r="E2229" s="1">
        <f t="shared" si="68"/>
        <v>0</v>
      </c>
    </row>
    <row r="2230" spans="4:5">
      <c r="D2230" s="1">
        <f t="shared" si="69"/>
        <v>744</v>
      </c>
      <c r="E2230" s="1">
        <f t="shared" si="68"/>
        <v>0</v>
      </c>
    </row>
    <row r="2231" spans="4:5">
      <c r="D2231" s="1">
        <f t="shared" si="69"/>
        <v>744</v>
      </c>
      <c r="E2231" s="1">
        <f t="shared" si="68"/>
        <v>0</v>
      </c>
    </row>
    <row r="2232" spans="4:5">
      <c r="D2232" s="1">
        <f t="shared" si="69"/>
        <v>744</v>
      </c>
      <c r="E2232" s="1">
        <f t="shared" si="68"/>
        <v>0</v>
      </c>
    </row>
    <row r="2233" spans="4:5">
      <c r="D2233" s="1">
        <f t="shared" si="69"/>
        <v>745</v>
      </c>
      <c r="E2233" s="1">
        <f t="shared" si="68"/>
        <v>0</v>
      </c>
    </row>
    <row r="2234" spans="4:5">
      <c r="D2234" s="1">
        <f t="shared" si="69"/>
        <v>745</v>
      </c>
      <c r="E2234" s="1">
        <f t="shared" si="68"/>
        <v>0</v>
      </c>
    </row>
    <row r="2235" spans="4:5">
      <c r="D2235" s="1">
        <f t="shared" si="69"/>
        <v>745</v>
      </c>
      <c r="E2235" s="1">
        <f t="shared" si="68"/>
        <v>0</v>
      </c>
    </row>
    <row r="2236" spans="4:5">
      <c r="D2236" s="1">
        <f t="shared" si="69"/>
        <v>746</v>
      </c>
      <c r="E2236" s="1">
        <f t="shared" si="68"/>
        <v>0</v>
      </c>
    </row>
    <row r="2237" spans="4:5">
      <c r="D2237" s="1">
        <f t="shared" si="69"/>
        <v>746</v>
      </c>
      <c r="E2237" s="1">
        <f t="shared" si="68"/>
        <v>0</v>
      </c>
    </row>
    <row r="2238" spans="4:5">
      <c r="D2238" s="1">
        <f t="shared" si="69"/>
        <v>746</v>
      </c>
      <c r="E2238" s="1">
        <f t="shared" si="68"/>
        <v>0</v>
      </c>
    </row>
    <row r="2239" spans="4:5">
      <c r="D2239" s="1">
        <f t="shared" si="69"/>
        <v>747</v>
      </c>
      <c r="E2239" s="1">
        <f t="shared" si="68"/>
        <v>0</v>
      </c>
    </row>
    <row r="2240" spans="4:5">
      <c r="D2240" s="1">
        <f t="shared" si="69"/>
        <v>747</v>
      </c>
      <c r="E2240" s="1">
        <f t="shared" si="68"/>
        <v>0</v>
      </c>
    </row>
    <row r="2241" spans="4:5">
      <c r="D2241" s="1">
        <f t="shared" si="69"/>
        <v>747</v>
      </c>
      <c r="E2241" s="1">
        <f t="shared" ref="E2241:E2304" si="70">+VLOOKUP(D2241,$A$1:$B$1076,2,FALSE)</f>
        <v>0</v>
      </c>
    </row>
    <row r="2242" spans="4:5">
      <c r="D2242" s="1">
        <f t="shared" si="69"/>
        <v>748</v>
      </c>
      <c r="E2242" s="1">
        <f t="shared" si="70"/>
        <v>0</v>
      </c>
    </row>
    <row r="2243" spans="4:5">
      <c r="D2243" s="1">
        <f t="shared" si="69"/>
        <v>748</v>
      </c>
      <c r="E2243" s="1">
        <f t="shared" si="70"/>
        <v>0</v>
      </c>
    </row>
    <row r="2244" spans="4:5">
      <c r="D2244" s="1">
        <f t="shared" ref="D2244:D2307" si="71">+D2241+1</f>
        <v>748</v>
      </c>
      <c r="E2244" s="1">
        <f t="shared" si="70"/>
        <v>0</v>
      </c>
    </row>
    <row r="2245" spans="4:5">
      <c r="D2245" s="1">
        <f t="shared" si="71"/>
        <v>749</v>
      </c>
      <c r="E2245" s="1">
        <f t="shared" si="70"/>
        <v>0</v>
      </c>
    </row>
    <row r="2246" spans="4:5">
      <c r="D2246" s="1">
        <f t="shared" si="71"/>
        <v>749</v>
      </c>
      <c r="E2246" s="1">
        <f t="shared" si="70"/>
        <v>0</v>
      </c>
    </row>
    <row r="2247" spans="4:5">
      <c r="D2247" s="1">
        <f t="shared" si="71"/>
        <v>749</v>
      </c>
      <c r="E2247" s="1">
        <f t="shared" si="70"/>
        <v>0</v>
      </c>
    </row>
    <row r="2248" spans="4:5">
      <c r="D2248" s="1">
        <f t="shared" si="71"/>
        <v>750</v>
      </c>
      <c r="E2248" s="1">
        <f t="shared" si="70"/>
        <v>0</v>
      </c>
    </row>
    <row r="2249" spans="4:5">
      <c r="D2249" s="1">
        <f t="shared" si="71"/>
        <v>750</v>
      </c>
      <c r="E2249" s="1">
        <f t="shared" si="70"/>
        <v>0</v>
      </c>
    </row>
    <row r="2250" spans="4:5">
      <c r="D2250" s="1">
        <f t="shared" si="71"/>
        <v>750</v>
      </c>
      <c r="E2250" s="1">
        <f t="shared" si="70"/>
        <v>0</v>
      </c>
    </row>
    <row r="2251" spans="4:5">
      <c r="D2251" s="1">
        <f t="shared" si="71"/>
        <v>751</v>
      </c>
      <c r="E2251" s="1">
        <f t="shared" si="70"/>
        <v>0</v>
      </c>
    </row>
    <row r="2252" spans="4:5">
      <c r="D2252" s="1">
        <f t="shared" si="71"/>
        <v>751</v>
      </c>
      <c r="E2252" s="1">
        <f t="shared" si="70"/>
        <v>0</v>
      </c>
    </row>
    <row r="2253" spans="4:5">
      <c r="D2253" s="1">
        <f t="shared" si="71"/>
        <v>751</v>
      </c>
      <c r="E2253" s="1">
        <f t="shared" si="70"/>
        <v>0</v>
      </c>
    </row>
    <row r="2254" spans="4:5">
      <c r="D2254" s="1">
        <f t="shared" si="71"/>
        <v>752</v>
      </c>
      <c r="E2254" s="1">
        <f t="shared" si="70"/>
        <v>0</v>
      </c>
    </row>
    <row r="2255" spans="4:5">
      <c r="D2255" s="1">
        <f t="shared" si="71"/>
        <v>752</v>
      </c>
      <c r="E2255" s="1">
        <f t="shared" si="70"/>
        <v>0</v>
      </c>
    </row>
    <row r="2256" spans="4:5">
      <c r="D2256" s="1">
        <f t="shared" si="71"/>
        <v>752</v>
      </c>
      <c r="E2256" s="1">
        <f t="shared" si="70"/>
        <v>0</v>
      </c>
    </row>
    <row r="2257" spans="4:5">
      <c r="D2257" s="1">
        <f t="shared" si="71"/>
        <v>753</v>
      </c>
      <c r="E2257" s="1">
        <f t="shared" si="70"/>
        <v>0</v>
      </c>
    </row>
    <row r="2258" spans="4:5">
      <c r="D2258" s="1">
        <f t="shared" si="71"/>
        <v>753</v>
      </c>
      <c r="E2258" s="1">
        <f t="shared" si="70"/>
        <v>0</v>
      </c>
    </row>
    <row r="2259" spans="4:5">
      <c r="D2259" s="1">
        <f t="shared" si="71"/>
        <v>753</v>
      </c>
      <c r="E2259" s="1">
        <f t="shared" si="70"/>
        <v>0</v>
      </c>
    </row>
    <row r="2260" spans="4:5">
      <c r="D2260" s="1">
        <f t="shared" si="71"/>
        <v>754</v>
      </c>
      <c r="E2260" s="1">
        <f t="shared" si="70"/>
        <v>0</v>
      </c>
    </row>
    <row r="2261" spans="4:5">
      <c r="D2261" s="1">
        <f t="shared" si="71"/>
        <v>754</v>
      </c>
      <c r="E2261" s="1">
        <f t="shared" si="70"/>
        <v>0</v>
      </c>
    </row>
    <row r="2262" spans="4:5">
      <c r="D2262" s="1">
        <f t="shared" si="71"/>
        <v>754</v>
      </c>
      <c r="E2262" s="1">
        <f t="shared" si="70"/>
        <v>0</v>
      </c>
    </row>
    <row r="2263" spans="4:5">
      <c r="D2263" s="1">
        <f t="shared" si="71"/>
        <v>755</v>
      </c>
      <c r="E2263" s="1">
        <f t="shared" si="70"/>
        <v>0</v>
      </c>
    </row>
    <row r="2264" spans="4:5">
      <c r="D2264" s="1">
        <f t="shared" si="71"/>
        <v>755</v>
      </c>
      <c r="E2264" s="1">
        <f t="shared" si="70"/>
        <v>0</v>
      </c>
    </row>
    <row r="2265" spans="4:5">
      <c r="D2265" s="1">
        <f t="shared" si="71"/>
        <v>755</v>
      </c>
      <c r="E2265" s="1">
        <f t="shared" si="70"/>
        <v>0</v>
      </c>
    </row>
    <row r="2266" spans="4:5">
      <c r="D2266" s="1">
        <f t="shared" si="71"/>
        <v>756</v>
      </c>
      <c r="E2266" s="1">
        <f t="shared" si="70"/>
        <v>0</v>
      </c>
    </row>
    <row r="2267" spans="4:5">
      <c r="D2267" s="1">
        <f t="shared" si="71"/>
        <v>756</v>
      </c>
      <c r="E2267" s="1">
        <f t="shared" si="70"/>
        <v>0</v>
      </c>
    </row>
    <row r="2268" spans="4:5">
      <c r="D2268" s="1">
        <f t="shared" si="71"/>
        <v>756</v>
      </c>
      <c r="E2268" s="1">
        <f t="shared" si="70"/>
        <v>0</v>
      </c>
    </row>
    <row r="2269" spans="4:5">
      <c r="D2269" s="1">
        <f t="shared" si="71"/>
        <v>757</v>
      </c>
      <c r="E2269" s="1">
        <f t="shared" si="70"/>
        <v>0</v>
      </c>
    </row>
    <row r="2270" spans="4:5">
      <c r="D2270" s="1">
        <f t="shared" si="71"/>
        <v>757</v>
      </c>
      <c r="E2270" s="1">
        <f t="shared" si="70"/>
        <v>0</v>
      </c>
    </row>
    <row r="2271" spans="4:5">
      <c r="D2271" s="1">
        <f t="shared" si="71"/>
        <v>757</v>
      </c>
      <c r="E2271" s="1">
        <f t="shared" si="70"/>
        <v>0</v>
      </c>
    </row>
    <row r="2272" spans="4:5">
      <c r="D2272" s="1">
        <f t="shared" si="71"/>
        <v>758</v>
      </c>
      <c r="E2272" s="1">
        <f t="shared" si="70"/>
        <v>0</v>
      </c>
    </row>
    <row r="2273" spans="4:5">
      <c r="D2273" s="1">
        <f t="shared" si="71"/>
        <v>758</v>
      </c>
      <c r="E2273" s="1">
        <f t="shared" si="70"/>
        <v>0</v>
      </c>
    </row>
    <row r="2274" spans="4:5">
      <c r="D2274" s="1">
        <f t="shared" si="71"/>
        <v>758</v>
      </c>
      <c r="E2274" s="1">
        <f t="shared" si="70"/>
        <v>0</v>
      </c>
    </row>
    <row r="2275" spans="4:5">
      <c r="D2275" s="1">
        <f t="shared" si="71"/>
        <v>759</v>
      </c>
      <c r="E2275" s="1">
        <f t="shared" si="70"/>
        <v>0</v>
      </c>
    </row>
    <row r="2276" spans="4:5">
      <c r="D2276" s="1">
        <f t="shared" si="71"/>
        <v>759</v>
      </c>
      <c r="E2276" s="1">
        <f t="shared" si="70"/>
        <v>0</v>
      </c>
    </row>
    <row r="2277" spans="4:5">
      <c r="D2277" s="1">
        <f t="shared" si="71"/>
        <v>759</v>
      </c>
      <c r="E2277" s="1">
        <f t="shared" si="70"/>
        <v>0</v>
      </c>
    </row>
    <row r="2278" spans="4:5">
      <c r="D2278" s="1">
        <f t="shared" si="71"/>
        <v>760</v>
      </c>
      <c r="E2278" s="1">
        <f t="shared" si="70"/>
        <v>0</v>
      </c>
    </row>
    <row r="2279" spans="4:5">
      <c r="D2279" s="1">
        <f t="shared" si="71"/>
        <v>760</v>
      </c>
      <c r="E2279" s="1">
        <f t="shared" si="70"/>
        <v>0</v>
      </c>
    </row>
    <row r="2280" spans="4:5">
      <c r="D2280" s="1">
        <f t="shared" si="71"/>
        <v>760</v>
      </c>
      <c r="E2280" s="1">
        <f t="shared" si="70"/>
        <v>0</v>
      </c>
    </row>
    <row r="2281" spans="4:5">
      <c r="D2281" s="1">
        <f t="shared" si="71"/>
        <v>761</v>
      </c>
      <c r="E2281" s="1">
        <f t="shared" si="70"/>
        <v>0</v>
      </c>
    </row>
    <row r="2282" spans="4:5">
      <c r="D2282" s="1">
        <f t="shared" si="71"/>
        <v>761</v>
      </c>
      <c r="E2282" s="1">
        <f t="shared" si="70"/>
        <v>0</v>
      </c>
    </row>
    <row r="2283" spans="4:5">
      <c r="D2283" s="1">
        <f t="shared" si="71"/>
        <v>761</v>
      </c>
      <c r="E2283" s="1">
        <f t="shared" si="70"/>
        <v>0</v>
      </c>
    </row>
    <row r="2284" spans="4:5">
      <c r="D2284" s="1">
        <f t="shared" si="71"/>
        <v>762</v>
      </c>
      <c r="E2284" s="1">
        <f t="shared" si="70"/>
        <v>0</v>
      </c>
    </row>
    <row r="2285" spans="4:5">
      <c r="D2285" s="1">
        <f t="shared" si="71"/>
        <v>762</v>
      </c>
      <c r="E2285" s="1">
        <f t="shared" si="70"/>
        <v>0</v>
      </c>
    </row>
    <row r="2286" spans="4:5">
      <c r="D2286" s="1">
        <f t="shared" si="71"/>
        <v>762</v>
      </c>
      <c r="E2286" s="1">
        <f t="shared" si="70"/>
        <v>0</v>
      </c>
    </row>
    <row r="2287" spans="4:5">
      <c r="D2287" s="1">
        <f t="shared" si="71"/>
        <v>763</v>
      </c>
      <c r="E2287" s="1">
        <f t="shared" si="70"/>
        <v>0</v>
      </c>
    </row>
    <row r="2288" spans="4:5">
      <c r="D2288" s="1">
        <f t="shared" si="71"/>
        <v>763</v>
      </c>
      <c r="E2288" s="1">
        <f t="shared" si="70"/>
        <v>0</v>
      </c>
    </row>
    <row r="2289" spans="4:5">
      <c r="D2289" s="1">
        <f t="shared" si="71"/>
        <v>763</v>
      </c>
      <c r="E2289" s="1">
        <f t="shared" si="70"/>
        <v>0</v>
      </c>
    </row>
    <row r="2290" spans="4:5">
      <c r="D2290" s="1">
        <f t="shared" si="71"/>
        <v>764</v>
      </c>
      <c r="E2290" s="1">
        <f t="shared" si="70"/>
        <v>0</v>
      </c>
    </row>
    <row r="2291" spans="4:5">
      <c r="D2291" s="1">
        <f t="shared" si="71"/>
        <v>764</v>
      </c>
      <c r="E2291" s="1">
        <f t="shared" si="70"/>
        <v>0</v>
      </c>
    </row>
    <row r="2292" spans="4:5">
      <c r="D2292" s="1">
        <f t="shared" si="71"/>
        <v>764</v>
      </c>
      <c r="E2292" s="1">
        <f t="shared" si="70"/>
        <v>0</v>
      </c>
    </row>
    <row r="2293" spans="4:5">
      <c r="D2293" s="1">
        <f t="shared" si="71"/>
        <v>765</v>
      </c>
      <c r="E2293" s="1">
        <f t="shared" si="70"/>
        <v>0</v>
      </c>
    </row>
    <row r="2294" spans="4:5">
      <c r="D2294" s="1">
        <f t="shared" si="71"/>
        <v>765</v>
      </c>
      <c r="E2294" s="1">
        <f t="shared" si="70"/>
        <v>0</v>
      </c>
    </row>
    <row r="2295" spans="4:5">
      <c r="D2295" s="1">
        <f t="shared" si="71"/>
        <v>765</v>
      </c>
      <c r="E2295" s="1">
        <f t="shared" si="70"/>
        <v>0</v>
      </c>
    </row>
    <row r="2296" spans="4:5">
      <c r="D2296" s="1">
        <f t="shared" si="71"/>
        <v>766</v>
      </c>
      <c r="E2296" s="1">
        <f t="shared" si="70"/>
        <v>0</v>
      </c>
    </row>
    <row r="2297" spans="4:5">
      <c r="D2297" s="1">
        <f t="shared" si="71"/>
        <v>766</v>
      </c>
      <c r="E2297" s="1">
        <f t="shared" si="70"/>
        <v>0</v>
      </c>
    </row>
    <row r="2298" spans="4:5">
      <c r="D2298" s="1">
        <f t="shared" si="71"/>
        <v>766</v>
      </c>
      <c r="E2298" s="1">
        <f t="shared" si="70"/>
        <v>0</v>
      </c>
    </row>
    <row r="2299" spans="4:5">
      <c r="D2299" s="1">
        <f t="shared" si="71"/>
        <v>767</v>
      </c>
      <c r="E2299" s="1">
        <f t="shared" si="70"/>
        <v>0</v>
      </c>
    </row>
    <row r="2300" spans="4:5">
      <c r="D2300" s="1">
        <f t="shared" si="71"/>
        <v>767</v>
      </c>
      <c r="E2300" s="1">
        <f t="shared" si="70"/>
        <v>0</v>
      </c>
    </row>
    <row r="2301" spans="4:5">
      <c r="D2301" s="1">
        <f t="shared" si="71"/>
        <v>767</v>
      </c>
      <c r="E2301" s="1">
        <f t="shared" si="70"/>
        <v>0</v>
      </c>
    </row>
    <row r="2302" spans="4:5">
      <c r="D2302" s="1">
        <f t="shared" si="71"/>
        <v>768</v>
      </c>
      <c r="E2302" s="1">
        <f t="shared" si="70"/>
        <v>0</v>
      </c>
    </row>
    <row r="2303" spans="4:5">
      <c r="D2303" s="1">
        <f t="shared" si="71"/>
        <v>768</v>
      </c>
      <c r="E2303" s="1">
        <f t="shared" si="70"/>
        <v>0</v>
      </c>
    </row>
    <row r="2304" spans="4:5">
      <c r="D2304" s="1">
        <f t="shared" si="71"/>
        <v>768</v>
      </c>
      <c r="E2304" s="1">
        <f t="shared" si="70"/>
        <v>0</v>
      </c>
    </row>
    <row r="2305" spans="4:5">
      <c r="D2305" s="1">
        <f t="shared" si="71"/>
        <v>769</v>
      </c>
      <c r="E2305" s="1">
        <f t="shared" ref="E2305:E2364" si="72">+VLOOKUP(D2305,$A$1:$B$1076,2,FALSE)</f>
        <v>0</v>
      </c>
    </row>
    <row r="2306" spans="4:5">
      <c r="D2306" s="1">
        <f t="shared" si="71"/>
        <v>769</v>
      </c>
      <c r="E2306" s="1">
        <f t="shared" si="72"/>
        <v>0</v>
      </c>
    </row>
    <row r="2307" spans="4:5">
      <c r="D2307" s="1">
        <f t="shared" si="71"/>
        <v>769</v>
      </c>
      <c r="E2307" s="1">
        <f t="shared" si="72"/>
        <v>0</v>
      </c>
    </row>
    <row r="2308" spans="4:5">
      <c r="D2308" s="1">
        <f t="shared" ref="D2308:D2364" si="73">+D2305+1</f>
        <v>770</v>
      </c>
      <c r="E2308" s="1">
        <f t="shared" si="72"/>
        <v>0</v>
      </c>
    </row>
    <row r="2309" spans="4:5">
      <c r="D2309" s="1">
        <f t="shared" si="73"/>
        <v>770</v>
      </c>
      <c r="E2309" s="1">
        <f t="shared" si="72"/>
        <v>0</v>
      </c>
    </row>
    <row r="2310" spans="4:5">
      <c r="D2310" s="1">
        <f t="shared" si="73"/>
        <v>770</v>
      </c>
      <c r="E2310" s="1">
        <f t="shared" si="72"/>
        <v>0</v>
      </c>
    </row>
    <row r="2311" spans="4:5">
      <c r="D2311" s="1">
        <f t="shared" si="73"/>
        <v>771</v>
      </c>
      <c r="E2311" s="1">
        <f t="shared" si="72"/>
        <v>0</v>
      </c>
    </row>
    <row r="2312" spans="4:5">
      <c r="D2312" s="1">
        <f t="shared" si="73"/>
        <v>771</v>
      </c>
      <c r="E2312" s="1">
        <f t="shared" si="72"/>
        <v>0</v>
      </c>
    </row>
    <row r="2313" spans="4:5">
      <c r="D2313" s="1">
        <f t="shared" si="73"/>
        <v>771</v>
      </c>
      <c r="E2313" s="1">
        <f t="shared" si="72"/>
        <v>0</v>
      </c>
    </row>
    <row r="2314" spans="4:5">
      <c r="D2314" s="1">
        <f t="shared" si="73"/>
        <v>772</v>
      </c>
      <c r="E2314" s="1">
        <f t="shared" si="72"/>
        <v>0</v>
      </c>
    </row>
    <row r="2315" spans="4:5">
      <c r="D2315" s="1">
        <f t="shared" si="73"/>
        <v>772</v>
      </c>
      <c r="E2315" s="1">
        <f t="shared" si="72"/>
        <v>0</v>
      </c>
    </row>
    <row r="2316" spans="4:5">
      <c r="D2316" s="1">
        <f t="shared" si="73"/>
        <v>772</v>
      </c>
      <c r="E2316" s="1">
        <f t="shared" si="72"/>
        <v>0</v>
      </c>
    </row>
    <row r="2317" spans="4:5">
      <c r="D2317" s="1">
        <f t="shared" si="73"/>
        <v>773</v>
      </c>
      <c r="E2317" s="1">
        <f t="shared" si="72"/>
        <v>0</v>
      </c>
    </row>
    <row r="2318" spans="4:5">
      <c r="D2318" s="1">
        <f t="shared" si="73"/>
        <v>773</v>
      </c>
      <c r="E2318" s="1">
        <f t="shared" si="72"/>
        <v>0</v>
      </c>
    </row>
    <row r="2319" spans="4:5">
      <c r="D2319" s="1">
        <f t="shared" si="73"/>
        <v>773</v>
      </c>
      <c r="E2319" s="1">
        <f t="shared" si="72"/>
        <v>0</v>
      </c>
    </row>
    <row r="2320" spans="4:5">
      <c r="D2320" s="1">
        <f t="shared" si="73"/>
        <v>774</v>
      </c>
      <c r="E2320" s="1">
        <f t="shared" si="72"/>
        <v>0</v>
      </c>
    </row>
    <row r="2321" spans="4:5">
      <c r="D2321" s="1">
        <f t="shared" si="73"/>
        <v>774</v>
      </c>
      <c r="E2321" s="1">
        <f t="shared" si="72"/>
        <v>0</v>
      </c>
    </row>
    <row r="2322" spans="4:5">
      <c r="D2322" s="1">
        <f t="shared" si="73"/>
        <v>774</v>
      </c>
      <c r="E2322" s="1">
        <f t="shared" si="72"/>
        <v>0</v>
      </c>
    </row>
    <row r="2323" spans="4:5">
      <c r="D2323" s="1">
        <f t="shared" si="73"/>
        <v>775</v>
      </c>
      <c r="E2323" s="1">
        <f t="shared" si="72"/>
        <v>0</v>
      </c>
    </row>
    <row r="2324" spans="4:5">
      <c r="D2324" s="1">
        <f t="shared" si="73"/>
        <v>775</v>
      </c>
      <c r="E2324" s="1">
        <f t="shared" si="72"/>
        <v>0</v>
      </c>
    </row>
    <row r="2325" spans="4:5">
      <c r="D2325" s="1">
        <f t="shared" si="73"/>
        <v>775</v>
      </c>
      <c r="E2325" s="1">
        <f t="shared" si="72"/>
        <v>0</v>
      </c>
    </row>
    <row r="2326" spans="4:5">
      <c r="D2326" s="1">
        <f t="shared" si="73"/>
        <v>776</v>
      </c>
      <c r="E2326" s="1">
        <f t="shared" si="72"/>
        <v>0</v>
      </c>
    </row>
    <row r="2327" spans="4:5">
      <c r="D2327" s="1">
        <f t="shared" si="73"/>
        <v>776</v>
      </c>
      <c r="E2327" s="1">
        <f t="shared" si="72"/>
        <v>0</v>
      </c>
    </row>
    <row r="2328" spans="4:5">
      <c r="D2328" s="1">
        <f t="shared" si="73"/>
        <v>776</v>
      </c>
      <c r="E2328" s="1">
        <f t="shared" si="72"/>
        <v>0</v>
      </c>
    </row>
    <row r="2329" spans="4:5">
      <c r="D2329" s="1">
        <f t="shared" si="73"/>
        <v>777</v>
      </c>
      <c r="E2329" s="1">
        <f t="shared" si="72"/>
        <v>0</v>
      </c>
    </row>
    <row r="2330" spans="4:5">
      <c r="D2330" s="1">
        <f t="shared" si="73"/>
        <v>777</v>
      </c>
      <c r="E2330" s="1">
        <f t="shared" si="72"/>
        <v>0</v>
      </c>
    </row>
    <row r="2331" spans="4:5">
      <c r="D2331" s="1">
        <f t="shared" si="73"/>
        <v>777</v>
      </c>
      <c r="E2331" s="1">
        <f t="shared" si="72"/>
        <v>0</v>
      </c>
    </row>
    <row r="2332" spans="4:5">
      <c r="D2332" s="1">
        <f t="shared" si="73"/>
        <v>778</v>
      </c>
      <c r="E2332" s="1">
        <f t="shared" si="72"/>
        <v>0</v>
      </c>
    </row>
    <row r="2333" spans="4:5">
      <c r="D2333" s="1">
        <f t="shared" si="73"/>
        <v>778</v>
      </c>
      <c r="E2333" s="1">
        <f t="shared" si="72"/>
        <v>0</v>
      </c>
    </row>
    <row r="2334" spans="4:5">
      <c r="D2334" s="1">
        <f t="shared" si="73"/>
        <v>778</v>
      </c>
      <c r="E2334" s="1">
        <f t="shared" si="72"/>
        <v>0</v>
      </c>
    </row>
    <row r="2335" spans="4:5">
      <c r="D2335" s="1">
        <f t="shared" si="73"/>
        <v>779</v>
      </c>
      <c r="E2335" s="1">
        <f t="shared" si="72"/>
        <v>0</v>
      </c>
    </row>
    <row r="2336" spans="4:5">
      <c r="D2336" s="1">
        <f t="shared" si="73"/>
        <v>779</v>
      </c>
      <c r="E2336" s="1">
        <f t="shared" si="72"/>
        <v>0</v>
      </c>
    </row>
    <row r="2337" spans="4:5">
      <c r="D2337" s="1">
        <f t="shared" si="73"/>
        <v>779</v>
      </c>
      <c r="E2337" s="1">
        <f t="shared" si="72"/>
        <v>0</v>
      </c>
    </row>
    <row r="2338" spans="4:5">
      <c r="D2338" s="1">
        <f t="shared" si="73"/>
        <v>780</v>
      </c>
      <c r="E2338" s="1">
        <f t="shared" si="72"/>
        <v>0</v>
      </c>
    </row>
    <row r="2339" spans="4:5">
      <c r="D2339" s="1">
        <f t="shared" si="73"/>
        <v>780</v>
      </c>
      <c r="E2339" s="1">
        <f t="shared" si="72"/>
        <v>0</v>
      </c>
    </row>
    <row r="2340" spans="4:5">
      <c r="D2340" s="1">
        <f t="shared" si="73"/>
        <v>780</v>
      </c>
      <c r="E2340" s="1">
        <f t="shared" si="72"/>
        <v>0</v>
      </c>
    </row>
    <row r="2341" spans="4:5">
      <c r="D2341" s="1">
        <f t="shared" si="73"/>
        <v>781</v>
      </c>
      <c r="E2341" s="1">
        <f t="shared" si="72"/>
        <v>0</v>
      </c>
    </row>
    <row r="2342" spans="4:5">
      <c r="D2342" s="1">
        <f t="shared" si="73"/>
        <v>781</v>
      </c>
      <c r="E2342" s="1">
        <f t="shared" si="72"/>
        <v>0</v>
      </c>
    </row>
    <row r="2343" spans="4:5">
      <c r="D2343" s="1">
        <f t="shared" si="73"/>
        <v>781</v>
      </c>
      <c r="E2343" s="1">
        <f t="shared" si="72"/>
        <v>0</v>
      </c>
    </row>
    <row r="2344" spans="4:5">
      <c r="D2344" s="1">
        <f t="shared" si="73"/>
        <v>782</v>
      </c>
      <c r="E2344" s="1">
        <f t="shared" si="72"/>
        <v>0</v>
      </c>
    </row>
    <row r="2345" spans="4:5">
      <c r="D2345" s="1">
        <f t="shared" si="73"/>
        <v>782</v>
      </c>
      <c r="E2345" s="1">
        <f t="shared" si="72"/>
        <v>0</v>
      </c>
    </row>
    <row r="2346" spans="4:5">
      <c r="D2346" s="1">
        <f t="shared" si="73"/>
        <v>782</v>
      </c>
      <c r="E2346" s="1">
        <f t="shared" si="72"/>
        <v>0</v>
      </c>
    </row>
    <row r="2347" spans="4:5">
      <c r="D2347" s="1">
        <f t="shared" si="73"/>
        <v>783</v>
      </c>
      <c r="E2347" s="1">
        <f t="shared" si="72"/>
        <v>0</v>
      </c>
    </row>
    <row r="2348" spans="4:5">
      <c r="D2348" s="1">
        <f t="shared" si="73"/>
        <v>783</v>
      </c>
      <c r="E2348" s="1">
        <f t="shared" si="72"/>
        <v>0</v>
      </c>
    </row>
    <row r="2349" spans="4:5">
      <c r="D2349" s="1">
        <f t="shared" si="73"/>
        <v>783</v>
      </c>
      <c r="E2349" s="1">
        <f t="shared" si="72"/>
        <v>0</v>
      </c>
    </row>
    <row r="2350" spans="4:5">
      <c r="D2350" s="1">
        <f t="shared" si="73"/>
        <v>784</v>
      </c>
      <c r="E2350" s="1">
        <f t="shared" si="72"/>
        <v>0</v>
      </c>
    </row>
    <row r="2351" spans="4:5">
      <c r="D2351" s="1">
        <f t="shared" si="73"/>
        <v>784</v>
      </c>
      <c r="E2351" s="1">
        <f t="shared" si="72"/>
        <v>0</v>
      </c>
    </row>
    <row r="2352" spans="4:5">
      <c r="D2352" s="1">
        <f t="shared" si="73"/>
        <v>784</v>
      </c>
      <c r="E2352" s="1">
        <f t="shared" si="72"/>
        <v>0</v>
      </c>
    </row>
    <row r="2353" spans="4:5">
      <c r="D2353" s="1">
        <f t="shared" si="73"/>
        <v>785</v>
      </c>
      <c r="E2353" s="1">
        <f t="shared" si="72"/>
        <v>0</v>
      </c>
    </row>
    <row r="2354" spans="4:5">
      <c r="D2354" s="1">
        <f t="shared" si="73"/>
        <v>785</v>
      </c>
      <c r="E2354" s="1">
        <f t="shared" si="72"/>
        <v>0</v>
      </c>
    </row>
    <row r="2355" spans="4:5">
      <c r="D2355" s="1">
        <f t="shared" si="73"/>
        <v>785</v>
      </c>
      <c r="E2355" s="1">
        <f t="shared" si="72"/>
        <v>0</v>
      </c>
    </row>
    <row r="2356" spans="4:5">
      <c r="D2356" s="1">
        <f t="shared" si="73"/>
        <v>786</v>
      </c>
      <c r="E2356" s="1">
        <f t="shared" si="72"/>
        <v>0</v>
      </c>
    </row>
    <row r="2357" spans="4:5">
      <c r="D2357" s="1">
        <f t="shared" si="73"/>
        <v>786</v>
      </c>
      <c r="E2357" s="1">
        <f t="shared" si="72"/>
        <v>0</v>
      </c>
    </row>
    <row r="2358" spans="4:5">
      <c r="D2358" s="1">
        <f t="shared" si="73"/>
        <v>786</v>
      </c>
      <c r="E2358" s="1">
        <f t="shared" si="72"/>
        <v>0</v>
      </c>
    </row>
    <row r="2359" spans="4:5">
      <c r="D2359" s="1">
        <f t="shared" si="73"/>
        <v>787</v>
      </c>
      <c r="E2359" s="1">
        <f t="shared" si="72"/>
        <v>0</v>
      </c>
    </row>
    <row r="2360" spans="4:5">
      <c r="D2360" s="1">
        <f t="shared" si="73"/>
        <v>787</v>
      </c>
      <c r="E2360" s="1">
        <f t="shared" si="72"/>
        <v>0</v>
      </c>
    </row>
    <row r="2361" spans="4:5">
      <c r="D2361" s="1">
        <f t="shared" si="73"/>
        <v>787</v>
      </c>
      <c r="E2361" s="1">
        <f t="shared" si="72"/>
        <v>0</v>
      </c>
    </row>
    <row r="2362" spans="4:5">
      <c r="D2362" s="1">
        <f t="shared" si="73"/>
        <v>788</v>
      </c>
      <c r="E2362" s="1">
        <f t="shared" si="72"/>
        <v>0</v>
      </c>
    </row>
    <row r="2363" spans="4:5">
      <c r="D2363" s="1">
        <f t="shared" si="73"/>
        <v>788</v>
      </c>
      <c r="E2363" s="1">
        <f t="shared" si="72"/>
        <v>0</v>
      </c>
    </row>
    <row r="2364" spans="4:5">
      <c r="D2364" s="1">
        <f t="shared" si="73"/>
        <v>788</v>
      </c>
      <c r="E2364" s="1">
        <f t="shared" si="72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16C3B65DD9F3F41BE882343006E1BA4" ma:contentTypeVersion="15" ma:contentTypeDescription="Crear nuevo documento." ma:contentTypeScope="" ma:versionID="872f9e58f17604c61e0e309ad46e9d8b">
  <xsd:schema xmlns:xsd="http://www.w3.org/2001/XMLSchema" xmlns:xs="http://www.w3.org/2001/XMLSchema" xmlns:p="http://schemas.microsoft.com/office/2006/metadata/properties" xmlns:ns2="e60486f8-6a43-420b-bb03-6d84d901457c" xmlns:ns3="ec651521-9187-453e-8738-c9cf4f0de354" targetNamespace="http://schemas.microsoft.com/office/2006/metadata/properties" ma:root="true" ma:fieldsID="94c6616478636da57771e6f90bef22fa" ns2:_="" ns3:_="">
    <xsd:import namespace="e60486f8-6a43-420b-bb03-6d84d901457c"/>
    <xsd:import namespace="ec651521-9187-453e-8738-c9cf4f0de354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0486f8-6a43-420b-bb03-6d84d901457c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1ba516c9-2806-4243-8371-970ac0253b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51521-9187-453e-8738-c9cf4f0de354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0db61ab8-06e9-4a8b-9baf-17ddfab2f602}" ma:internalName="TaxCatchAll" ma:showField="CatchAllData" ma:web="ec651521-9187-453e-8738-c9cf4f0de3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60486f8-6a43-420b-bb03-6d84d901457c">
      <Terms xmlns="http://schemas.microsoft.com/office/infopath/2007/PartnerControls"/>
    </lcf76f155ced4ddcb4097134ff3c332f>
    <TaxCatchAll xmlns="ec651521-9187-453e-8738-c9cf4f0de354" xsi:nil="true"/>
  </documentManagement>
</p:properties>
</file>

<file path=customXml/itemProps1.xml><?xml version="1.0" encoding="utf-8"?>
<ds:datastoreItem xmlns:ds="http://schemas.openxmlformats.org/officeDocument/2006/customXml" ds:itemID="{578791DD-8008-4390-9949-42D823EAF413}"/>
</file>

<file path=customXml/itemProps2.xml><?xml version="1.0" encoding="utf-8"?>
<ds:datastoreItem xmlns:ds="http://schemas.openxmlformats.org/officeDocument/2006/customXml" ds:itemID="{A6A31586-3E51-41A8-9ED1-CD2FC582B417}"/>
</file>

<file path=customXml/itemProps3.xml><?xml version="1.0" encoding="utf-8"?>
<ds:datastoreItem xmlns:ds="http://schemas.openxmlformats.org/officeDocument/2006/customXml" ds:itemID="{29B2BC35-9CF2-4193-9A79-6C93795D1A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Eduin Baez</cp:lastModifiedBy>
  <cp:revision/>
  <dcterms:created xsi:type="dcterms:W3CDTF">2025-05-16T17:34:11Z</dcterms:created>
  <dcterms:modified xsi:type="dcterms:W3CDTF">2025-11-19T17:52:43Z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0x010100E16C3B65DD9F3F41BE882343006E1BA4</vt:lpwstr>
  </property>
  <property fmtid="{D5CDD505-2E9C-101B-9397-08002B2CF9AE}" pid="3" name="MediaServiceImageTags">
    <vt:lpwstr/>
  </property>
</Properties>
</file>